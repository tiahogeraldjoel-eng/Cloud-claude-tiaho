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hp\OneDrive\Desktop\COMPTA_ETAT_2024\COMPTA ETAT 2026\DECADE N°15\"/>
    </mc:Choice>
  </mc:AlternateContent>
  <xr:revisionPtr revIDLastSave="0" documentId="13_ncr:1_{E1E7C491-E7D2-40AD-970F-13DAF62AB637}" xr6:coauthVersionLast="47" xr6:coauthVersionMax="47" xr10:uidLastSave="{00000000-0000-0000-0000-000000000000}"/>
  <bookViews>
    <workbookView xWindow="-120" yWindow="-120" windowWidth="20730" windowHeight="11040" firstSheet="1" activeTab="1" xr2:uid="{00000000-000D-0000-FFFF-FFFF00000000}"/>
  </bookViews>
  <sheets>
    <sheet name="PARAMETRES" sheetId="1" state="hidden" r:id="rId1"/>
    <sheet name="JOURNAL P12" sheetId="2" r:id="rId2"/>
    <sheet name="MODE D'EMPLOI" sheetId="3" r:id="rId3"/>
    <sheet name="Feuil1" sheetId="4" r:id="rId4"/>
  </sheets>
  <functionGroups builtInGroupCount="19"/>
  <definedNames>
    <definedName name="Print_Area" localSheetId="1">'JOURNAL P12'!$A$1:$N$58</definedName>
    <definedName name="Print_Titles" localSheetId="1">'JOURNAL P12'!$1:$7</definedName>
  </definedNames>
  <calcPr calcId="191029"/>
</workbook>
</file>

<file path=xl/calcChain.xml><?xml version="1.0" encoding="utf-8"?>
<calcChain xmlns="http://schemas.openxmlformats.org/spreadsheetml/2006/main">
  <c r="H51" i="2" l="1"/>
  <c r="A51" i="2"/>
  <c r="M50" i="2"/>
  <c r="M51" i="2" s="1"/>
  <c r="L50" i="2"/>
  <c r="L51" i="2" s="1"/>
  <c r="K50" i="2"/>
  <c r="K51" i="2" s="1"/>
  <c r="J50" i="2"/>
  <c r="J51" i="2" s="1"/>
  <c r="I50" i="2"/>
  <c r="I51" i="2" s="1"/>
  <c r="H50" i="2"/>
  <c r="G50" i="2"/>
  <c r="B50" i="2"/>
  <c r="B51" i="2" s="1"/>
  <c r="A50"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50" i="2" l="1"/>
  <c r="N52" i="2" s="1"/>
  <c r="G52" i="2"/>
  <c r="G51" i="2"/>
  <c r="F54" i="2"/>
  <c r="H52" i="2" l="1"/>
  <c r="N51" i="2"/>
</calcChain>
</file>

<file path=xl/sharedStrings.xml><?xml version="1.0" encoding="utf-8"?>
<sst xmlns="http://schemas.openxmlformats.org/spreadsheetml/2006/main" count="144" uniqueCount="114">
  <si>
    <t>PJ_TYPES</t>
  </si>
  <si>
    <t>ANNEES</t>
  </si>
  <si>
    <t>AUTORITES</t>
  </si>
  <si>
    <t>Mandat</t>
  </si>
  <si>
    <t>BAGASSI</t>
  </si>
  <si>
    <t>Ordonnance</t>
  </si>
  <si>
    <t>BANA</t>
  </si>
  <si>
    <t>Bon de Caisse</t>
  </si>
  <si>
    <t>POMPOI</t>
  </si>
  <si>
    <t>Cheque Tresor</t>
  </si>
  <si>
    <t>YAHO</t>
  </si>
  <si>
    <t>Ordre de paiement</t>
  </si>
  <si>
    <t>LYCEE DEP BAGASSI</t>
  </si>
  <si>
    <t>Pension Carfo</t>
  </si>
  <si>
    <t>LYCEE DEP DE BANA</t>
  </si>
  <si>
    <t>Pension Francaise</t>
  </si>
  <si>
    <t>LYCEE DEP POMPOI</t>
  </si>
  <si>
    <t>Mouvement de Fonds</t>
  </si>
  <si>
    <t>LYCEE DEP YAHO</t>
  </si>
  <si>
    <t>Autres</t>
  </si>
  <si>
    <t>CEG DE BAGASSI</t>
  </si>
  <si>
    <t>CEG DE BANA</t>
  </si>
  <si>
    <t>CEG DE YAHO</t>
  </si>
  <si>
    <t>CEG DE POMPOI</t>
  </si>
  <si>
    <t>BANQUE DES DEPOTS DU TRESOR</t>
  </si>
  <si>
    <t>BDT</t>
  </si>
  <si>
    <t>FIE/PDIC RDD</t>
  </si>
  <si>
    <t>PTR/HIMMO PERCEPT BAGASSI</t>
  </si>
  <si>
    <t>TR-BMH</t>
  </si>
  <si>
    <t>ACCT</t>
  </si>
  <si>
    <t>PG</t>
  </si>
  <si>
    <t>RG</t>
  </si>
  <si>
    <t>TRESORERIE DEPARTEMENTALE DE BAGASSI</t>
  </si>
  <si>
    <t>JOURNAL DES DEPENSES PAYEES EN NUMERAIRES  —  P12  —  EXERCICE 2026</t>
  </si>
  <si>
    <t>DATE DE LA JOURNEE :</t>
  </si>
  <si>
    <t>Caissier Principal : TIAHO Gerald Joel  |  Tenue de caisse P11 et P12</t>
  </si>
  <si>
    <t>RECETTES</t>
  </si>
  <si>
    <t>DATES ET NATURE DE L'OPERATION</t>
  </si>
  <si>
    <t>DEPENSES</t>
  </si>
  <si>
    <t>DEBIT</t>
  </si>
  <si>
    <t>CREDIT</t>
  </si>
  <si>
    <t>531.21</t>
  </si>
  <si>
    <t>581.21</t>
  </si>
  <si>
    <t>390.304</t>
  </si>
  <si>
    <t>390.306</t>
  </si>
  <si>
    <t>441.3</t>
  </si>
  <si>
    <t>CAISSE</t>
  </si>
  <si>
    <t>MVT DE
FONDS</t>
  </si>
  <si>
    <t>PIECE
JUSTIFIC.</t>
  </si>
  <si>
    <t>N° REF</t>
  </si>
  <si>
    <t>AN</t>
  </si>
  <si>
    <t>AUTORITE /
BENEFICIAIRE</t>
  </si>
  <si>
    <t>B.D.T.</t>
  </si>
  <si>
    <t>BUDGET
ETAT</t>
  </si>
  <si>
    <t>REPORT</t>
  </si>
  <si>
    <t>TOTAUX DE LA JOURNEE</t>
  </si>
  <si>
    <t>TOTAUX A REPORTER</t>
  </si>
  <si>
    <t>CONTROLE : TOTAL DEPENSES = TOTAL CAISSE CREDIT</t>
  </si>
  <si>
    <t>ARRETE A LA SOMME DE :</t>
  </si>
  <si>
    <t>L'AGENT PAYEUR</t>
  </si>
  <si>
    <t>Nom &amp; Date : ____________________________</t>
  </si>
  <si>
    <t>TRESORERIE DEPARTEMENTALE DE BAGASSI  |  GUIDE D'UTILISATION  |  JOURNAL P12</t>
  </si>
  <si>
    <t>OBJET DU FICHIER</t>
  </si>
  <si>
    <t>Ce fichier</t>
  </si>
  <si>
    <t>Journal des Dépenses Payées en Numéraires P12 — TRESORERIE DEPARTEMENTALE DE BAGASSI — Exercice 2026</t>
  </si>
  <si>
    <t>Caissier</t>
  </si>
  <si>
    <t>TIAHO Gerald Joel</t>
  </si>
  <si>
    <t>Fonctionnement</t>
  </si>
  <si>
    <t>Une feuille JOURNAL P12 par journée comptable. Remplir la date en C3, saisir les opérations, imprimer en PDF.</t>
  </si>
  <si>
    <t>SAISIE D'UNE OPERATION</t>
  </si>
  <si>
    <t>Colonne C  —  PJ</t>
  </si>
  <si>
    <t>Cliquer sur la cellule → liste déroulante → choisir la nature de la pièce (Mandat, Ordonnance, Bon de Caisse, Pension Carfo, Mouvement de Fonds…)</t>
  </si>
  <si>
    <t>Colonne D  —  REF</t>
  </si>
  <si>
    <t>Saisir le numéro de référence de la pièce justificative</t>
  </si>
  <si>
    <t>Colonne E  —  AN</t>
  </si>
  <si>
    <t>Choisir l'année de la pièce dans la liste déroulante</t>
  </si>
  <si>
    <t>Colonne F  —  AUT</t>
  </si>
  <si>
    <t>Choisir le bénéficiaire / l'autorité dans la liste déroulante (BAGASSI, BANA, POMPOI, YAHO, Lycées, CEG, BDT…)</t>
  </si>
  <si>
    <t>Colonnes G à M</t>
  </si>
  <si>
    <t>Saisir le montant dans la colonne correspondant au type de dépense : G=BDT (390.304), H=Mvt Fonds (581.21), I=Budget État (390.306), J=Bagassi, K=Bana, L=Pompoi, M=Yaho (441.3)</t>
  </si>
  <si>
    <t>Colonne N  —  CAISSE CREDIT</t>
  </si>
  <si>
    <t>Se calcule AUTOMATIQUEMENT = somme des colonnes G à M. Ne pas modifier.</t>
  </si>
  <si>
    <t>Recettes (col A, B)</t>
  </si>
  <si>
    <t>Ne remplir que s'il y a des mouvements de fonds reçus (recettes en numéraires).</t>
  </si>
  <si>
    <t>CONTROLE D'EQUILIBRE</t>
  </si>
  <si>
    <t>Indicateur</t>
  </si>
  <si>
    <t>La ligne CONTROLE affiche automatiquement OK - JOURNAL EQUILIBRE si Total Dépenses = Total Caisse Crédit. Sinon, l'écart est affiché en rouge.</t>
  </si>
  <si>
    <t>Vérification</t>
  </si>
  <si>
    <t>Avant impression : s'assurer que l'indicateur est VERT (OK). Sinon, vérifier chaque ligne de saisie.</t>
  </si>
  <si>
    <t>IMPRESSION PDF</t>
  </si>
  <si>
    <t>Imprimer</t>
  </si>
  <si>
    <t>Fichier → Imprimer → ou Ctrl+P. Le fichier est configuré en A4 Paysage, ajusté automatiquement pour tenir sur 1 page de large.</t>
  </si>
  <si>
    <t>Exporter en PDF</t>
  </si>
  <si>
    <t>Fichier → Exporter → Créer un document PDF/XPS → Publier. Ou : Fichier → Imprimer → Imprimante : Microsoft Print to PDF.</t>
  </si>
  <si>
    <t>Répétition des en-têtes</t>
  </si>
  <si>
    <t>Si le journal dépasse une page, les en-têtes (lignes 1-7) se répètent automatiquement sur chaque page imprimée.</t>
  </si>
  <si>
    <t>En-tête / Pied de page</t>
  </si>
  <si>
    <t>L'en-tête imprimé contient le nom de l'institution et le titre. Le pied de page contient la numérotation des pages et la date d'impression.</t>
  </si>
  <si>
    <t>MISE A JOUR DES LISTES</t>
  </si>
  <si>
    <t>Ajouter un bénéficiaire</t>
  </si>
  <si>
    <t>Aller dans la feuille PARAMETRES (cachée) → Révision &gt; Ôter la protection (mot de passe TRESO2026) → Afficher la feuille PARAMETRES → ajouter dans la colonne C.</t>
  </si>
  <si>
    <t>Ajouter un type de PJ</t>
  </si>
  <si>
    <t>Même procédure, ajouter dans la colonne A de PARAMETRES.</t>
  </si>
  <si>
    <t>INFORMATIONS PRATIQUES</t>
  </si>
  <si>
    <t>Mot de passe</t>
  </si>
  <si>
    <t>TRESO2026   (Révision → Ôter la protection de la feuille)</t>
  </si>
  <si>
    <t>Lignes de saisie</t>
  </si>
  <si>
    <t>40 lignes disponibles par journée</t>
  </si>
  <si>
    <t>Format des zéros</t>
  </si>
  <si>
    <t>Les zéros apparaissent comme  —  (tiret). Les montants négatifs entre parenthèses.</t>
  </si>
  <si>
    <t>Fichier SUIVI P11</t>
  </si>
  <si>
    <t>SUIVI_ENCAISSE_TRESORERIE_BAGASSI_2026_v2.xlsx (fichier complémentaire de gestion de l'encaisse P11)</t>
  </si>
  <si>
    <t>Raccourcis clavier</t>
  </si>
  <si>
    <t>Ctrl+P = Imprimer  |  F5 = Aller à une cellule  |  Ctrl+Fin = Dernière cellule  |  Ctrl+Home = Cellule 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</si>
</sst>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quot;-&quot;"/>
  </numFmts>
  <fonts count="24" x14ac:knownFonts="1">
    <font>
      <sz val="11"/>
      <color theme="1"/>
      <name val="Calibri"/>
      <family val="2"/>
      <scheme val="minor"/>
    </font>
    <font>
      <b/>
      <sz val="16"/>
      <color rgb="FFFFFFFF"/>
      <name val="Arial"/>
      <family val="2"/>
    </font>
    <font>
      <b/>
      <sz val="11"/>
      <color rgb="FFFFFFFF"/>
      <name val="Arial"/>
      <family val="2"/>
    </font>
    <font>
      <b/>
      <sz val="9"/>
      <color rgb="FFFFFFFF"/>
      <name val="Arial Narrow"/>
      <family val="2"/>
    </font>
    <font>
      <b/>
      <sz val="11"/>
      <color rgb="FF0000FF"/>
      <name val="Arial"/>
      <family val="2"/>
    </font>
    <font>
      <i/>
      <sz val="8"/>
      <color rgb="FFA6A6A6"/>
      <name val="Arial Narrow"/>
      <family val="2"/>
    </font>
    <font>
      <b/>
      <sz val="10"/>
      <color rgb="FFFFFFFF"/>
      <name val="Arial Narrow"/>
      <family val="2"/>
    </font>
    <font>
      <b/>
      <i/>
      <sz val="10"/>
      <color rgb="FFFFFFFF"/>
      <name val="Arial Narrow"/>
      <family val="2"/>
    </font>
    <font>
      <i/>
      <sz val="7"/>
      <color rgb="FF595959"/>
      <name val="Arial Narrow"/>
      <family val="2"/>
    </font>
    <font>
      <b/>
      <sz val="13"/>
      <color rgb="FFFFFFFF"/>
      <name val="Arial"/>
      <family val="2"/>
    </font>
    <font>
      <b/>
      <sz val="9"/>
      <color rgb="FFFFFFFF"/>
      <name val="Arial"/>
      <family val="2"/>
    </font>
    <font>
      <sz val="9"/>
      <color rgb="FF000000"/>
      <name val="Arial Narrow"/>
      <family val="2"/>
    </font>
    <font>
      <b/>
      <sz val="16"/>
      <color rgb="FFFFFFFF"/>
      <name val="Arial Narrow"/>
      <family val="2"/>
    </font>
    <font>
      <sz val="16"/>
      <color theme="1"/>
      <name val="Calibri"/>
      <family val="2"/>
      <scheme val="minor"/>
    </font>
    <font>
      <b/>
      <sz val="16"/>
      <color rgb="FFFFFFFF"/>
      <name val="Courier New"/>
      <family val="3"/>
    </font>
    <font>
      <sz val="16"/>
      <color rgb="FF0000FF"/>
      <name val="Arial Narrow"/>
      <family val="2"/>
    </font>
    <font>
      <sz val="16"/>
      <color theme="1"/>
      <name val="Arial Narrow"/>
      <family val="2"/>
    </font>
    <font>
      <b/>
      <sz val="16"/>
      <color theme="1"/>
      <name val="Arial Narrow"/>
      <family val="2"/>
    </font>
    <font>
      <sz val="14"/>
      <color theme="1"/>
      <name val="Calibri"/>
      <family val="2"/>
      <scheme val="minor"/>
    </font>
    <font>
      <b/>
      <sz val="14"/>
      <color rgb="FF1F3864"/>
      <name val="Arial Narrow"/>
      <family val="2"/>
    </font>
    <font>
      <b/>
      <sz val="14"/>
      <color rgb="FFC9A227"/>
      <name val="Arial Narrow"/>
      <family val="2"/>
    </font>
    <font>
      <b/>
      <sz val="14"/>
      <name val="Arial Narrow"/>
      <family val="2"/>
    </font>
    <font>
      <sz val="12"/>
      <color theme="1"/>
      <name val="Arial Narrow"/>
      <family val="2"/>
    </font>
    <font>
      <sz val="12"/>
      <color theme="1"/>
      <name val="Calibri"/>
      <family val="2"/>
      <scheme val="minor"/>
    </font>
  </fonts>
  <fills count="14">
    <fill>
      <patternFill patternType="none"/>
    </fill>
    <fill>
      <patternFill patternType="gray125"/>
    </fill>
    <fill>
      <patternFill patternType="solid">
        <fgColor rgb="FF1F3864"/>
      </patternFill>
    </fill>
    <fill>
      <patternFill patternType="solid">
        <fgColor rgb="FF2E75B6"/>
      </patternFill>
    </fill>
    <fill>
      <patternFill patternType="solid">
        <fgColor rgb="FF17375E"/>
      </patternFill>
    </fill>
    <fill>
      <patternFill patternType="solid">
        <fgColor rgb="FFEBF3FB"/>
      </patternFill>
    </fill>
    <fill>
      <patternFill patternType="solid">
        <fgColor rgb="FF375623"/>
      </patternFill>
    </fill>
    <fill>
      <patternFill patternType="solid">
        <fgColor rgb="FFC00000"/>
      </patternFill>
    </fill>
    <fill>
      <patternFill patternType="solid">
        <fgColor rgb="FFFFFFFF"/>
      </patternFill>
    </fill>
    <fill>
      <patternFill patternType="solid">
        <fgColor rgb="FFBDD7EE"/>
      </patternFill>
    </fill>
    <fill>
      <patternFill patternType="solid">
        <fgColor rgb="FFFFF2CC"/>
      </patternFill>
    </fill>
    <fill>
      <patternFill patternType="solid">
        <fgColor rgb="FF595959"/>
      </patternFill>
    </fill>
    <fill>
      <patternFill patternType="solid">
        <fgColor rgb="FFF2F2F2"/>
      </patternFill>
    </fill>
    <fill>
      <patternFill patternType="solid">
        <fgColor rgb="FFC9A227"/>
      </patternFill>
    </fill>
  </fills>
  <borders count="10">
    <border>
      <left/>
      <right/>
      <top/>
      <bottom/>
      <diagonal/>
    </border>
    <border>
      <left style="thin">
        <color rgb="FFBFBFBF"/>
      </left>
      <right style="thin">
        <color rgb="FFBFBFBF"/>
      </right>
      <top style="thin">
        <color rgb="FFBFBFBF"/>
      </top>
      <bottom style="thin">
        <color rgb="FFBFBFBF"/>
      </bottom>
      <diagonal/>
    </border>
    <border>
      <left style="medium">
        <color rgb="FF1F3864"/>
      </left>
      <right style="thin">
        <color rgb="FFBFBFBF"/>
      </right>
      <top style="medium">
        <color rgb="FF1F3864"/>
      </top>
      <bottom style="thin">
        <color rgb="FFBFBFBF"/>
      </bottom>
      <diagonal/>
    </border>
    <border>
      <left style="thin">
        <color rgb="FFBFBFBF"/>
      </left>
      <right style="thin">
        <color rgb="FFBFBFBF"/>
      </right>
      <top style="medium">
        <color rgb="FF1F3864"/>
      </top>
      <bottom style="thin">
        <color rgb="FFBFBFBF"/>
      </bottom>
      <diagonal/>
    </border>
    <border>
      <left style="thin">
        <color rgb="FFBFBFBF"/>
      </left>
      <right style="medium">
        <color rgb="FF1F3864"/>
      </right>
      <top style="medium">
        <color rgb="FF1F3864"/>
      </top>
      <bottom style="thin">
        <color rgb="FFBFBFBF"/>
      </bottom>
      <diagonal/>
    </border>
    <border>
      <left style="medium">
        <color rgb="FF1F3864"/>
      </left>
      <right style="thin">
        <color rgb="FFBFBFBF"/>
      </right>
      <top style="thin">
        <color rgb="FFBFBFBF"/>
      </top>
      <bottom style="thin">
        <color rgb="FFBFBFBF"/>
      </bottom>
      <diagonal/>
    </border>
    <border>
      <left style="thin">
        <color rgb="FFBFBFBF"/>
      </left>
      <right style="medium">
        <color rgb="FF1F3864"/>
      </right>
      <top style="thin">
        <color rgb="FFBFBFBF"/>
      </top>
      <bottom style="thin">
        <color rgb="FFBFBFBF"/>
      </bottom>
      <diagonal/>
    </border>
    <border>
      <left style="medium">
        <color rgb="FF1F3864"/>
      </left>
      <right style="thin">
        <color rgb="FFBFBFBF"/>
      </right>
      <top style="thin">
        <color rgb="FFBFBFBF"/>
      </top>
      <bottom style="medium">
        <color rgb="FF1F3864"/>
      </bottom>
      <diagonal/>
    </border>
    <border>
      <left style="thin">
        <color rgb="FFBFBFBF"/>
      </left>
      <right style="thin">
        <color rgb="FFBFBFBF"/>
      </right>
      <top style="thin">
        <color rgb="FFBFBFBF"/>
      </top>
      <bottom style="medium">
        <color rgb="FF1F3864"/>
      </bottom>
      <diagonal/>
    </border>
    <border>
      <left style="thin">
        <color rgb="FFBFBFBF"/>
      </left>
      <right style="medium">
        <color rgb="FF1F3864"/>
      </right>
      <top style="thin">
        <color rgb="FFBFBFBF"/>
      </top>
      <bottom style="medium">
        <color rgb="FF1F3864"/>
      </bottom>
      <diagonal/>
    </border>
  </borders>
  <cellStyleXfs count="1">
    <xf numFmtId="0" fontId="0" fillId="0" borderId="0"/>
  </cellStyleXfs>
  <cellXfs count="78">
    <xf numFmtId="0" fontId="0" fillId="0" borderId="0" xfId="0"/>
    <xf numFmtId="0" fontId="0" fillId="2" borderId="5" xfId="0" applyFill="1" applyBorder="1"/>
    <xf numFmtId="0" fontId="0" fillId="2" borderId="1" xfId="0" applyFill="1" applyBorder="1"/>
    <xf numFmtId="0" fontId="0" fillId="2" borderId="6" xfId="0" applyFill="1" applyBorder="1"/>
    <xf numFmtId="164" fontId="6" fillId="2" borderId="5" xfId="0" applyNumberFormat="1" applyFont="1" applyFill="1" applyBorder="1" applyAlignment="1">
      <alignment horizontal="right" vertical="center"/>
    </xf>
    <xf numFmtId="164" fontId="6" fillId="2" borderId="1" xfId="0" applyNumberFormat="1" applyFont="1" applyFill="1" applyBorder="1" applyAlignment="1">
      <alignment horizontal="right" vertical="center"/>
    </xf>
    <xf numFmtId="164" fontId="6" fillId="2" borderId="6" xfId="0" applyNumberFormat="1" applyFont="1" applyFill="1" applyBorder="1" applyAlignment="1">
      <alignment horizontal="right" vertical="center"/>
    </xf>
    <xf numFmtId="164" fontId="3" fillId="3" borderId="5" xfId="0" applyNumberFormat="1" applyFont="1" applyFill="1" applyBorder="1" applyAlignment="1">
      <alignment horizontal="right" vertical="center"/>
    </xf>
    <xf numFmtId="164" fontId="3" fillId="3" borderId="1" xfId="0" applyNumberFormat="1" applyFont="1" applyFill="1" applyBorder="1" applyAlignment="1">
      <alignment horizontal="right" vertical="center"/>
    </xf>
    <xf numFmtId="164" fontId="3" fillId="3" borderId="6" xfId="0" applyNumberFormat="1" applyFont="1" applyFill="1" applyBorder="1" applyAlignment="1">
      <alignment horizontal="right" vertical="center"/>
    </xf>
    <xf numFmtId="0" fontId="3" fillId="3" borderId="1" xfId="0" applyFont="1" applyFill="1" applyBorder="1" applyAlignment="1">
      <alignment horizontal="left" vertical="center" wrapText="1" indent="2"/>
    </xf>
    <xf numFmtId="0" fontId="11" fillId="12" borderId="1" xfId="0" applyFont="1" applyFill="1" applyBorder="1" applyAlignment="1">
      <alignment horizontal="left" vertical="center" wrapText="1" indent="2"/>
    </xf>
    <xf numFmtId="0" fontId="3" fillId="6" borderId="1" xfId="0" applyFont="1" applyFill="1" applyBorder="1" applyAlignment="1">
      <alignment horizontal="left" vertical="center" wrapText="1" indent="2"/>
    </xf>
    <xf numFmtId="0" fontId="3" fillId="13" borderId="1" xfId="0" applyFont="1" applyFill="1" applyBorder="1" applyAlignment="1">
      <alignment horizontal="left" vertical="center" wrapText="1" indent="2"/>
    </xf>
    <xf numFmtId="0" fontId="3" fillId="7" borderId="1" xfId="0" applyFont="1" applyFill="1" applyBorder="1" applyAlignment="1">
      <alignment horizontal="left" vertical="center" wrapText="1" indent="2"/>
    </xf>
    <xf numFmtId="0" fontId="3" fillId="2" borderId="1" xfId="0" applyFont="1" applyFill="1" applyBorder="1" applyAlignment="1">
      <alignment horizontal="left" vertical="center" wrapText="1" indent="2"/>
    </xf>
    <xf numFmtId="0" fontId="11" fillId="9" borderId="1" xfId="0" applyFont="1" applyFill="1" applyBorder="1" applyAlignment="1">
      <alignment horizontal="left" vertical="center" wrapText="1" indent="2"/>
    </xf>
    <xf numFmtId="0" fontId="1" fillId="2" borderId="2" xfId="0" applyFont="1" applyFill="1" applyBorder="1" applyAlignment="1">
      <alignment horizontal="center" vertical="center" indent="2"/>
    </xf>
    <xf numFmtId="0" fontId="0" fillId="0" borderId="3" xfId="0" applyBorder="1"/>
    <xf numFmtId="0" fontId="0" fillId="0" borderId="4" xfId="0" applyBorder="1"/>
    <xf numFmtId="14" fontId="4" fillId="5" borderId="1" xfId="0" applyNumberFormat="1" applyFont="1" applyFill="1" applyBorder="1" applyAlignment="1" applyProtection="1">
      <alignment horizontal="center" vertical="center"/>
      <protection locked="0"/>
    </xf>
    <xf numFmtId="0" fontId="0" fillId="0" borderId="1" xfId="0" applyBorder="1"/>
    <xf numFmtId="0" fontId="2" fillId="3" borderId="5" xfId="0" applyFont="1" applyFill="1" applyBorder="1" applyAlignment="1">
      <alignment horizontal="center" vertical="center"/>
    </xf>
    <xf numFmtId="0" fontId="0" fillId="0" borderId="6" xfId="0" applyBorder="1"/>
    <xf numFmtId="0" fontId="3" fillId="4" borderId="5" xfId="0" applyFont="1" applyFill="1" applyBorder="1" applyAlignment="1">
      <alignment horizontal="right" vertical="center"/>
    </xf>
    <xf numFmtId="0" fontId="0" fillId="8" borderId="5" xfId="0" applyFill="1" applyBorder="1"/>
    <xf numFmtId="0" fontId="5" fillId="4" borderId="1" xfId="0" applyFont="1" applyFill="1" applyBorder="1" applyAlignment="1">
      <alignment horizontal="right" vertical="center" indent="1"/>
    </xf>
    <xf numFmtId="0" fontId="6" fillId="11" borderId="5" xfId="0" applyFont="1" applyFill="1" applyBorder="1" applyAlignment="1">
      <alignment horizontal="center" vertical="center"/>
    </xf>
    <xf numFmtId="0" fontId="8" fillId="12" borderId="7" xfId="0" applyFont="1" applyFill="1" applyBorder="1" applyAlignment="1">
      <alignment horizontal="center" vertical="center"/>
    </xf>
    <xf numFmtId="0" fontId="0" fillId="0" borderId="8" xfId="0" applyBorder="1"/>
    <xf numFmtId="0" fontId="0" fillId="0" borderId="9" xfId="0" applyBorder="1"/>
    <xf numFmtId="0" fontId="6"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0" fontId="3" fillId="3" borderId="1" xfId="0" applyFont="1" applyFill="1" applyBorder="1" applyAlignment="1">
      <alignment horizontal="center" vertical="center"/>
    </xf>
    <xf numFmtId="0" fontId="3" fillId="2" borderId="5" xfId="0" applyFont="1" applyFill="1" applyBorder="1" applyAlignment="1">
      <alignment horizontal="center" vertical="center"/>
    </xf>
    <xf numFmtId="0" fontId="9" fillId="2" borderId="0" xfId="0" applyFont="1" applyFill="1" applyAlignment="1">
      <alignment horizontal="center" vertical="center"/>
    </xf>
    <xf numFmtId="0" fontId="0" fillId="0" borderId="0" xfId="0"/>
    <xf numFmtId="0" fontId="10" fillId="3" borderId="1" xfId="0" applyFont="1" applyFill="1" applyBorder="1" applyAlignment="1">
      <alignment horizontal="left" vertical="center" indent="2"/>
    </xf>
    <xf numFmtId="0" fontId="10" fillId="7" borderId="1" xfId="0" applyFont="1" applyFill="1" applyBorder="1" applyAlignment="1">
      <alignment horizontal="left" vertical="center" indent="2"/>
    </xf>
    <xf numFmtId="0" fontId="10" fillId="13" borderId="1" xfId="0" applyFont="1" applyFill="1" applyBorder="1" applyAlignment="1">
      <alignment horizontal="left" vertical="center" indent="2"/>
    </xf>
    <xf numFmtId="0" fontId="10" fillId="2" borderId="1" xfId="0" applyFont="1" applyFill="1" applyBorder="1" applyAlignment="1">
      <alignment horizontal="left" vertical="center" indent="2"/>
    </xf>
    <xf numFmtId="0" fontId="10" fillId="6" borderId="1" xfId="0" applyFont="1" applyFill="1" applyBorder="1" applyAlignment="1">
      <alignment horizontal="left" vertical="center" indent="2"/>
    </xf>
    <xf numFmtId="0" fontId="12" fillId="6" borderId="5" xfId="0" applyFont="1" applyFill="1" applyBorder="1" applyAlignment="1">
      <alignment horizontal="center" vertical="center"/>
    </xf>
    <xf numFmtId="0" fontId="13" fillId="0" borderId="1" xfId="0" applyFont="1" applyBorder="1"/>
    <xf numFmtId="0" fontId="12" fillId="4" borderId="1" xfId="0" applyFont="1" applyFill="1" applyBorder="1" applyAlignment="1">
      <alignment horizontal="center" vertical="center"/>
    </xf>
    <xf numFmtId="0" fontId="12" fillId="7" borderId="1" xfId="0" applyFont="1" applyFill="1" applyBorder="1" applyAlignment="1">
      <alignment horizontal="center" vertical="center"/>
    </xf>
    <xf numFmtId="0" fontId="13" fillId="0" borderId="6" xfId="0" applyFont="1" applyBorder="1"/>
    <xf numFmtId="0" fontId="12" fillId="6" borderId="5" xfId="0" applyFont="1" applyFill="1" applyBorder="1" applyAlignment="1">
      <alignment horizontal="center" vertical="center"/>
    </xf>
    <xf numFmtId="0" fontId="12" fillId="6" borderId="1" xfId="0" applyFont="1" applyFill="1" applyBorder="1" applyAlignment="1">
      <alignment horizontal="center" vertical="center"/>
    </xf>
    <xf numFmtId="0" fontId="12" fillId="4" borderId="1" xfId="0" applyFont="1" applyFill="1" applyBorder="1" applyAlignment="1">
      <alignment horizontal="center" vertical="center"/>
    </xf>
    <xf numFmtId="0" fontId="12" fillId="7" borderId="1" xfId="0" applyFont="1" applyFill="1" applyBorder="1" applyAlignment="1">
      <alignment horizontal="center" vertical="center"/>
    </xf>
    <xf numFmtId="0" fontId="12" fillId="7" borderId="6" xfId="0" applyFont="1" applyFill="1" applyBorder="1" applyAlignment="1">
      <alignment horizontal="center" vertical="center"/>
    </xf>
    <xf numFmtId="0" fontId="14" fillId="6" borderId="5" xfId="0" applyFont="1" applyFill="1" applyBorder="1" applyAlignment="1">
      <alignment horizontal="center" vertical="center"/>
    </xf>
    <xf numFmtId="0" fontId="14" fillId="6" borderId="1" xfId="0" applyFont="1" applyFill="1" applyBorder="1" applyAlignment="1">
      <alignment horizontal="center" vertical="center"/>
    </xf>
    <xf numFmtId="0" fontId="14" fillId="4" borderId="1" xfId="0" applyFont="1" applyFill="1" applyBorder="1" applyAlignment="1">
      <alignment horizontal="center" vertical="center"/>
    </xf>
    <xf numFmtId="0" fontId="14" fillId="7" borderId="1" xfId="0" applyFont="1" applyFill="1" applyBorder="1" applyAlignment="1">
      <alignment horizontal="center" vertical="center"/>
    </xf>
    <xf numFmtId="0" fontId="14" fillId="7" borderId="6"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12" fillId="2" borderId="6" xfId="0" applyFont="1" applyFill="1" applyBorder="1" applyAlignment="1">
      <alignment horizontal="center" vertical="center" wrapText="1"/>
    </xf>
    <xf numFmtId="164" fontId="15" fillId="5" borderId="5" xfId="0" applyNumberFormat="1" applyFont="1" applyFill="1" applyBorder="1" applyAlignment="1" applyProtection="1">
      <alignment horizontal="right" vertical="center"/>
      <protection locked="0"/>
    </xf>
    <xf numFmtId="164" fontId="15" fillId="5" borderId="1" xfId="0" applyNumberFormat="1" applyFont="1" applyFill="1" applyBorder="1" applyAlignment="1" applyProtection="1">
      <alignment horizontal="right" vertical="center"/>
      <protection locked="0"/>
    </xf>
    <xf numFmtId="164" fontId="15" fillId="5" borderId="6" xfId="0" applyNumberFormat="1" applyFont="1" applyFill="1" applyBorder="1" applyAlignment="1" applyProtection="1">
      <alignment horizontal="right" vertical="center"/>
      <protection locked="0"/>
    </xf>
    <xf numFmtId="164" fontId="16" fillId="0" borderId="5" xfId="0" applyNumberFormat="1" applyFont="1" applyFill="1" applyBorder="1" applyAlignment="1" applyProtection="1">
      <alignment horizontal="right" vertical="center"/>
      <protection locked="0"/>
    </xf>
    <xf numFmtId="164" fontId="16" fillId="0" borderId="1" xfId="0" applyNumberFormat="1" applyFont="1" applyFill="1" applyBorder="1" applyAlignment="1" applyProtection="1">
      <alignment horizontal="right" vertical="center"/>
      <protection locked="0"/>
    </xf>
    <xf numFmtId="0" fontId="16" fillId="0" borderId="1" xfId="0" applyFont="1" applyFill="1" applyBorder="1" applyAlignment="1" applyProtection="1">
      <alignment horizontal="left" vertical="center" indent="1"/>
      <protection locked="0"/>
    </xf>
    <xf numFmtId="0" fontId="16" fillId="0" borderId="1" xfId="0" applyFont="1" applyFill="1" applyBorder="1" applyAlignment="1" applyProtection="1">
      <alignment horizontal="center" vertical="center"/>
      <protection locked="0"/>
    </xf>
    <xf numFmtId="164" fontId="17" fillId="0" borderId="6" xfId="0" applyNumberFormat="1" applyFont="1" applyFill="1" applyBorder="1" applyAlignment="1">
      <alignment horizontal="right" vertical="center"/>
    </xf>
    <xf numFmtId="0" fontId="18" fillId="0" borderId="5" xfId="0" applyFont="1" applyBorder="1"/>
    <xf numFmtId="0" fontId="18" fillId="0" borderId="1" xfId="0" applyFont="1" applyBorder="1"/>
    <xf numFmtId="0" fontId="19" fillId="10" borderId="1" xfId="0" applyFont="1" applyFill="1" applyBorder="1" applyAlignment="1">
      <alignment horizontal="center" vertical="center"/>
    </xf>
    <xf numFmtId="0" fontId="18" fillId="0" borderId="1" xfId="0" applyFont="1" applyBorder="1"/>
    <xf numFmtId="164" fontId="20" fillId="10" borderId="1" xfId="0" applyNumberFormat="1" applyFont="1" applyFill="1" applyBorder="1" applyAlignment="1">
      <alignment horizontal="right" vertical="center"/>
    </xf>
    <xf numFmtId="0" fontId="21" fillId="10" borderId="1" xfId="0" applyFont="1" applyFill="1" applyBorder="1" applyAlignment="1">
      <alignment horizontal="center" vertical="center"/>
    </xf>
    <xf numFmtId="164" fontId="20" fillId="10" borderId="6" xfId="0" applyNumberFormat="1" applyFont="1" applyFill="1" applyBorder="1" applyAlignment="1">
      <alignment horizontal="right" vertical="center"/>
    </xf>
    <xf numFmtId="0" fontId="22" fillId="0" borderId="1" xfId="0" applyFont="1" applyFill="1" applyBorder="1" applyAlignment="1" applyProtection="1">
      <alignment horizontal="left" vertical="center" indent="1"/>
      <protection locked="0"/>
    </xf>
    <xf numFmtId="0" fontId="22" fillId="0" borderId="1" xfId="0" applyFont="1" applyFill="1" applyBorder="1" applyAlignment="1" applyProtection="1">
      <alignment horizontal="center" vertical="center"/>
      <protection locked="0"/>
    </xf>
    <xf numFmtId="0" fontId="23" fillId="0" borderId="0" xfId="0" applyFont="1"/>
  </cellXfs>
  <cellStyles count="1">
    <cellStyle name="Normal" xfId="0" builtinId="0"/>
  </cellStyles>
  <dxfs count="3">
    <dxf>
      <font>
        <b/>
        <sz val="9"/>
        <color rgb="FFC00000"/>
        <name val="Arial Narrow"/>
      </font>
      <fill>
        <patternFill patternType="solid">
          <fgColor rgb="FFFFCCCC"/>
        </patternFill>
      </fill>
    </dxf>
    <dxf>
      <font>
        <b/>
        <sz val="9"/>
        <color rgb="FF375623"/>
        <name val="Arial Narrow"/>
      </font>
      <fill>
        <patternFill patternType="solid">
          <fgColor rgb="FFE2EFDA"/>
        </patternFill>
      </fill>
    </dxf>
    <dxf>
      <font>
        <color rgb="FFA6A6A6"/>
      </font>
      <fill>
        <patternFill patternType="solid">
          <fgColor rgb="FFF5F5F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F2CC"/>
  </sheetPr>
  <dimension ref="A1:C22"/>
  <sheetViews>
    <sheetView workbookViewId="0"/>
  </sheetViews>
  <sheetFormatPr baseColWidth="10" defaultColWidth="9.140625" defaultRowHeight="15" x14ac:dyDescent="0.25"/>
  <sheetData>
    <row r="1" spans="1:3" x14ac:dyDescent="0.25">
      <c r="A1" s="77" t="s">
        <v>0</v>
      </c>
      <c r="B1" s="77" t="s">
        <v>1</v>
      </c>
      <c r="C1" s="77" t="s">
        <v>2</v>
      </c>
    </row>
    <row r="2" spans="1:3" x14ac:dyDescent="0.25">
      <c r="A2" s="77" t="s">
        <v>3</v>
      </c>
      <c r="B2" s="77">
        <v>2021</v>
      </c>
      <c r="C2" s="77" t="s">
        <v>4</v>
      </c>
    </row>
    <row r="3" spans="1:3" x14ac:dyDescent="0.25">
      <c r="A3" s="77" t="s">
        <v>5</v>
      </c>
      <c r="B3" s="77">
        <v>2022</v>
      </c>
      <c r="C3" s="77" t="s">
        <v>6</v>
      </c>
    </row>
    <row r="4" spans="1:3" x14ac:dyDescent="0.25">
      <c r="A4" s="77" t="s">
        <v>7</v>
      </c>
      <c r="B4" s="77">
        <v>2023</v>
      </c>
      <c r="C4" s="77" t="s">
        <v>8</v>
      </c>
    </row>
    <row r="5" spans="1:3" x14ac:dyDescent="0.25">
      <c r="A5" s="77" t="s">
        <v>9</v>
      </c>
      <c r="B5" s="77">
        <v>2024</v>
      </c>
      <c r="C5" s="77" t="s">
        <v>10</v>
      </c>
    </row>
    <row r="6" spans="1:3" x14ac:dyDescent="0.25">
      <c r="A6" s="77" t="s">
        <v>11</v>
      </c>
      <c r="B6" s="77">
        <v>2025</v>
      </c>
      <c r="C6" s="77" t="s">
        <v>12</v>
      </c>
    </row>
    <row r="7" spans="1:3" x14ac:dyDescent="0.25">
      <c r="A7" s="77" t="s">
        <v>13</v>
      </c>
      <c r="B7" s="77">
        <v>2026</v>
      </c>
      <c r="C7" s="77" t="s">
        <v>14</v>
      </c>
    </row>
    <row r="8" spans="1:3" x14ac:dyDescent="0.25">
      <c r="A8" s="77" t="s">
        <v>15</v>
      </c>
      <c r="B8" s="77">
        <v>2027</v>
      </c>
      <c r="C8" s="77" t="s">
        <v>16</v>
      </c>
    </row>
    <row r="9" spans="1:3" x14ac:dyDescent="0.25">
      <c r="A9" s="77" t="s">
        <v>17</v>
      </c>
      <c r="B9" s="77">
        <v>2028</v>
      </c>
      <c r="C9" s="77" t="s">
        <v>18</v>
      </c>
    </row>
    <row r="10" spans="1:3" x14ac:dyDescent="0.25">
      <c r="A10" s="77" t="s">
        <v>19</v>
      </c>
      <c r="B10" s="77">
        <v>2029</v>
      </c>
      <c r="C10" s="77" t="s">
        <v>20</v>
      </c>
    </row>
    <row r="11" spans="1:3" x14ac:dyDescent="0.25">
      <c r="B11" s="77">
        <v>2030</v>
      </c>
      <c r="C11" s="77" t="s">
        <v>21</v>
      </c>
    </row>
    <row r="12" spans="1:3" x14ac:dyDescent="0.25">
      <c r="B12" s="77">
        <v>2031</v>
      </c>
      <c r="C12" s="77" t="s">
        <v>22</v>
      </c>
    </row>
    <row r="13" spans="1:3" x14ac:dyDescent="0.25">
      <c r="B13" s="77">
        <v>2032</v>
      </c>
      <c r="C13" s="77" t="s">
        <v>23</v>
      </c>
    </row>
    <row r="14" spans="1:3" x14ac:dyDescent="0.25">
      <c r="B14" s="77">
        <v>2033</v>
      </c>
      <c r="C14" s="77" t="s">
        <v>24</v>
      </c>
    </row>
    <row r="15" spans="1:3" x14ac:dyDescent="0.25">
      <c r="B15" s="77">
        <v>2034</v>
      </c>
      <c r="C15" s="77" t="s">
        <v>25</v>
      </c>
    </row>
    <row r="16" spans="1:3" x14ac:dyDescent="0.25">
      <c r="B16" s="77">
        <v>2035</v>
      </c>
      <c r="C16" s="77" t="s">
        <v>26</v>
      </c>
    </row>
    <row r="17" spans="3:3" x14ac:dyDescent="0.25">
      <c r="C17" s="77" t="s">
        <v>27</v>
      </c>
    </row>
    <row r="18" spans="3:3" x14ac:dyDescent="0.25">
      <c r="C18" s="77" t="s">
        <v>28</v>
      </c>
    </row>
    <row r="19" spans="3:3" x14ac:dyDescent="0.25">
      <c r="C19" s="77" t="s">
        <v>29</v>
      </c>
    </row>
    <row r="20" spans="3:3" x14ac:dyDescent="0.25">
      <c r="C20" s="77" t="s">
        <v>30</v>
      </c>
    </row>
    <row r="21" spans="3:3" x14ac:dyDescent="0.25">
      <c r="C21" s="77" t="s">
        <v>31</v>
      </c>
    </row>
    <row r="22" spans="3:3" x14ac:dyDescent="0.25">
      <c r="C22" s="77" t="s">
        <v>19</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rgb="FFB4C7E7"/>
    <pageSetUpPr fitToPage="1"/>
  </sheetPr>
  <dimension ref="A1:N58"/>
  <sheetViews>
    <sheetView showGridLines="0" tabSelected="1" view="pageBreakPreview" zoomScale="70" zoomScaleNormal="100" zoomScaleSheetLayoutView="70" workbookViewId="0">
      <pane xSplit="6" ySplit="7" topLeftCell="G8" activePane="bottomRight" state="frozen"/>
      <selection pane="topRight"/>
      <selection pane="bottomLeft"/>
      <selection pane="bottomRight" activeCell="I14" sqref="I14"/>
    </sheetView>
  </sheetViews>
  <sheetFormatPr baseColWidth="10" defaultColWidth="9.140625" defaultRowHeight="15" x14ac:dyDescent="0.25"/>
  <cols>
    <col min="1" max="1" width="10" customWidth="1"/>
    <col min="2" max="2" width="9" customWidth="1"/>
    <col min="3" max="3" width="27" customWidth="1"/>
    <col min="4" max="4" width="13.7109375" customWidth="1"/>
    <col min="5" max="5" width="15" customWidth="1"/>
    <col min="6" max="6" width="26.28515625" customWidth="1"/>
    <col min="7" max="7" width="15" customWidth="1"/>
    <col min="8" max="8" width="14.7109375" customWidth="1"/>
    <col min="9" max="9" width="17" customWidth="1"/>
    <col min="10" max="10" width="23.28515625" customWidth="1"/>
    <col min="11" max="11" width="18.5703125" customWidth="1"/>
    <col min="12" max="12" width="18.7109375" customWidth="1"/>
    <col min="13" max="13" width="20.140625" customWidth="1"/>
    <col min="14" max="14" width="28" customWidth="1"/>
    <col min="15" max="15" width="1" customWidth="1"/>
  </cols>
  <sheetData>
    <row r="1" spans="1:14" ht="38.1" customHeight="1" x14ac:dyDescent="0.25">
      <c r="A1" s="17" t="s">
        <v>32</v>
      </c>
      <c r="B1" s="18"/>
      <c r="C1" s="18"/>
      <c r="D1" s="18"/>
      <c r="E1" s="18"/>
      <c r="F1" s="18"/>
      <c r="G1" s="18"/>
      <c r="H1" s="18"/>
      <c r="I1" s="18"/>
      <c r="J1" s="18"/>
      <c r="K1" s="18"/>
      <c r="L1" s="18"/>
      <c r="M1" s="18"/>
      <c r="N1" s="19"/>
    </row>
    <row r="2" spans="1:14" ht="35.1" customHeight="1" x14ac:dyDescent="0.25">
      <c r="A2" s="22" t="s">
        <v>33</v>
      </c>
      <c r="B2" s="21"/>
      <c r="C2" s="21"/>
      <c r="D2" s="21"/>
      <c r="E2" s="21"/>
      <c r="F2" s="21"/>
      <c r="G2" s="21"/>
      <c r="H2" s="21"/>
      <c r="I2" s="21"/>
      <c r="J2" s="21"/>
      <c r="K2" s="21"/>
      <c r="L2" s="21"/>
      <c r="M2" s="21"/>
      <c r="N2" s="23"/>
    </row>
    <row r="3" spans="1:14" ht="35.1" customHeight="1" x14ac:dyDescent="0.25">
      <c r="A3" s="24" t="s">
        <v>34</v>
      </c>
      <c r="B3" s="21"/>
      <c r="C3" s="20">
        <v>46168</v>
      </c>
      <c r="D3" s="21"/>
      <c r="E3" s="21"/>
      <c r="F3" s="21"/>
      <c r="G3" s="26" t="s">
        <v>35</v>
      </c>
      <c r="H3" s="21"/>
      <c r="I3" s="21"/>
      <c r="J3" s="21"/>
      <c r="K3" s="21"/>
      <c r="L3" s="21"/>
      <c r="M3" s="21"/>
      <c r="N3" s="23"/>
    </row>
    <row r="4" spans="1:14" ht="35.1" customHeight="1" x14ac:dyDescent="0.35">
      <c r="A4" s="42" t="s">
        <v>36</v>
      </c>
      <c r="B4" s="43"/>
      <c r="C4" s="44" t="s">
        <v>37</v>
      </c>
      <c r="D4" s="43"/>
      <c r="E4" s="43"/>
      <c r="F4" s="43"/>
      <c r="G4" s="45" t="s">
        <v>38</v>
      </c>
      <c r="H4" s="43"/>
      <c r="I4" s="43"/>
      <c r="J4" s="43"/>
      <c r="K4" s="43"/>
      <c r="L4" s="43"/>
      <c r="M4" s="43"/>
      <c r="N4" s="46"/>
    </row>
    <row r="5" spans="1:14" ht="35.1" customHeight="1" x14ac:dyDescent="0.25">
      <c r="A5" s="47" t="s">
        <v>39</v>
      </c>
      <c r="B5" s="48" t="s">
        <v>40</v>
      </c>
      <c r="C5" s="49"/>
      <c r="D5" s="49"/>
      <c r="E5" s="49"/>
      <c r="F5" s="49"/>
      <c r="G5" s="50" t="s">
        <v>39</v>
      </c>
      <c r="H5" s="50"/>
      <c r="I5" s="50"/>
      <c r="J5" s="50"/>
      <c r="K5" s="50"/>
      <c r="L5" s="50"/>
      <c r="M5" s="50"/>
      <c r="N5" s="51" t="s">
        <v>40</v>
      </c>
    </row>
    <row r="6" spans="1:14" ht="35.1" customHeight="1" x14ac:dyDescent="0.25">
      <c r="A6" s="52" t="s">
        <v>41</v>
      </c>
      <c r="B6" s="53" t="s">
        <v>42</v>
      </c>
      <c r="C6" s="54"/>
      <c r="D6" s="54"/>
      <c r="E6" s="54"/>
      <c r="F6" s="54"/>
      <c r="G6" s="55" t="s">
        <v>43</v>
      </c>
      <c r="H6" s="55" t="s">
        <v>42</v>
      </c>
      <c r="I6" s="55" t="s">
        <v>44</v>
      </c>
      <c r="J6" s="55" t="s">
        <v>45</v>
      </c>
      <c r="K6" s="55" t="s">
        <v>45</v>
      </c>
      <c r="L6" s="55" t="s">
        <v>45</v>
      </c>
      <c r="M6" s="55" t="s">
        <v>45</v>
      </c>
      <c r="N6" s="56" t="s">
        <v>41</v>
      </c>
    </row>
    <row r="7" spans="1:14" ht="35.1" customHeight="1" x14ac:dyDescent="0.25">
      <c r="A7" s="57" t="s">
        <v>46</v>
      </c>
      <c r="B7" s="58" t="s">
        <v>47</v>
      </c>
      <c r="C7" s="58" t="s">
        <v>48</v>
      </c>
      <c r="D7" s="58" t="s">
        <v>49</v>
      </c>
      <c r="E7" s="58" t="s">
        <v>50</v>
      </c>
      <c r="F7" s="58" t="s">
        <v>51</v>
      </c>
      <c r="G7" s="58" t="s">
        <v>52</v>
      </c>
      <c r="H7" s="58" t="s">
        <v>47</v>
      </c>
      <c r="I7" s="58" t="s">
        <v>53</v>
      </c>
      <c r="J7" s="58" t="s">
        <v>4</v>
      </c>
      <c r="K7" s="58" t="s">
        <v>6</v>
      </c>
      <c r="L7" s="58" t="s">
        <v>8</v>
      </c>
      <c r="M7" s="58" t="s">
        <v>10</v>
      </c>
      <c r="N7" s="59" t="s">
        <v>46</v>
      </c>
    </row>
    <row r="8" spans="1:14" ht="35.1" customHeight="1" x14ac:dyDescent="0.35">
      <c r="A8" s="60">
        <v>0</v>
      </c>
      <c r="B8" s="61">
        <v>0</v>
      </c>
      <c r="C8" s="44" t="s">
        <v>54</v>
      </c>
      <c r="D8" s="43"/>
      <c r="E8" s="43"/>
      <c r="F8" s="43"/>
      <c r="G8" s="61">
        <v>0</v>
      </c>
      <c r="H8" s="61">
        <v>0</v>
      </c>
      <c r="I8" s="61">
        <v>0</v>
      </c>
      <c r="J8" s="61">
        <v>0</v>
      </c>
      <c r="K8" s="61">
        <v>0</v>
      </c>
      <c r="L8" s="61">
        <v>0</v>
      </c>
      <c r="M8" s="61">
        <v>0</v>
      </c>
      <c r="N8" s="62">
        <v>0</v>
      </c>
    </row>
    <row r="9" spans="1:14" ht="35.1" customHeight="1" x14ac:dyDescent="0.25">
      <c r="A9" s="63">
        <v>0</v>
      </c>
      <c r="B9" s="64">
        <v>0</v>
      </c>
      <c r="C9" s="75" t="s">
        <v>5</v>
      </c>
      <c r="D9" s="66">
        <v>172</v>
      </c>
      <c r="E9" s="76">
        <v>2026</v>
      </c>
      <c r="F9" s="75" t="s">
        <v>4</v>
      </c>
      <c r="G9" s="64">
        <v>0</v>
      </c>
      <c r="H9" s="64">
        <v>0</v>
      </c>
      <c r="I9" s="64">
        <v>0</v>
      </c>
      <c r="J9" s="64">
        <v>29700</v>
      </c>
      <c r="K9" s="64">
        <v>0</v>
      </c>
      <c r="L9" s="64">
        <v>0</v>
      </c>
      <c r="M9" s="64">
        <v>0</v>
      </c>
      <c r="N9" s="67">
        <f t="shared" ref="N9:N48" si="0">IF(G9+H9+I9+J9+K9+L9+M9=0,"-",G9+H9+I9+J9+K9+L9+M9)</f>
        <v>29700</v>
      </c>
    </row>
    <row r="10" spans="1:14" ht="35.1" customHeight="1" x14ac:dyDescent="0.25">
      <c r="A10" s="63">
        <v>0</v>
      </c>
      <c r="B10" s="64">
        <v>0</v>
      </c>
      <c r="C10" s="75" t="s">
        <v>5</v>
      </c>
      <c r="D10" s="66">
        <v>173</v>
      </c>
      <c r="E10" s="76">
        <v>2026</v>
      </c>
      <c r="F10" s="75" t="s">
        <v>4</v>
      </c>
      <c r="G10" s="64">
        <v>0</v>
      </c>
      <c r="H10" s="64">
        <v>0</v>
      </c>
      <c r="I10" s="64">
        <v>0</v>
      </c>
      <c r="J10" s="64">
        <v>29700</v>
      </c>
      <c r="K10" s="64">
        <v>0</v>
      </c>
      <c r="L10" s="64">
        <v>0</v>
      </c>
      <c r="M10" s="64">
        <v>0</v>
      </c>
      <c r="N10" s="67">
        <f t="shared" si="0"/>
        <v>29700</v>
      </c>
    </row>
    <row r="11" spans="1:14" ht="35.1" customHeight="1" x14ac:dyDescent="0.25">
      <c r="A11" s="63">
        <v>0</v>
      </c>
      <c r="B11" s="64">
        <v>0</v>
      </c>
      <c r="C11" s="75" t="s">
        <v>5</v>
      </c>
      <c r="D11" s="66">
        <v>175</v>
      </c>
      <c r="E11" s="76">
        <v>2026</v>
      </c>
      <c r="F11" s="75" t="s">
        <v>4</v>
      </c>
      <c r="G11" s="64">
        <v>0</v>
      </c>
      <c r="H11" s="64">
        <v>0</v>
      </c>
      <c r="I11" s="64">
        <v>0</v>
      </c>
      <c r="J11" s="64">
        <v>29700</v>
      </c>
      <c r="K11" s="64">
        <v>0</v>
      </c>
      <c r="L11" s="64">
        <v>0</v>
      </c>
      <c r="M11" s="64">
        <v>0</v>
      </c>
      <c r="N11" s="67">
        <f t="shared" si="0"/>
        <v>29700</v>
      </c>
    </row>
    <row r="12" spans="1:14" ht="35.1" customHeight="1" x14ac:dyDescent="0.25">
      <c r="A12" s="63">
        <v>0</v>
      </c>
      <c r="B12" s="64">
        <v>0</v>
      </c>
      <c r="C12" s="75" t="s">
        <v>5</v>
      </c>
      <c r="D12" s="66">
        <v>197</v>
      </c>
      <c r="E12" s="76">
        <v>2026</v>
      </c>
      <c r="F12" s="75" t="s">
        <v>6</v>
      </c>
      <c r="G12" s="64">
        <v>0</v>
      </c>
      <c r="H12" s="64">
        <v>0</v>
      </c>
      <c r="I12" s="64">
        <v>0</v>
      </c>
      <c r="J12" s="64">
        <v>27887</v>
      </c>
      <c r="K12" s="64">
        <v>0</v>
      </c>
      <c r="L12" s="64">
        <v>0</v>
      </c>
      <c r="M12" s="64">
        <v>0</v>
      </c>
      <c r="N12" s="67">
        <f t="shared" si="0"/>
        <v>27887</v>
      </c>
    </row>
    <row r="13" spans="1:14" ht="35.1" customHeight="1" x14ac:dyDescent="0.25">
      <c r="A13" s="63">
        <v>0</v>
      </c>
      <c r="B13" s="64">
        <v>0</v>
      </c>
      <c r="C13" s="75" t="s">
        <v>5</v>
      </c>
      <c r="D13" s="66">
        <v>202</v>
      </c>
      <c r="E13" s="76">
        <v>2026</v>
      </c>
      <c r="F13" s="75" t="s">
        <v>6</v>
      </c>
      <c r="G13" s="64">
        <v>0</v>
      </c>
      <c r="H13" s="64">
        <v>0</v>
      </c>
      <c r="I13" s="64">
        <v>0</v>
      </c>
      <c r="J13" s="64">
        <v>22275</v>
      </c>
      <c r="K13" s="64">
        <v>0</v>
      </c>
      <c r="L13" s="64">
        <v>0</v>
      </c>
      <c r="M13" s="64">
        <v>0</v>
      </c>
      <c r="N13" s="67">
        <f t="shared" si="0"/>
        <v>22275</v>
      </c>
    </row>
    <row r="14" spans="1:14" ht="35.1" customHeight="1" x14ac:dyDescent="0.25">
      <c r="A14" s="63">
        <v>0</v>
      </c>
      <c r="B14" s="64">
        <v>0</v>
      </c>
      <c r="C14" s="75" t="s">
        <v>5</v>
      </c>
      <c r="D14" s="66">
        <v>153</v>
      </c>
      <c r="E14" s="76">
        <v>2026</v>
      </c>
      <c r="F14" s="75" t="s">
        <v>10</v>
      </c>
      <c r="G14" s="64">
        <v>0</v>
      </c>
      <c r="H14" s="64">
        <v>0</v>
      </c>
      <c r="I14" s="64">
        <v>0</v>
      </c>
      <c r="J14" s="64">
        <v>0</v>
      </c>
      <c r="K14" s="64">
        <v>0</v>
      </c>
      <c r="L14" s="64">
        <v>0</v>
      </c>
      <c r="M14" s="64">
        <v>483120</v>
      </c>
      <c r="N14" s="67">
        <f t="shared" si="0"/>
        <v>483120</v>
      </c>
    </row>
    <row r="15" spans="1:14" ht="35.1" customHeight="1" x14ac:dyDescent="0.25">
      <c r="A15" s="63">
        <v>0</v>
      </c>
      <c r="B15" s="64">
        <v>0</v>
      </c>
      <c r="C15" s="75" t="s">
        <v>5</v>
      </c>
      <c r="D15" s="66">
        <v>166</v>
      </c>
      <c r="E15" s="76">
        <v>2026</v>
      </c>
      <c r="F15" s="75" t="s">
        <v>10</v>
      </c>
      <c r="G15" s="64">
        <v>0</v>
      </c>
      <c r="H15" s="64">
        <v>0</v>
      </c>
      <c r="I15" s="64">
        <v>0</v>
      </c>
      <c r="J15" s="64">
        <v>0</v>
      </c>
      <c r="K15" s="64">
        <v>0</v>
      </c>
      <c r="L15" s="64">
        <v>0</v>
      </c>
      <c r="M15" s="64">
        <v>27846</v>
      </c>
      <c r="N15" s="67">
        <f t="shared" si="0"/>
        <v>27846</v>
      </c>
    </row>
    <row r="16" spans="1:14" ht="35.1" customHeight="1" x14ac:dyDescent="0.25">
      <c r="A16" s="63">
        <v>0</v>
      </c>
      <c r="B16" s="64">
        <v>0</v>
      </c>
      <c r="C16" s="75" t="s">
        <v>5</v>
      </c>
      <c r="D16" s="66">
        <v>172</v>
      </c>
      <c r="E16" s="76">
        <v>2026</v>
      </c>
      <c r="F16" s="75" t="s">
        <v>10</v>
      </c>
      <c r="G16" s="64">
        <v>0</v>
      </c>
      <c r="H16" s="64">
        <v>0</v>
      </c>
      <c r="I16" s="64">
        <v>0</v>
      </c>
      <c r="J16" s="64">
        <v>0</v>
      </c>
      <c r="K16" s="64">
        <v>0</v>
      </c>
      <c r="L16" s="64">
        <v>0</v>
      </c>
      <c r="M16" s="64">
        <v>22275</v>
      </c>
      <c r="N16" s="67">
        <f t="shared" si="0"/>
        <v>22275</v>
      </c>
    </row>
    <row r="17" spans="1:14" ht="35.1" customHeight="1" x14ac:dyDescent="0.25">
      <c r="A17" s="63">
        <v>0</v>
      </c>
      <c r="B17" s="64">
        <v>0</v>
      </c>
      <c r="C17" s="75"/>
      <c r="D17" s="66"/>
      <c r="E17" s="76"/>
      <c r="F17" s="75"/>
      <c r="G17" s="64">
        <v>0</v>
      </c>
      <c r="H17" s="64">
        <v>0</v>
      </c>
      <c r="I17" s="64">
        <v>0</v>
      </c>
      <c r="J17" s="64">
        <v>0</v>
      </c>
      <c r="K17" s="64">
        <v>0</v>
      </c>
      <c r="L17" s="64">
        <v>0</v>
      </c>
      <c r="M17" s="64">
        <v>0</v>
      </c>
      <c r="N17" s="67" t="str">
        <f t="shared" si="0"/>
        <v>-</v>
      </c>
    </row>
    <row r="18" spans="1:14" ht="35.1" customHeight="1" x14ac:dyDescent="0.25">
      <c r="A18" s="63">
        <v>0</v>
      </c>
      <c r="B18" s="64">
        <v>0</v>
      </c>
      <c r="C18" s="75"/>
      <c r="D18" s="66"/>
      <c r="E18" s="76"/>
      <c r="F18" s="75"/>
      <c r="G18" s="64">
        <v>0</v>
      </c>
      <c r="H18" s="64">
        <v>0</v>
      </c>
      <c r="I18" s="64">
        <v>0</v>
      </c>
      <c r="J18" s="64">
        <v>0</v>
      </c>
      <c r="K18" s="64">
        <v>0</v>
      </c>
      <c r="L18" s="64">
        <v>0</v>
      </c>
      <c r="M18" s="64">
        <v>0</v>
      </c>
      <c r="N18" s="67" t="str">
        <f t="shared" si="0"/>
        <v>-</v>
      </c>
    </row>
    <row r="19" spans="1:14" ht="35.1" customHeight="1" x14ac:dyDescent="0.25">
      <c r="A19" s="63">
        <v>0</v>
      </c>
      <c r="B19" s="64">
        <v>0</v>
      </c>
      <c r="C19" s="75"/>
      <c r="D19" s="66"/>
      <c r="E19" s="76"/>
      <c r="F19" s="75"/>
      <c r="G19" s="64">
        <v>0</v>
      </c>
      <c r="H19" s="64">
        <v>0</v>
      </c>
      <c r="I19" s="64">
        <v>0</v>
      </c>
      <c r="J19" s="64">
        <v>0</v>
      </c>
      <c r="K19" s="64">
        <v>0</v>
      </c>
      <c r="L19" s="64">
        <v>0</v>
      </c>
      <c r="M19" s="64">
        <v>0</v>
      </c>
      <c r="N19" s="67" t="str">
        <f t="shared" si="0"/>
        <v>-</v>
      </c>
    </row>
    <row r="20" spans="1:14" ht="35.1" customHeight="1" x14ac:dyDescent="0.25">
      <c r="A20" s="63">
        <v>0</v>
      </c>
      <c r="B20" s="64">
        <v>0</v>
      </c>
      <c r="C20" s="75"/>
      <c r="D20" s="66"/>
      <c r="E20" s="76"/>
      <c r="F20" s="75"/>
      <c r="G20" s="64">
        <v>0</v>
      </c>
      <c r="H20" s="64">
        <v>0</v>
      </c>
      <c r="I20" s="64">
        <v>0</v>
      </c>
      <c r="J20" s="64">
        <v>0</v>
      </c>
      <c r="K20" s="64">
        <v>0</v>
      </c>
      <c r="L20" s="64">
        <v>0</v>
      </c>
      <c r="M20" s="64">
        <v>0</v>
      </c>
      <c r="N20" s="67" t="str">
        <f t="shared" si="0"/>
        <v>-</v>
      </c>
    </row>
    <row r="21" spans="1:14" ht="35.1" customHeight="1" x14ac:dyDescent="0.25">
      <c r="A21" s="63">
        <v>0</v>
      </c>
      <c r="B21" s="64">
        <v>0</v>
      </c>
      <c r="C21" s="75"/>
      <c r="D21" s="66"/>
      <c r="E21" s="76"/>
      <c r="F21" s="75"/>
      <c r="G21" s="64">
        <v>0</v>
      </c>
      <c r="H21" s="64">
        <v>0</v>
      </c>
      <c r="I21" s="64">
        <v>0</v>
      </c>
      <c r="J21" s="64">
        <v>0</v>
      </c>
      <c r="K21" s="64">
        <v>0</v>
      </c>
      <c r="L21" s="64">
        <v>0</v>
      </c>
      <c r="M21" s="64">
        <v>0</v>
      </c>
      <c r="N21" s="67" t="str">
        <f t="shared" si="0"/>
        <v>-</v>
      </c>
    </row>
    <row r="22" spans="1:14" ht="35.1" customHeight="1" x14ac:dyDescent="0.25">
      <c r="A22" s="63">
        <v>0</v>
      </c>
      <c r="B22" s="64">
        <v>0</v>
      </c>
      <c r="C22" s="75"/>
      <c r="D22" s="66"/>
      <c r="E22" s="76"/>
      <c r="F22" s="75"/>
      <c r="G22" s="64">
        <v>0</v>
      </c>
      <c r="H22" s="64">
        <v>0</v>
      </c>
      <c r="I22" s="64">
        <v>0</v>
      </c>
      <c r="J22" s="64">
        <v>0</v>
      </c>
      <c r="K22" s="64">
        <v>0</v>
      </c>
      <c r="L22" s="64">
        <v>0</v>
      </c>
      <c r="M22" s="64">
        <v>0</v>
      </c>
      <c r="N22" s="67" t="str">
        <f t="shared" si="0"/>
        <v>-</v>
      </c>
    </row>
    <row r="23" spans="1:14" ht="35.1" customHeight="1" x14ac:dyDescent="0.25">
      <c r="A23" s="63">
        <v>0</v>
      </c>
      <c r="B23" s="64">
        <v>0</v>
      </c>
      <c r="C23" s="75"/>
      <c r="D23" s="66"/>
      <c r="E23" s="76"/>
      <c r="F23" s="75"/>
      <c r="G23" s="64">
        <v>0</v>
      </c>
      <c r="H23" s="64">
        <v>0</v>
      </c>
      <c r="I23" s="64">
        <v>0</v>
      </c>
      <c r="J23" s="64">
        <v>0</v>
      </c>
      <c r="K23" s="64">
        <v>0</v>
      </c>
      <c r="L23" s="64">
        <v>0</v>
      </c>
      <c r="M23" s="64">
        <v>0</v>
      </c>
      <c r="N23" s="67" t="str">
        <f t="shared" si="0"/>
        <v>-</v>
      </c>
    </row>
    <row r="24" spans="1:14" ht="35.1" customHeight="1" x14ac:dyDescent="0.25">
      <c r="A24" s="63">
        <v>0</v>
      </c>
      <c r="B24" s="64">
        <v>0</v>
      </c>
      <c r="C24" s="75"/>
      <c r="D24" s="66"/>
      <c r="E24" s="76"/>
      <c r="F24" s="75"/>
      <c r="G24" s="64">
        <v>0</v>
      </c>
      <c r="H24" s="64">
        <v>0</v>
      </c>
      <c r="I24" s="64">
        <v>0</v>
      </c>
      <c r="J24" s="64">
        <v>0</v>
      </c>
      <c r="K24" s="64">
        <v>0</v>
      </c>
      <c r="L24" s="64">
        <v>0</v>
      </c>
      <c r="M24" s="64">
        <v>0</v>
      </c>
      <c r="N24" s="67" t="str">
        <f t="shared" si="0"/>
        <v>-</v>
      </c>
    </row>
    <row r="25" spans="1:14" ht="35.1" customHeight="1" x14ac:dyDescent="0.25">
      <c r="A25" s="63">
        <v>0</v>
      </c>
      <c r="B25" s="64">
        <v>0</v>
      </c>
      <c r="C25" s="75"/>
      <c r="D25" s="66"/>
      <c r="E25" s="76"/>
      <c r="F25" s="75"/>
      <c r="G25" s="64">
        <v>0</v>
      </c>
      <c r="H25" s="64">
        <v>0</v>
      </c>
      <c r="I25" s="64">
        <v>0</v>
      </c>
      <c r="J25" s="64">
        <v>0</v>
      </c>
      <c r="K25" s="64">
        <v>0</v>
      </c>
      <c r="L25" s="64">
        <v>0</v>
      </c>
      <c r="M25" s="64">
        <v>0</v>
      </c>
      <c r="N25" s="67" t="str">
        <f t="shared" si="0"/>
        <v>-</v>
      </c>
    </row>
    <row r="26" spans="1:14" ht="35.1" customHeight="1" x14ac:dyDescent="0.25">
      <c r="A26" s="63">
        <v>0</v>
      </c>
      <c r="B26" s="64">
        <v>0</v>
      </c>
      <c r="C26" s="75"/>
      <c r="D26" s="66"/>
      <c r="E26" s="76"/>
      <c r="F26" s="75"/>
      <c r="G26" s="64">
        <v>0</v>
      </c>
      <c r="H26" s="64">
        <v>0</v>
      </c>
      <c r="I26" s="64">
        <v>0</v>
      </c>
      <c r="J26" s="64">
        <v>0</v>
      </c>
      <c r="K26" s="64">
        <v>0</v>
      </c>
      <c r="L26" s="64">
        <v>0</v>
      </c>
      <c r="M26" s="64">
        <v>0</v>
      </c>
      <c r="N26" s="67" t="str">
        <f t="shared" si="0"/>
        <v>-</v>
      </c>
    </row>
    <row r="27" spans="1:14" ht="35.1" customHeight="1" x14ac:dyDescent="0.25">
      <c r="A27" s="63">
        <v>0</v>
      </c>
      <c r="B27" s="64">
        <v>0</v>
      </c>
      <c r="C27" s="75"/>
      <c r="D27" s="66"/>
      <c r="E27" s="76"/>
      <c r="F27" s="75"/>
      <c r="G27" s="64">
        <v>0</v>
      </c>
      <c r="H27" s="64">
        <v>0</v>
      </c>
      <c r="I27" s="64">
        <v>0</v>
      </c>
      <c r="J27" s="64">
        <v>0</v>
      </c>
      <c r="K27" s="64">
        <v>0</v>
      </c>
      <c r="L27" s="64">
        <v>0</v>
      </c>
      <c r="M27" s="64">
        <v>0</v>
      </c>
      <c r="N27" s="67" t="str">
        <f t="shared" si="0"/>
        <v>-</v>
      </c>
    </row>
    <row r="28" spans="1:14" ht="35.1" customHeight="1" x14ac:dyDescent="0.25">
      <c r="A28" s="63">
        <v>0</v>
      </c>
      <c r="B28" s="64">
        <v>0</v>
      </c>
      <c r="C28" s="75"/>
      <c r="D28" s="66"/>
      <c r="E28" s="76"/>
      <c r="F28" s="75"/>
      <c r="G28" s="64">
        <v>0</v>
      </c>
      <c r="H28" s="64">
        <v>0</v>
      </c>
      <c r="I28" s="64">
        <v>0</v>
      </c>
      <c r="J28" s="64">
        <v>0</v>
      </c>
      <c r="K28" s="64">
        <v>0</v>
      </c>
      <c r="L28" s="64">
        <v>0</v>
      </c>
      <c r="M28" s="64">
        <v>0</v>
      </c>
      <c r="N28" s="67" t="str">
        <f t="shared" si="0"/>
        <v>-</v>
      </c>
    </row>
    <row r="29" spans="1:14" ht="35.1" customHeight="1" x14ac:dyDescent="0.25">
      <c r="A29" s="63">
        <v>0</v>
      </c>
      <c r="B29" s="64">
        <v>0</v>
      </c>
      <c r="C29" s="75"/>
      <c r="D29" s="66"/>
      <c r="E29" s="76"/>
      <c r="F29" s="75"/>
      <c r="G29" s="64">
        <v>0</v>
      </c>
      <c r="H29" s="64">
        <v>0</v>
      </c>
      <c r="I29" s="64">
        <v>0</v>
      </c>
      <c r="J29" s="64">
        <v>0</v>
      </c>
      <c r="K29" s="64">
        <v>0</v>
      </c>
      <c r="L29" s="64">
        <v>0</v>
      </c>
      <c r="M29" s="64">
        <v>0</v>
      </c>
      <c r="N29" s="67" t="str">
        <f t="shared" si="0"/>
        <v>-</v>
      </c>
    </row>
    <row r="30" spans="1:14" ht="35.1" customHeight="1" x14ac:dyDescent="0.25">
      <c r="A30" s="63">
        <v>0</v>
      </c>
      <c r="B30" s="64">
        <v>0</v>
      </c>
      <c r="C30" s="75"/>
      <c r="D30" s="66"/>
      <c r="E30" s="76"/>
      <c r="F30" s="75"/>
      <c r="G30" s="64">
        <v>0</v>
      </c>
      <c r="H30" s="64">
        <v>0</v>
      </c>
      <c r="I30" s="64">
        <v>0</v>
      </c>
      <c r="J30" s="64">
        <v>0</v>
      </c>
      <c r="K30" s="64">
        <v>0</v>
      </c>
      <c r="L30" s="64">
        <v>0</v>
      </c>
      <c r="M30" s="64">
        <v>0</v>
      </c>
      <c r="N30" s="67" t="str">
        <f t="shared" si="0"/>
        <v>-</v>
      </c>
    </row>
    <row r="31" spans="1:14" ht="35.1" customHeight="1" x14ac:dyDescent="0.25">
      <c r="A31" s="63">
        <v>0</v>
      </c>
      <c r="B31" s="64">
        <v>0</v>
      </c>
      <c r="C31" s="75"/>
      <c r="D31" s="66"/>
      <c r="E31" s="76"/>
      <c r="F31" s="75"/>
      <c r="G31" s="64">
        <v>0</v>
      </c>
      <c r="H31" s="64">
        <v>0</v>
      </c>
      <c r="I31" s="64">
        <v>0</v>
      </c>
      <c r="J31" s="64">
        <v>0</v>
      </c>
      <c r="K31" s="64">
        <v>0</v>
      </c>
      <c r="L31" s="64">
        <v>0</v>
      </c>
      <c r="M31" s="64">
        <v>0</v>
      </c>
      <c r="N31" s="67" t="str">
        <f t="shared" si="0"/>
        <v>-</v>
      </c>
    </row>
    <row r="32" spans="1:14" ht="35.1" customHeight="1" x14ac:dyDescent="0.25">
      <c r="A32" s="63">
        <v>0</v>
      </c>
      <c r="B32" s="64">
        <v>0</v>
      </c>
      <c r="C32" s="75"/>
      <c r="D32" s="66"/>
      <c r="E32" s="76"/>
      <c r="F32" s="75"/>
      <c r="G32" s="64">
        <v>0</v>
      </c>
      <c r="H32" s="64">
        <v>0</v>
      </c>
      <c r="I32" s="64">
        <v>0</v>
      </c>
      <c r="J32" s="64">
        <v>0</v>
      </c>
      <c r="K32" s="64">
        <v>0</v>
      </c>
      <c r="L32" s="64">
        <v>0</v>
      </c>
      <c r="M32" s="64">
        <v>0</v>
      </c>
      <c r="N32" s="67" t="str">
        <f t="shared" si="0"/>
        <v>-</v>
      </c>
    </row>
    <row r="33" spans="1:14" ht="35.1" customHeight="1" x14ac:dyDescent="0.25">
      <c r="A33" s="63">
        <v>0</v>
      </c>
      <c r="B33" s="64">
        <v>0</v>
      </c>
      <c r="C33" s="75"/>
      <c r="D33" s="66"/>
      <c r="E33" s="76"/>
      <c r="F33" s="75"/>
      <c r="G33" s="64">
        <v>0</v>
      </c>
      <c r="H33" s="64">
        <v>0</v>
      </c>
      <c r="I33" s="64">
        <v>0</v>
      </c>
      <c r="J33" s="64">
        <v>0</v>
      </c>
      <c r="K33" s="64">
        <v>0</v>
      </c>
      <c r="L33" s="64">
        <v>0</v>
      </c>
      <c r="M33" s="64">
        <v>0</v>
      </c>
      <c r="N33" s="67" t="str">
        <f t="shared" si="0"/>
        <v>-</v>
      </c>
    </row>
    <row r="34" spans="1:14" ht="35.1" customHeight="1" x14ac:dyDescent="0.25">
      <c r="A34" s="63">
        <v>0</v>
      </c>
      <c r="B34" s="64">
        <v>0</v>
      </c>
      <c r="C34" s="75"/>
      <c r="D34" s="66"/>
      <c r="E34" s="76"/>
      <c r="F34" s="75"/>
      <c r="G34" s="64">
        <v>0</v>
      </c>
      <c r="H34" s="64">
        <v>0</v>
      </c>
      <c r="I34" s="64">
        <v>0</v>
      </c>
      <c r="J34" s="64">
        <v>0</v>
      </c>
      <c r="K34" s="64">
        <v>0</v>
      </c>
      <c r="L34" s="64">
        <v>0</v>
      </c>
      <c r="M34" s="64">
        <v>0</v>
      </c>
      <c r="N34" s="67" t="str">
        <f t="shared" si="0"/>
        <v>-</v>
      </c>
    </row>
    <row r="35" spans="1:14" ht="35.1" customHeight="1" x14ac:dyDescent="0.25">
      <c r="A35" s="63">
        <v>0</v>
      </c>
      <c r="B35" s="64">
        <v>0</v>
      </c>
      <c r="C35" s="75"/>
      <c r="D35" s="66"/>
      <c r="E35" s="76"/>
      <c r="F35" s="75"/>
      <c r="G35" s="64">
        <v>0</v>
      </c>
      <c r="H35" s="64">
        <v>0</v>
      </c>
      <c r="I35" s="64">
        <v>0</v>
      </c>
      <c r="J35" s="64">
        <v>0</v>
      </c>
      <c r="K35" s="64">
        <v>0</v>
      </c>
      <c r="L35" s="64">
        <v>0</v>
      </c>
      <c r="M35" s="64">
        <v>0</v>
      </c>
      <c r="N35" s="67" t="str">
        <f t="shared" si="0"/>
        <v>-</v>
      </c>
    </row>
    <row r="36" spans="1:14" ht="35.1" customHeight="1" x14ac:dyDescent="0.25">
      <c r="A36" s="63">
        <v>0</v>
      </c>
      <c r="B36" s="64">
        <v>0</v>
      </c>
      <c r="C36" s="75"/>
      <c r="D36" s="66"/>
      <c r="E36" s="76"/>
      <c r="F36" s="75"/>
      <c r="G36" s="64">
        <v>0</v>
      </c>
      <c r="H36" s="64">
        <v>0</v>
      </c>
      <c r="I36" s="64">
        <v>0</v>
      </c>
      <c r="J36" s="64">
        <v>0</v>
      </c>
      <c r="K36" s="64">
        <v>0</v>
      </c>
      <c r="L36" s="64">
        <v>0</v>
      </c>
      <c r="M36" s="64">
        <v>0</v>
      </c>
      <c r="N36" s="67" t="str">
        <f t="shared" si="0"/>
        <v>-</v>
      </c>
    </row>
    <row r="37" spans="1:14" ht="35.1" customHeight="1" x14ac:dyDescent="0.25">
      <c r="A37" s="63">
        <v>0</v>
      </c>
      <c r="B37" s="64">
        <v>0</v>
      </c>
      <c r="C37" s="75"/>
      <c r="D37" s="66"/>
      <c r="E37" s="76"/>
      <c r="F37" s="75"/>
      <c r="G37" s="64">
        <v>0</v>
      </c>
      <c r="H37" s="64">
        <v>0</v>
      </c>
      <c r="I37" s="64">
        <v>0</v>
      </c>
      <c r="J37" s="64">
        <v>0</v>
      </c>
      <c r="K37" s="64">
        <v>0</v>
      </c>
      <c r="L37" s="64">
        <v>0</v>
      </c>
      <c r="M37" s="64">
        <v>0</v>
      </c>
      <c r="N37" s="67" t="str">
        <f t="shared" si="0"/>
        <v>-</v>
      </c>
    </row>
    <row r="38" spans="1:14" ht="35.1" customHeight="1" x14ac:dyDescent="0.25">
      <c r="A38" s="63">
        <v>0</v>
      </c>
      <c r="B38" s="64">
        <v>0</v>
      </c>
      <c r="C38" s="75"/>
      <c r="D38" s="66"/>
      <c r="E38" s="76"/>
      <c r="F38" s="75"/>
      <c r="G38" s="64">
        <v>0</v>
      </c>
      <c r="H38" s="64">
        <v>0</v>
      </c>
      <c r="I38" s="64">
        <v>0</v>
      </c>
      <c r="J38" s="64">
        <v>0</v>
      </c>
      <c r="K38" s="64">
        <v>0</v>
      </c>
      <c r="L38" s="64">
        <v>0</v>
      </c>
      <c r="M38" s="64">
        <v>0</v>
      </c>
      <c r="N38" s="67" t="str">
        <f t="shared" si="0"/>
        <v>-</v>
      </c>
    </row>
    <row r="39" spans="1:14" ht="35.1" customHeight="1" x14ac:dyDescent="0.25">
      <c r="A39" s="63">
        <v>0</v>
      </c>
      <c r="B39" s="64">
        <v>0</v>
      </c>
      <c r="C39" s="75"/>
      <c r="D39" s="66"/>
      <c r="E39" s="76"/>
      <c r="F39" s="75"/>
      <c r="G39" s="64">
        <v>0</v>
      </c>
      <c r="H39" s="64">
        <v>0</v>
      </c>
      <c r="I39" s="64">
        <v>0</v>
      </c>
      <c r="J39" s="64">
        <v>0</v>
      </c>
      <c r="K39" s="64">
        <v>0</v>
      </c>
      <c r="L39" s="64">
        <v>0</v>
      </c>
      <c r="M39" s="64">
        <v>0</v>
      </c>
      <c r="N39" s="67" t="str">
        <f t="shared" si="0"/>
        <v>-</v>
      </c>
    </row>
    <row r="40" spans="1:14" ht="35.1" customHeight="1" x14ac:dyDescent="0.25">
      <c r="A40" s="63">
        <v>0</v>
      </c>
      <c r="B40" s="64">
        <v>0</v>
      </c>
      <c r="C40" s="75"/>
      <c r="D40" s="66"/>
      <c r="E40" s="76"/>
      <c r="F40" s="75"/>
      <c r="G40" s="64">
        <v>0</v>
      </c>
      <c r="H40" s="64">
        <v>0</v>
      </c>
      <c r="I40" s="64">
        <v>0</v>
      </c>
      <c r="J40" s="64">
        <v>0</v>
      </c>
      <c r="K40" s="64">
        <v>0</v>
      </c>
      <c r="L40" s="64">
        <v>0</v>
      </c>
      <c r="M40" s="64">
        <v>0</v>
      </c>
      <c r="N40" s="67" t="str">
        <f t="shared" si="0"/>
        <v>-</v>
      </c>
    </row>
    <row r="41" spans="1:14" ht="35.1" customHeight="1" x14ac:dyDescent="0.25">
      <c r="A41" s="63">
        <v>0</v>
      </c>
      <c r="B41" s="64">
        <v>0</v>
      </c>
      <c r="C41" s="75"/>
      <c r="D41" s="66"/>
      <c r="E41" s="76"/>
      <c r="F41" s="75"/>
      <c r="G41" s="64">
        <v>0</v>
      </c>
      <c r="H41" s="64">
        <v>0</v>
      </c>
      <c r="I41" s="64">
        <v>0</v>
      </c>
      <c r="J41" s="64">
        <v>0</v>
      </c>
      <c r="K41" s="64">
        <v>0</v>
      </c>
      <c r="L41" s="64">
        <v>0</v>
      </c>
      <c r="M41" s="64">
        <v>0</v>
      </c>
      <c r="N41" s="67" t="str">
        <f t="shared" si="0"/>
        <v>-</v>
      </c>
    </row>
    <row r="42" spans="1:14" ht="35.1" customHeight="1" x14ac:dyDescent="0.25">
      <c r="A42" s="63">
        <v>0</v>
      </c>
      <c r="B42" s="64">
        <v>0</v>
      </c>
      <c r="C42" s="75"/>
      <c r="D42" s="66"/>
      <c r="E42" s="76"/>
      <c r="F42" s="75"/>
      <c r="G42" s="64">
        <v>0</v>
      </c>
      <c r="H42" s="64">
        <v>0</v>
      </c>
      <c r="I42" s="64">
        <v>0</v>
      </c>
      <c r="J42" s="64">
        <v>0</v>
      </c>
      <c r="K42" s="64">
        <v>0</v>
      </c>
      <c r="L42" s="64">
        <v>0</v>
      </c>
      <c r="M42" s="64">
        <v>0</v>
      </c>
      <c r="N42" s="67" t="str">
        <f t="shared" si="0"/>
        <v>-</v>
      </c>
    </row>
    <row r="43" spans="1:14" ht="35.1" customHeight="1" x14ac:dyDescent="0.25">
      <c r="A43" s="63">
        <v>0</v>
      </c>
      <c r="B43" s="64">
        <v>0</v>
      </c>
      <c r="C43" s="75"/>
      <c r="D43" s="66"/>
      <c r="E43" s="76"/>
      <c r="F43" s="75"/>
      <c r="G43" s="64">
        <v>0</v>
      </c>
      <c r="H43" s="64">
        <v>0</v>
      </c>
      <c r="I43" s="64">
        <v>0</v>
      </c>
      <c r="J43" s="64">
        <v>0</v>
      </c>
      <c r="K43" s="64">
        <v>0</v>
      </c>
      <c r="L43" s="64">
        <v>0</v>
      </c>
      <c r="M43" s="64">
        <v>0</v>
      </c>
      <c r="N43" s="67" t="str">
        <f t="shared" si="0"/>
        <v>-</v>
      </c>
    </row>
    <row r="44" spans="1:14" ht="35.1" customHeight="1" x14ac:dyDescent="0.25">
      <c r="A44" s="63">
        <v>0</v>
      </c>
      <c r="B44" s="64">
        <v>0</v>
      </c>
      <c r="C44" s="75"/>
      <c r="D44" s="66"/>
      <c r="E44" s="76"/>
      <c r="F44" s="75"/>
      <c r="G44" s="64">
        <v>0</v>
      </c>
      <c r="H44" s="64">
        <v>0</v>
      </c>
      <c r="I44" s="64">
        <v>0</v>
      </c>
      <c r="J44" s="64">
        <v>0</v>
      </c>
      <c r="K44" s="64">
        <v>0</v>
      </c>
      <c r="L44" s="64">
        <v>0</v>
      </c>
      <c r="M44" s="64">
        <v>0</v>
      </c>
      <c r="N44" s="67" t="str">
        <f t="shared" si="0"/>
        <v>-</v>
      </c>
    </row>
    <row r="45" spans="1:14" ht="35.1" customHeight="1" x14ac:dyDescent="0.25">
      <c r="A45" s="63">
        <v>0</v>
      </c>
      <c r="B45" s="64">
        <v>0</v>
      </c>
      <c r="C45" s="75"/>
      <c r="D45" s="66"/>
      <c r="E45" s="76"/>
      <c r="F45" s="75"/>
      <c r="G45" s="64">
        <v>0</v>
      </c>
      <c r="H45" s="64">
        <v>0</v>
      </c>
      <c r="I45" s="64">
        <v>0</v>
      </c>
      <c r="J45" s="64">
        <v>0</v>
      </c>
      <c r="K45" s="64">
        <v>0</v>
      </c>
      <c r="L45" s="64">
        <v>0</v>
      </c>
      <c r="M45" s="64">
        <v>0</v>
      </c>
      <c r="N45" s="67" t="str">
        <f t="shared" si="0"/>
        <v>-</v>
      </c>
    </row>
    <row r="46" spans="1:14" ht="35.1" customHeight="1" x14ac:dyDescent="0.25">
      <c r="A46" s="63">
        <v>0</v>
      </c>
      <c r="B46" s="64">
        <v>0</v>
      </c>
      <c r="C46" s="75"/>
      <c r="D46" s="66"/>
      <c r="E46" s="76"/>
      <c r="F46" s="75"/>
      <c r="G46" s="64">
        <v>0</v>
      </c>
      <c r="H46" s="64">
        <v>0</v>
      </c>
      <c r="I46" s="64">
        <v>0</v>
      </c>
      <c r="J46" s="64">
        <v>0</v>
      </c>
      <c r="K46" s="64">
        <v>0</v>
      </c>
      <c r="L46" s="64">
        <v>0</v>
      </c>
      <c r="M46" s="64">
        <v>0</v>
      </c>
      <c r="N46" s="67" t="str">
        <f t="shared" si="0"/>
        <v>-</v>
      </c>
    </row>
    <row r="47" spans="1:14" ht="35.1" customHeight="1" x14ac:dyDescent="0.25">
      <c r="A47" s="63">
        <v>0</v>
      </c>
      <c r="B47" s="64">
        <v>0</v>
      </c>
      <c r="C47" s="75"/>
      <c r="D47" s="66"/>
      <c r="E47" s="76"/>
      <c r="F47" s="75"/>
      <c r="G47" s="64">
        <v>0</v>
      </c>
      <c r="H47" s="64">
        <v>0</v>
      </c>
      <c r="I47" s="64">
        <v>0</v>
      </c>
      <c r="J47" s="64">
        <v>0</v>
      </c>
      <c r="K47" s="64">
        <v>0</v>
      </c>
      <c r="L47" s="64">
        <v>0</v>
      </c>
      <c r="M47" s="64">
        <v>0</v>
      </c>
      <c r="N47" s="67" t="str">
        <f t="shared" si="0"/>
        <v>-</v>
      </c>
    </row>
    <row r="48" spans="1:14" ht="35.1" customHeight="1" x14ac:dyDescent="0.25">
      <c r="A48" s="63">
        <v>0</v>
      </c>
      <c r="B48" s="64">
        <v>0</v>
      </c>
      <c r="C48" s="75"/>
      <c r="D48" s="66"/>
      <c r="E48" s="76"/>
      <c r="F48" s="75"/>
      <c r="G48" s="64">
        <v>0</v>
      </c>
      <c r="H48" s="64">
        <v>0</v>
      </c>
      <c r="I48" s="64">
        <v>0</v>
      </c>
      <c r="J48" s="64">
        <v>0</v>
      </c>
      <c r="K48" s="64">
        <v>0</v>
      </c>
      <c r="L48" s="64">
        <v>0</v>
      </c>
      <c r="M48" s="64">
        <v>0</v>
      </c>
      <c r="N48" s="67" t="str">
        <f t="shared" si="0"/>
        <v>-</v>
      </c>
    </row>
    <row r="49" spans="1:14" ht="35.1" customHeight="1" x14ac:dyDescent="0.25">
      <c r="A49" s="1"/>
      <c r="B49" s="2"/>
      <c r="C49" s="2"/>
      <c r="D49" s="2"/>
      <c r="E49" s="2"/>
      <c r="F49" s="2"/>
      <c r="G49" s="2"/>
      <c r="H49" s="2"/>
      <c r="I49" s="2"/>
      <c r="J49" s="2"/>
      <c r="K49" s="2"/>
      <c r="L49" s="2"/>
      <c r="M49" s="2"/>
      <c r="N49" s="3"/>
    </row>
    <row r="50" spans="1:14" ht="35.1" customHeight="1" x14ac:dyDescent="0.25">
      <c r="A50" s="4">
        <f>SUM(A8:A48)</f>
        <v>0</v>
      </c>
      <c r="B50" s="5">
        <f>SUM(B8:B48)</f>
        <v>0</v>
      </c>
      <c r="C50" s="31" t="s">
        <v>55</v>
      </c>
      <c r="D50" s="21"/>
      <c r="E50" s="21"/>
      <c r="F50" s="21"/>
      <c r="G50" s="5">
        <f t="shared" ref="G50:N50" si="1">SUM(G8:G48)</f>
        <v>0</v>
      </c>
      <c r="H50" s="5">
        <f t="shared" si="1"/>
        <v>0</v>
      </c>
      <c r="I50" s="5">
        <f t="shared" si="1"/>
        <v>0</v>
      </c>
      <c r="J50" s="5">
        <f t="shared" si="1"/>
        <v>139262</v>
      </c>
      <c r="K50" s="5">
        <f t="shared" si="1"/>
        <v>0</v>
      </c>
      <c r="L50" s="5">
        <f t="shared" si="1"/>
        <v>0</v>
      </c>
      <c r="M50" s="5">
        <f t="shared" si="1"/>
        <v>533241</v>
      </c>
      <c r="N50" s="6">
        <f t="shared" si="1"/>
        <v>672503</v>
      </c>
    </row>
    <row r="51" spans="1:14" ht="35.1" customHeight="1" x14ac:dyDescent="0.25">
      <c r="A51" s="7">
        <f>A50</f>
        <v>0</v>
      </c>
      <c r="B51" s="8">
        <f>B50</f>
        <v>0</v>
      </c>
      <c r="C51" s="33" t="s">
        <v>56</v>
      </c>
      <c r="D51" s="21"/>
      <c r="E51" s="21"/>
      <c r="F51" s="21"/>
      <c r="G51" s="8">
        <f t="shared" ref="G51:N51" si="2">G50</f>
        <v>0</v>
      </c>
      <c r="H51" s="8">
        <f t="shared" si="2"/>
        <v>0</v>
      </c>
      <c r="I51" s="8">
        <f t="shared" si="2"/>
        <v>0</v>
      </c>
      <c r="J51" s="8">
        <f t="shared" si="2"/>
        <v>139262</v>
      </c>
      <c r="K51" s="8">
        <f t="shared" si="2"/>
        <v>0</v>
      </c>
      <c r="L51" s="8">
        <f t="shared" si="2"/>
        <v>0</v>
      </c>
      <c r="M51" s="8">
        <f t="shared" si="2"/>
        <v>533241</v>
      </c>
      <c r="N51" s="9">
        <f t="shared" si="2"/>
        <v>672503</v>
      </c>
    </row>
    <row r="52" spans="1:14" ht="35.1" customHeight="1" x14ac:dyDescent="0.3">
      <c r="A52" s="68"/>
      <c r="B52" s="69"/>
      <c r="C52" s="70" t="s">
        <v>57</v>
      </c>
      <c r="D52" s="71"/>
      <c r="E52" s="71"/>
      <c r="F52" s="71"/>
      <c r="G52" s="72">
        <f>G50+H50+I50+J50+K50+L50+M50</f>
        <v>672503</v>
      </c>
      <c r="H52" s="73" t="str">
        <f>IF(G52=N50,"OK - JOURNAL EQUILIBRE","ATTENTION : ECART DE "&amp;TEXT(ABS(G52-N50),"#,##0")&amp;" F")</f>
        <v>OK - JOURNAL EQUILIBRE</v>
      </c>
      <c r="I52" s="71"/>
      <c r="J52" s="71"/>
      <c r="K52" s="71"/>
      <c r="L52" s="71"/>
      <c r="M52" s="71"/>
      <c r="N52" s="74">
        <f>N50</f>
        <v>672503</v>
      </c>
    </row>
    <row r="53" spans="1:14" ht="35.1" customHeight="1" x14ac:dyDescent="0.25">
      <c r="A53" s="1"/>
      <c r="B53" s="2"/>
      <c r="C53" s="2"/>
      <c r="D53" s="2"/>
      <c r="E53" s="2"/>
      <c r="F53" s="2"/>
      <c r="G53" s="2"/>
      <c r="H53" s="2"/>
      <c r="I53" s="2"/>
      <c r="J53" s="2"/>
      <c r="K53" s="2"/>
      <c r="L53" s="2"/>
      <c r="M53" s="2"/>
      <c r="N53" s="3"/>
    </row>
    <row r="54" spans="1:14" ht="35.1" customHeight="1" x14ac:dyDescent="0.25">
      <c r="A54" s="34" t="s">
        <v>58</v>
      </c>
      <c r="B54" s="21"/>
      <c r="C54" s="21"/>
      <c r="D54" s="21"/>
      <c r="E54" s="21"/>
      <c r="F54" s="32" t="str">
        <f>NombreEnLettres(N50)</f>
        <v>SIX CENT SOIXANTE-DOUZE MILLE CINQ CENT TROIS FRANCS CFA</v>
      </c>
      <c r="G54" s="21"/>
      <c r="H54" s="21"/>
      <c r="I54" s="21"/>
      <c r="J54" s="21"/>
      <c r="K54" s="21"/>
      <c r="L54" s="21"/>
      <c r="M54" s="21"/>
      <c r="N54" s="23"/>
    </row>
    <row r="55" spans="1:14" ht="35.1" customHeight="1" x14ac:dyDescent="0.25">
      <c r="A55" s="27" t="s">
        <v>59</v>
      </c>
      <c r="B55" s="21"/>
      <c r="C55" s="21"/>
      <c r="D55" s="21"/>
      <c r="E55" s="21"/>
      <c r="F55" s="21"/>
      <c r="G55" s="21"/>
      <c r="H55" s="21"/>
      <c r="I55" s="21"/>
      <c r="J55" s="21"/>
      <c r="K55" s="21"/>
      <c r="L55" s="21"/>
      <c r="M55" s="21"/>
      <c r="N55" s="23"/>
    </row>
    <row r="56" spans="1:14" ht="35.1" customHeight="1" x14ac:dyDescent="0.25">
      <c r="A56" s="25"/>
      <c r="B56" s="21"/>
      <c r="C56" s="21"/>
      <c r="D56" s="21"/>
      <c r="E56" s="21"/>
      <c r="F56" s="21"/>
      <c r="G56" s="21"/>
      <c r="H56" s="21"/>
      <c r="I56" s="21"/>
      <c r="J56" s="21"/>
      <c r="K56" s="21"/>
      <c r="L56" s="21"/>
      <c r="M56" s="21"/>
      <c r="N56" s="23"/>
    </row>
    <row r="57" spans="1:14" ht="35.1" customHeight="1" x14ac:dyDescent="0.25">
      <c r="A57" s="25"/>
      <c r="B57" s="21"/>
      <c r="C57" s="21"/>
      <c r="D57" s="21"/>
      <c r="E57" s="21"/>
      <c r="F57" s="21"/>
      <c r="G57" s="21"/>
      <c r="H57" s="21"/>
      <c r="I57" s="21"/>
      <c r="J57" s="21"/>
      <c r="K57" s="21"/>
      <c r="L57" s="21"/>
      <c r="M57" s="21"/>
      <c r="N57" s="23"/>
    </row>
    <row r="58" spans="1:14" ht="35.1" customHeight="1" x14ac:dyDescent="0.25">
      <c r="A58" s="28" t="s">
        <v>60</v>
      </c>
      <c r="B58" s="29"/>
      <c r="C58" s="29"/>
      <c r="D58" s="29"/>
      <c r="E58" s="29"/>
      <c r="F58" s="29"/>
      <c r="G58" s="29"/>
      <c r="H58" s="29"/>
      <c r="I58" s="29"/>
      <c r="J58" s="29"/>
      <c r="K58" s="29"/>
      <c r="L58" s="29"/>
      <c r="M58" s="29"/>
      <c r="N58" s="30"/>
    </row>
  </sheetData>
  <sheetProtection algorithmName="SHA-512" hashValue="RScQjNZl4s2kKuXOdXqjjDapmZacgGpUc0wN9Hcvsq61PIqHAEfAq0ZpPc67oRtCNBDnCTiTNUMYyDeboYrp3w==" saltValue="LRyZHLGRmq6XLPMkBTVp2Q==" spinCount="100000" sheet="1" formatCells="0" formatColumns="0" formatRows="0" autoFilter="0"/>
  <mergeCells count="19">
    <mergeCell ref="A58:N58"/>
    <mergeCell ref="A57:N57"/>
    <mergeCell ref="C50:F50"/>
    <mergeCell ref="A4:B4"/>
    <mergeCell ref="G4:N4"/>
    <mergeCell ref="F54:N54"/>
    <mergeCell ref="C51:F51"/>
    <mergeCell ref="A54:E54"/>
    <mergeCell ref="A1:N1"/>
    <mergeCell ref="C3:F3"/>
    <mergeCell ref="A2:N2"/>
    <mergeCell ref="A3:B3"/>
    <mergeCell ref="A56:N56"/>
    <mergeCell ref="G3:N3"/>
    <mergeCell ref="A55:N55"/>
    <mergeCell ref="C4:F4"/>
    <mergeCell ref="C52:F52"/>
    <mergeCell ref="C8:F8"/>
    <mergeCell ref="H52:M52"/>
  </mergeCells>
  <conditionalFormatting sqref="A9:N48">
    <cfRule type="expression" dxfId="2" priority="1">
      <formula>$C9=""</formula>
    </cfRule>
  </conditionalFormatting>
  <conditionalFormatting sqref="H52">
    <cfRule type="expression" dxfId="1" priority="2">
      <formula>G52=N50</formula>
    </cfRule>
    <cfRule type="expression" dxfId="0" priority="3">
      <formula>G52&lt;&gt;N50</formula>
    </cfRule>
  </conditionalFormatting>
  <pageMargins left="0.35" right="0.35" top="0.55000000000000004" bottom="0.55000000000000004" header="0.2" footer="0.25"/>
  <pageSetup paperSize="9" scale="37" orientation="landscape" r:id="rId1"/>
  <headerFooter>
    <oddHeader>&amp;L&amp;"Arial,Bold"&amp;9TRESORERIE DEPARTEMENTALE DE BAGASSI&amp;C&amp;"Arial,Bold"&amp;10JOURNAL P12 — DEPENSES EN NUMERAIRES&amp;R&amp;"Arial,Italic"&amp;8Exercice 2026</oddHeader>
    <oddFooter>&amp;L&amp;"Arial,Italic"&amp;8Confidentiel — Usage interne Trésor&amp;C&amp;"Arial,Bold"&amp;9Page &amp;P sur &amp;N&amp;R&amp;"Arial,Italic"&amp;8Imprimé le &amp;D</oddFooter>
  </headerFooter>
  <extLst>
    <ext xmlns:x14="http://schemas.microsoft.com/office/spreadsheetml/2009/9/main" uri="{CCE6A557-97BC-4b89-ADB6-D9C93CAAB3DF}">
      <x14:dataValidations xmlns:xm="http://schemas.microsoft.com/office/excel/2006/main" count="3">
        <x14:dataValidation type="list" allowBlank="1" showErrorMessage="1" errorTitle="Valeur invalide" error="Choisir dans la liste PJ" xr:uid="{00000000-0002-0000-0100-000000000000}">
          <x14:formula1>
            <xm:f>PARAMETRES!$A$2:$A$10</xm:f>
          </x14:formula1>
          <xm:sqref>C9 C10 C11 C12 C13 C14 C15 C16 C17 C18 C19 C20 C21 C22 C23 C24 C25 C26 C27 C28 C29 C30 C31 C32 C33 C34 C35 C36 C37 C38 C39 C40 C41 C42 C43 C44 C45 C46 C47 C48</xm:sqref>
        </x14:dataValidation>
        <x14:dataValidation type="list" allowBlank="1" xr:uid="{00000000-0002-0000-0100-000001000000}">
          <x14:formula1>
            <xm:f>PARAMETRES!$B$2:$B$16</xm:f>
          </x14:formula1>
          <xm:sqref>E9 E10 E11 E12 E13 E14 E15 E16 E17 E18 E19 E20 E21 E22 E23 E24 E25 E26 E27 E28 E29 E30 E31 E32 E33 E34 E35 E36 E37 E38 E39 E40 E41 E42 E43 E44 E45 E46 E47 E48</xm:sqref>
        </x14:dataValidation>
        <x14:dataValidation type="list" allowBlank="1" showErrorMessage="1" errorTitle="Valeur invalide" error="Choisir dans la liste des autorites" xr:uid="{00000000-0002-0000-0100-000002000000}">
          <x14:formula1>
            <xm:f>PARAMETRES!$C$2:$C$22</xm:f>
          </x14:formula1>
          <xm:sqref>F9 F10 F11 F12 F13 F14 F15 F16 F17 F18 F19 F20 F21 F22 F23 F24 F25 F26 F27 F28 F29 F30 F31 F32 F33 F34 F35 F36 F37 F38 F39 F40 F41 F42 F43 F44 F45 F46 F47 F48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rgb="FFC6E0B4"/>
  </sheetPr>
  <dimension ref="B1:C42"/>
  <sheetViews>
    <sheetView showGridLines="0" workbookViewId="0"/>
  </sheetViews>
  <sheetFormatPr baseColWidth="10" defaultColWidth="9.140625" defaultRowHeight="15" x14ac:dyDescent="0.25"/>
  <cols>
    <col min="1" max="1" width="2" customWidth="1"/>
    <col min="2" max="2" width="28" customWidth="1"/>
    <col min="3" max="3" width="55" customWidth="1"/>
    <col min="4" max="4" width="2" customWidth="1"/>
  </cols>
  <sheetData>
    <row r="1" spans="2:3" ht="33.950000000000003" customHeight="1" x14ac:dyDescent="0.25">
      <c r="B1" s="35" t="s">
        <v>61</v>
      </c>
      <c r="C1" s="36"/>
    </row>
    <row r="3" spans="2:3" ht="8.1" customHeight="1" x14ac:dyDescent="0.25"/>
    <row r="4" spans="2:3" ht="18" customHeight="1" x14ac:dyDescent="0.25">
      <c r="B4" s="37" t="s">
        <v>62</v>
      </c>
      <c r="C4" s="36"/>
    </row>
    <row r="5" spans="2:3" ht="21.95" customHeight="1" x14ac:dyDescent="0.25">
      <c r="B5" s="10" t="s">
        <v>63</v>
      </c>
      <c r="C5" s="11" t="s">
        <v>64</v>
      </c>
    </row>
    <row r="6" spans="2:3" ht="21.95" customHeight="1" x14ac:dyDescent="0.25">
      <c r="B6" s="10" t="s">
        <v>65</v>
      </c>
      <c r="C6" s="11" t="s">
        <v>66</v>
      </c>
    </row>
    <row r="7" spans="2:3" ht="21.95" customHeight="1" x14ac:dyDescent="0.25">
      <c r="B7" s="10" t="s">
        <v>67</v>
      </c>
      <c r="C7" s="11" t="s">
        <v>68</v>
      </c>
    </row>
    <row r="9" spans="2:3" ht="8.1" customHeight="1" x14ac:dyDescent="0.25"/>
    <row r="10" spans="2:3" ht="18" customHeight="1" x14ac:dyDescent="0.25">
      <c r="B10" s="41" t="s">
        <v>69</v>
      </c>
      <c r="C10" s="36"/>
    </row>
    <row r="11" spans="2:3" ht="21.95" customHeight="1" x14ac:dyDescent="0.25">
      <c r="B11" s="12" t="s">
        <v>70</v>
      </c>
      <c r="C11" s="11" t="s">
        <v>71</v>
      </c>
    </row>
    <row r="12" spans="2:3" ht="21.95" customHeight="1" x14ac:dyDescent="0.25">
      <c r="B12" s="12" t="s">
        <v>72</v>
      </c>
      <c r="C12" s="11" t="s">
        <v>73</v>
      </c>
    </row>
    <row r="13" spans="2:3" ht="21.95" customHeight="1" x14ac:dyDescent="0.25">
      <c r="B13" s="12" t="s">
        <v>74</v>
      </c>
      <c r="C13" s="11" t="s">
        <v>75</v>
      </c>
    </row>
    <row r="14" spans="2:3" ht="21.95" customHeight="1" x14ac:dyDescent="0.25">
      <c r="B14" s="12" t="s">
        <v>76</v>
      </c>
      <c r="C14" s="11" t="s">
        <v>77</v>
      </c>
    </row>
    <row r="15" spans="2:3" ht="21.95" customHeight="1" x14ac:dyDescent="0.25">
      <c r="B15" s="12" t="s">
        <v>78</v>
      </c>
      <c r="C15" s="11" t="s">
        <v>79</v>
      </c>
    </row>
    <row r="16" spans="2:3" ht="21.95" customHeight="1" x14ac:dyDescent="0.25">
      <c r="B16" s="12" t="s">
        <v>80</v>
      </c>
      <c r="C16" s="11" t="s">
        <v>81</v>
      </c>
    </row>
    <row r="17" spans="2:3" ht="21.95" customHeight="1" x14ac:dyDescent="0.25">
      <c r="B17" s="12" t="s">
        <v>82</v>
      </c>
      <c r="C17" s="11" t="s">
        <v>83</v>
      </c>
    </row>
    <row r="19" spans="2:3" ht="8.1" customHeight="1" x14ac:dyDescent="0.25"/>
    <row r="20" spans="2:3" ht="18" customHeight="1" x14ac:dyDescent="0.25">
      <c r="B20" s="39" t="s">
        <v>84</v>
      </c>
      <c r="C20" s="36"/>
    </row>
    <row r="21" spans="2:3" ht="21.95" customHeight="1" x14ac:dyDescent="0.25">
      <c r="B21" s="13" t="s">
        <v>85</v>
      </c>
      <c r="C21" s="11" t="s">
        <v>86</v>
      </c>
    </row>
    <row r="22" spans="2:3" ht="21.95" customHeight="1" x14ac:dyDescent="0.25">
      <c r="B22" s="13" t="s">
        <v>87</v>
      </c>
      <c r="C22" s="11" t="s">
        <v>88</v>
      </c>
    </row>
    <row r="24" spans="2:3" ht="8.1" customHeight="1" x14ac:dyDescent="0.25"/>
    <row r="25" spans="2:3" ht="18" customHeight="1" x14ac:dyDescent="0.25">
      <c r="B25" s="38" t="s">
        <v>89</v>
      </c>
      <c r="C25" s="36"/>
    </row>
    <row r="26" spans="2:3" ht="21.95" customHeight="1" x14ac:dyDescent="0.25">
      <c r="B26" s="14" t="s">
        <v>90</v>
      </c>
      <c r="C26" s="11" t="s">
        <v>91</v>
      </c>
    </row>
    <row r="27" spans="2:3" ht="21.95" customHeight="1" x14ac:dyDescent="0.25">
      <c r="B27" s="14" t="s">
        <v>92</v>
      </c>
      <c r="C27" s="11" t="s">
        <v>93</v>
      </c>
    </row>
    <row r="28" spans="2:3" ht="21.95" customHeight="1" x14ac:dyDescent="0.25">
      <c r="B28" s="14" t="s">
        <v>94</v>
      </c>
      <c r="C28" s="11" t="s">
        <v>95</v>
      </c>
    </row>
    <row r="29" spans="2:3" ht="21.95" customHeight="1" x14ac:dyDescent="0.25">
      <c r="B29" s="14" t="s">
        <v>96</v>
      </c>
      <c r="C29" s="11" t="s">
        <v>97</v>
      </c>
    </row>
    <row r="31" spans="2:3" ht="8.1" customHeight="1" x14ac:dyDescent="0.25"/>
    <row r="32" spans="2:3" ht="18" customHeight="1" x14ac:dyDescent="0.25">
      <c r="B32" s="37" t="s">
        <v>98</v>
      </c>
      <c r="C32" s="36"/>
    </row>
    <row r="33" spans="2:3" ht="21.95" customHeight="1" x14ac:dyDescent="0.25">
      <c r="B33" s="10" t="s">
        <v>99</v>
      </c>
      <c r="C33" s="11" t="s">
        <v>100</v>
      </c>
    </row>
    <row r="34" spans="2:3" ht="21.95" customHeight="1" x14ac:dyDescent="0.25">
      <c r="B34" s="10" t="s">
        <v>101</v>
      </c>
      <c r="C34" s="11" t="s">
        <v>102</v>
      </c>
    </row>
    <row r="36" spans="2:3" ht="8.1" customHeight="1" x14ac:dyDescent="0.25"/>
    <row r="37" spans="2:3" ht="18" customHeight="1" x14ac:dyDescent="0.25">
      <c r="B37" s="40" t="s">
        <v>103</v>
      </c>
      <c r="C37" s="36"/>
    </row>
    <row r="38" spans="2:3" ht="21.95" customHeight="1" x14ac:dyDescent="0.25">
      <c r="B38" s="15" t="s">
        <v>104</v>
      </c>
      <c r="C38" s="16" t="s">
        <v>105</v>
      </c>
    </row>
    <row r="39" spans="2:3" ht="21.95" customHeight="1" x14ac:dyDescent="0.25">
      <c r="B39" s="15" t="s">
        <v>106</v>
      </c>
      <c r="C39" s="16" t="s">
        <v>107</v>
      </c>
    </row>
    <row r="40" spans="2:3" ht="21.95" customHeight="1" x14ac:dyDescent="0.25">
      <c r="B40" s="15" t="s">
        <v>108</v>
      </c>
      <c r="C40" s="16" t="s">
        <v>109</v>
      </c>
    </row>
    <row r="41" spans="2:3" ht="21.95" customHeight="1" x14ac:dyDescent="0.25">
      <c r="B41" s="15" t="s">
        <v>110</v>
      </c>
      <c r="C41" s="16" t="s">
        <v>111</v>
      </c>
    </row>
    <row r="42" spans="2:3" ht="21.95" customHeight="1" x14ac:dyDescent="0.25">
      <c r="B42" s="15" t="s">
        <v>112</v>
      </c>
      <c r="C42" s="16" t="s">
        <v>113</v>
      </c>
    </row>
  </sheetData>
  <sheetProtection password="8BDA" sheet="1"/>
  <mergeCells count="7">
    <mergeCell ref="B1:C1"/>
    <mergeCell ref="B4:C4"/>
    <mergeCell ref="B25:C25"/>
    <mergeCell ref="B20:C20"/>
    <mergeCell ref="B37:C37"/>
    <mergeCell ref="B10:C10"/>
    <mergeCell ref="B32:C32"/>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5C260-0758-42D2-8AA5-C3198AE428A1}">
  <sheetPr>
    <tabColor rgb="FFD9D9D9"/>
  </sheetPr>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2</vt:i4>
      </vt:variant>
    </vt:vector>
  </HeadingPairs>
  <TitlesOfParts>
    <vt:vector size="6" baseType="lpstr">
      <vt:lpstr>PARAMETRES</vt:lpstr>
      <vt:lpstr>JOURNAL P12</vt:lpstr>
      <vt:lpstr>MODE D'EMPLOI</vt:lpstr>
      <vt:lpstr>Feuil1</vt:lpstr>
      <vt:lpstr>'JOURNAL P12'!Print_Area</vt:lpstr>
      <vt:lpstr>'JOURNAL P12'!Print_Titles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gerald joel</cp:lastModifiedBy>
  <cp:lastPrinted>2026-05-28T15:21:01Z</cp:lastPrinted>
  <dcterms:created xsi:type="dcterms:W3CDTF">2026-05-26T22:29:18Z</dcterms:created>
  <dcterms:modified xsi:type="dcterms:W3CDTF">2026-05-28T15:21:50Z</dcterms:modified>
</cp:coreProperties>
</file>