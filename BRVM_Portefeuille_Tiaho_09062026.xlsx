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Portefeuille" sheetId="1" state="visible" r:id="rId1"/>
    <sheet name="📈 Analy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#,##0 &quot;F&quot;"/>
    <numFmt numFmtId="167" formatCode="+#,##0;-#,##0;0"/>
    <numFmt numFmtId="168" formatCode="+0.00%;-0.00%"/>
    <numFmt numFmtId="169" formatCode="+#,##0;-#,##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FFF2CC"/>
      <sz val="10"/>
    </font>
    <font>
      <name val="Calibri"/>
      <b val="1"/>
      <color rgb="0000FF88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B5E20"/>
      <sz val="9"/>
    </font>
    <font>
      <name val="Calibri"/>
      <color rgb="001B5E20"/>
      <sz val="9"/>
    </font>
    <font>
      <name val="Calibri"/>
      <b val="1"/>
      <color rgb="000D47A1"/>
      <sz val="9"/>
    </font>
    <font>
      <name val="Calibri"/>
      <color rgb="000D47A1"/>
      <sz val="9"/>
    </font>
    <font>
      <name val="Calibri"/>
      <b val="1"/>
      <color rgb="007B3F00"/>
      <sz val="9"/>
    </font>
    <font>
      <name val="Calibri"/>
      <color rgb="007B3F00"/>
      <sz val="9"/>
    </font>
    <font>
      <name val="Calibri"/>
      <b val="1"/>
      <color rgb="00E65100"/>
      <sz val="9"/>
    </font>
    <font>
      <name val="Calibri"/>
      <color rgb="00E65100"/>
      <sz val="9"/>
    </font>
    <font>
      <name val="Calibri"/>
      <b val="1"/>
      <color rgb="00C00000"/>
      <sz val="9"/>
    </font>
    <font>
      <name val="Calibri"/>
      <color rgb="00C00000"/>
      <sz val="9"/>
    </font>
    <font>
      <name val="Calibri"/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ACD"/>
      </patternFill>
    </fill>
    <fill>
      <patternFill patternType="solid">
        <fgColor rgb="00FFF3F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E5CC"/>
      </patternFill>
    </fill>
    <fill>
      <patternFill patternType="solid">
        <fgColor rgb="00FFD7D7"/>
      </patternFill>
    </fill>
    <fill>
      <patternFill patternType="solid">
        <fgColor rgb="00CCFFCC"/>
      </patternFill>
    </fill>
    <fill>
      <patternFill patternType="solid">
        <fgColor rgb="00B3E5FC"/>
      </patternFill>
    </fill>
    <fill>
      <patternFill patternType="solid">
        <fgColor rgb="00FFD700"/>
      </patternFill>
    </fill>
    <fill>
      <patternFill patternType="solid">
        <fgColor rgb="00FFE0B2"/>
      </patternFill>
    </fill>
    <fill>
      <patternFill patternType="solid">
        <fgColor rgb="00FFCCCC"/>
      </patternFill>
    </fill>
    <fill>
      <patternFill patternType="solid">
        <fgColor rgb="002E4057"/>
      </patternFill>
    </fill>
    <fill>
      <patternFill patternType="solid">
        <fgColor rgb="00F1F8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center" vertical="center"/>
    </xf>
    <xf numFmtId="167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1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8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9" fillId="8" borderId="1" applyAlignment="1" pivotButton="0" quotePrefix="0" xfId="0">
      <alignment vertical="center"/>
    </xf>
    <xf numFmtId="0" fontId="10" fillId="8" borderId="1" applyAlignment="1" pivotButton="0" quotePrefix="0" xfId="0">
      <alignment horizontal="left" vertical="center"/>
    </xf>
    <xf numFmtId="0" fontId="11" fillId="11" borderId="1" applyAlignment="1" pivotButton="0" quotePrefix="0" xfId="0">
      <alignment vertical="center"/>
    </xf>
    <xf numFmtId="0" fontId="12" fillId="11" borderId="1" applyAlignment="1" pivotButton="0" quotePrefix="0" xfId="0">
      <alignment horizontal="left" vertical="center"/>
    </xf>
    <xf numFmtId="0" fontId="13" fillId="12" borderId="1" applyAlignment="1" pivotButton="0" quotePrefix="0" xfId="0">
      <alignment vertical="center"/>
    </xf>
    <xf numFmtId="0" fontId="14" fillId="12" borderId="1" applyAlignment="1" pivotButton="0" quotePrefix="0" xfId="0">
      <alignment horizontal="left" vertical="center"/>
    </xf>
    <xf numFmtId="0" fontId="15" fillId="13" borderId="1" applyAlignment="1" pivotButton="0" quotePrefix="0" xfId="0">
      <alignment vertical="center"/>
    </xf>
    <xf numFmtId="0" fontId="16" fillId="13" borderId="1" applyAlignment="1" pivotButton="0" quotePrefix="0" xfId="0">
      <alignment horizontal="left" vertical="center"/>
    </xf>
    <xf numFmtId="0" fontId="17" fillId="14" borderId="1" applyAlignment="1" pivotButton="0" quotePrefix="0" xfId="0">
      <alignment vertical="center"/>
    </xf>
    <xf numFmtId="0" fontId="18" fillId="14" borderId="1" applyAlignment="1" pivotButton="0" quotePrefix="0" xfId="0">
      <alignment horizontal="left" vertical="center"/>
    </xf>
    <xf numFmtId="0" fontId="19" fillId="15" borderId="1" applyAlignment="1" pivotButton="0" quotePrefix="0" xfId="0">
      <alignment vertical="center"/>
    </xf>
    <xf numFmtId="0" fontId="20" fillId="15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168" fontId="5" fillId="11" borderId="1" applyAlignment="1" pivotButton="0" quotePrefix="0" xfId="0">
      <alignment horizontal="center" vertical="center"/>
    </xf>
    <xf numFmtId="169" fontId="5" fillId="11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166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166" fontId="4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8" fontId="5" fillId="15" borderId="1" applyAlignment="1" pivotButton="0" quotePrefix="0" xfId="0">
      <alignment horizontal="center" vertical="center"/>
    </xf>
    <xf numFmtId="169" fontId="5" fillId="15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168" fontId="8" fillId="2" borderId="1" applyAlignment="1" pivotButton="0" quotePrefix="0" xfId="0">
      <alignment horizontal="center"/>
    </xf>
    <xf numFmtId="169" fontId="8" fillId="2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Calibri"/>
        <b val="1"/>
        <color rgb="00C00000"/>
        <sz val="9"/>
      </font>
      <fill>
        <patternFill patternType="solid">
          <fgColor rgb="00FFCCCC"/>
        </patternFill>
      </fill>
    </dxf>
    <dxf>
      <font>
        <name val="Calibri"/>
        <b val="1"/>
        <color rgb="00E65100"/>
        <sz val="9"/>
      </font>
      <fill>
        <patternFill patternType="solid">
          <fgColor rgb="00FFE0B2"/>
        </patternFill>
      </fill>
    </dxf>
    <dxf>
      <font>
        <name val="Calibri"/>
        <b val="1"/>
        <color rgb="001B5E20"/>
        <sz val="9"/>
      </font>
      <fill>
        <patternFill patternType="solid">
          <fgColor rgb="00CCFFCC"/>
        </patternFill>
      </fill>
    </dxf>
    <dxf>
      <font>
        <name val="Calibri"/>
        <b val="1"/>
        <color rgb="000D47A1"/>
        <sz val="9"/>
      </font>
      <fill>
        <patternFill patternType="solid">
          <fgColor rgb="00B3E5FC"/>
        </patternFill>
      </fill>
    </dxf>
    <dxf>
      <font>
        <name val="Calibri"/>
        <b val="1"/>
        <color rgb="007B3F00"/>
        <sz val="9"/>
      </font>
      <fill>
        <patternFill patternType="solid">
          <fgColor rgb="00FFD700"/>
        </patternFill>
      </fill>
    </dxf>
    <dxf>
      <font>
        <name val="Calibri"/>
        <b val="1"/>
        <color rgb="001B5E20"/>
        <sz val="10"/>
      </font>
      <fill>
        <patternFill patternType="solid">
          <fgColor rgb="00CCFFCC"/>
        </patternFill>
      </fill>
    </dxf>
    <dxf>
      <font>
        <name val="Calibri"/>
        <b val="1"/>
        <color rgb="00C00000"/>
        <sz val="10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8" customWidth="1" min="4" max="4"/>
    <col width="7" customWidth="1" min="5" max="5"/>
    <col width="9" customWidth="1" min="6" max="6"/>
    <col width="11" customWidth="1" min="7" max="7"/>
    <col width="9" customWidth="1" min="8" max="8"/>
    <col width="10" customWidth="1" min="9" max="9"/>
    <col width="10" customWidth="1" min="10" max="10"/>
    <col width="9" customWidth="1" min="11" max="11"/>
    <col width="11" customWidth="1" min="12" max="12"/>
    <col width="11" customWidth="1" min="13" max="13"/>
    <col width="8" customWidth="1" min="14" max="14"/>
    <col width="9" customWidth="1" min="15" max="15"/>
    <col width="20" customWidth="1" min="16" max="16"/>
    <col width="9" customWidth="1" min="17" max="17"/>
    <col width="18" customWidth="1" min="18" max="18"/>
  </cols>
  <sheetData>
    <row r="1" ht="28" customHeight="1">
      <c r="A1" s="1" t="inlineStr">
        <is>
          <t>BRVM — Suivi de Portefeuille  ·  Tiaho Gérald Joël  ·  Coris Bourse  ·  Réf. 09/06/2026</t>
        </is>
      </c>
    </row>
    <row r="2">
      <c r="A2" s="2" t="inlineStr">
        <is>
          <t>⚡ Colonne K (Prix actuel) : mettre à jour chaque jour à 10h15 GMT après l'alerte Worker</t>
        </is>
      </c>
    </row>
    <row r="3" ht="36" customHeight="1">
      <c r="A3" s="3" t="inlineStr">
        <is>
          <t>Date
réf.</t>
        </is>
      </c>
      <c r="B3" s="3" t="inlineStr">
        <is>
          <t>Ticker</t>
        </is>
      </c>
      <c r="C3" s="3" t="inlineStr">
        <is>
          <t>Nom</t>
        </is>
      </c>
      <c r="D3" s="3" t="inlineStr">
        <is>
          <t>Signal
(H/M/L)</t>
        </is>
      </c>
      <c r="E3" s="3" t="inlineStr">
        <is>
          <t>Qtité</t>
        </is>
      </c>
      <c r="F3" s="3" t="inlineStr">
        <is>
          <t>Coût
Moyen</t>
        </is>
      </c>
      <c r="G3" s="3" t="inlineStr">
        <is>
          <t>Coût
Total</t>
        </is>
      </c>
      <c r="H3" s="3" t="inlineStr">
        <is>
          <t>Stop
Original
−3%</t>
        </is>
      </c>
      <c r="I3" s="3" t="inlineStr">
        <is>
          <t>Stop
Protection
−5% actuel</t>
        </is>
      </c>
      <c r="J3" s="3" t="inlineStr">
        <is>
          <t>Prochain
Objectif
+4% actuel</t>
        </is>
      </c>
      <c r="K3" s="3" t="inlineStr">
        <is>
          <t>Prix
Actuel</t>
        </is>
      </c>
      <c r="L3" s="3" t="inlineStr">
        <is>
          <t>Valeur
Actuelle</t>
        </is>
      </c>
      <c r="M3" s="3" t="inlineStr">
        <is>
          <t>P&amp;L
FCFA</t>
        </is>
      </c>
      <c r="N3" s="3" t="inlineStr">
        <is>
          <t>P&amp;L
%</t>
        </is>
      </c>
      <c r="O3" s="3" t="inlineStr">
        <is>
          <t>Gain
depuis
orig.</t>
        </is>
      </c>
      <c r="P3" s="3" t="inlineStr">
        <is>
          <t>Statut</t>
        </is>
      </c>
      <c r="Q3" s="3" t="inlineStr">
        <is>
          <t>Valeur
portefeuille
% total</t>
        </is>
      </c>
      <c r="R3" s="3" t="inlineStr">
        <is>
          <t>Notes</t>
        </is>
      </c>
    </row>
    <row r="4">
      <c r="A4" s="4" t="n">
        <v>46182</v>
      </c>
      <c r="B4" s="5" t="inlineStr">
        <is>
          <t>SAFC</t>
        </is>
      </c>
      <c r="C4" s="6" t="inlineStr">
        <is>
          <t>SAFCA CI</t>
        </is>
      </c>
      <c r="D4" s="7" t="inlineStr">
        <is>
          <t>L 🟡</t>
        </is>
      </c>
      <c r="E4" s="8" t="n">
        <v>5</v>
      </c>
      <c r="F4" s="9" t="n">
        <v>3745</v>
      </c>
      <c r="G4" s="10">
        <f>E4*F4</f>
        <v/>
      </c>
      <c r="H4" s="11">
        <f>ROUND(F4*0.97,0)</f>
        <v/>
      </c>
      <c r="I4" s="11">
        <f>IF(K4=0,"",ROUND(K4*0.95,0))</f>
        <v/>
      </c>
      <c r="J4" s="12">
        <f>IF(K4=0,"",ROUND(K4*1.04,0))</f>
        <v/>
      </c>
      <c r="K4" s="13" t="n">
        <v>3700</v>
      </c>
      <c r="L4" s="10">
        <f>IF(K4=0,"",K4*E4)</f>
        <v/>
      </c>
      <c r="M4" s="14">
        <f>IF(K4=0,"",L4-G4)</f>
        <v/>
      </c>
      <c r="N4" s="15">
        <f>IF(OR(F4=0,K4=0),"",(K4-F4)/F4)</f>
        <v/>
      </c>
      <c r="O4" s="16">
        <f>IF(M4="","",M4)</f>
        <v/>
      </c>
      <c r="P4" s="17">
        <f>IF(OR(F4=0,K4=0),"⏳ En attente",IF((K4-F4)/F4&lt;-0.05,"🛑 STOP FRANCHI — VENDRE",IF((K4-F4)/F4&lt;-0.03,"⚠️ SURVEILLER — proche stop",IF((K4-F4)/F4&lt;0.10,"⏳ TENIR",IF((K4-F4)/F4&lt;0.30,"✅ BON GAIN — protéger",IF((K4-F4)/F4&lt;0.80,"🚀 FORT GAIN — stop protection","💎 MULTIBAGGER — sécuriser impérativement"))))))</f>
        <v/>
      </c>
      <c r="Q4" s="18">
        <f>IF(L4=0,"",L4/9316395)</f>
        <v/>
      </c>
      <c r="R4" s="6" t="n"/>
    </row>
    <row r="5">
      <c r="A5" s="19" t="n">
        <v>46182</v>
      </c>
      <c r="B5" s="20" t="inlineStr">
        <is>
          <t>STBC</t>
        </is>
      </c>
      <c r="C5" s="21" t="inlineStr">
        <is>
          <t>SITAB CI</t>
        </is>
      </c>
      <c r="D5" s="7" t="inlineStr">
        <is>
          <t>L 🟡</t>
        </is>
      </c>
      <c r="E5" s="22" t="n">
        <v>23</v>
      </c>
      <c r="F5" s="23" t="n">
        <v>21115</v>
      </c>
      <c r="G5" s="24">
        <f>E5*F5</f>
        <v/>
      </c>
      <c r="H5" s="11">
        <f>ROUND(F5*0.97,0)</f>
        <v/>
      </c>
      <c r="I5" s="11">
        <f>IF(K5=0,"",ROUND(K5*0.95,0))</f>
        <v/>
      </c>
      <c r="J5" s="12">
        <f>IF(K5=0,"",ROUND(K5*1.04,0))</f>
        <v/>
      </c>
      <c r="K5" s="13" t="n">
        <v>21900</v>
      </c>
      <c r="L5" s="24">
        <f>IF(K5=0,"",K5*E5)</f>
        <v/>
      </c>
      <c r="M5" s="25">
        <f>IF(K5=0,"",L5-G5)</f>
        <v/>
      </c>
      <c r="N5" s="26">
        <f>IF(OR(F5=0,K5=0),"",(K5-F5)/F5)</f>
        <v/>
      </c>
      <c r="O5" s="27">
        <f>IF(M5="","",M5)</f>
        <v/>
      </c>
      <c r="P5" s="28">
        <f>IF(OR(F5=0,K5=0),"⏳ En attente",IF((K5-F5)/F5&lt;-0.05,"🛑 STOP FRANCHI — VENDRE",IF((K5-F5)/F5&lt;-0.03,"⚠️ SURVEILLER — proche stop",IF((K5-F5)/F5&lt;0.10,"⏳ TENIR",IF((K5-F5)/F5&lt;0.30,"✅ BON GAIN — protéger",IF((K5-F5)/F5&lt;0.80,"🚀 FORT GAIN — stop protection","💎 MULTIBAGGER — sécuriser impérativement"))))))</f>
        <v/>
      </c>
      <c r="Q5" s="29">
        <f>IF(L5=0,"",L5/9316395)</f>
        <v/>
      </c>
      <c r="R5" s="21" t="n"/>
    </row>
    <row r="6">
      <c r="A6" s="4" t="n">
        <v>46182</v>
      </c>
      <c r="B6" s="5" t="inlineStr">
        <is>
          <t>SOGB</t>
        </is>
      </c>
      <c r="C6" s="6" t="inlineStr">
        <is>
          <t>SOGB CI</t>
        </is>
      </c>
      <c r="D6" s="7" t="inlineStr">
        <is>
          <t>L 🟡</t>
        </is>
      </c>
      <c r="E6" s="8" t="n">
        <v>78</v>
      </c>
      <c r="F6" s="9" t="n">
        <v>8020</v>
      </c>
      <c r="G6" s="10">
        <f>E6*F6</f>
        <v/>
      </c>
      <c r="H6" s="11">
        <f>ROUND(F6*0.97,0)</f>
        <v/>
      </c>
      <c r="I6" s="11">
        <f>IF(K6=0,"",ROUND(K6*0.95,0))</f>
        <v/>
      </c>
      <c r="J6" s="12">
        <f>IF(K6=0,"",ROUND(K6*1.04,0))</f>
        <v/>
      </c>
      <c r="K6" s="13" t="n">
        <v>8490</v>
      </c>
      <c r="L6" s="10">
        <f>IF(K6=0,"",K6*E6)</f>
        <v/>
      </c>
      <c r="M6" s="14">
        <f>IF(K6=0,"",L6-G6)</f>
        <v/>
      </c>
      <c r="N6" s="15">
        <f>IF(OR(F6=0,K6=0),"",(K6-F6)/F6)</f>
        <v/>
      </c>
      <c r="O6" s="16">
        <f>IF(M6="","",M6)</f>
        <v/>
      </c>
      <c r="P6" s="17">
        <f>IF(OR(F6=0,K6=0),"⏳ En attente",IF((K6-F6)/F6&lt;-0.05,"🛑 STOP FRANCHI — VENDRE",IF((K6-F6)/F6&lt;-0.03,"⚠️ SURVEILLER — proche stop",IF((K6-F6)/F6&lt;0.10,"⏳ TENIR",IF((K6-F6)/F6&lt;0.30,"✅ BON GAIN — protéger",IF((K6-F6)/F6&lt;0.80,"🚀 FORT GAIN — stop protection","💎 MULTIBAGGER — sécuriser impérativement"))))))</f>
        <v/>
      </c>
      <c r="Q6" s="18">
        <f>IF(L6=0,"",L6/9316395)</f>
        <v/>
      </c>
      <c r="R6" s="6" t="n"/>
    </row>
    <row r="7">
      <c r="A7" s="19" t="n">
        <v>46182</v>
      </c>
      <c r="B7" s="20" t="inlineStr">
        <is>
          <t>SMBC</t>
        </is>
      </c>
      <c r="C7" s="21" t="inlineStr">
        <is>
          <t>SMB CI</t>
        </is>
      </c>
      <c r="D7" s="30" t="inlineStr">
        <is>
          <t>M 🟠</t>
        </is>
      </c>
      <c r="E7" s="22" t="n">
        <v>50</v>
      </c>
      <c r="F7" s="23" t="n">
        <v>11817</v>
      </c>
      <c r="G7" s="24">
        <f>E7*F7</f>
        <v/>
      </c>
      <c r="H7" s="11">
        <f>ROUND(F7*0.97,0)</f>
        <v/>
      </c>
      <c r="I7" s="11">
        <f>IF(K7=0,"",ROUND(K7*0.95,0))</f>
        <v/>
      </c>
      <c r="J7" s="12">
        <f>IF(K7=0,"",ROUND(K7*1.04,0))</f>
        <v/>
      </c>
      <c r="K7" s="13" t="n">
        <v>15380</v>
      </c>
      <c r="L7" s="24">
        <f>IF(K7=0,"",K7*E7)</f>
        <v/>
      </c>
      <c r="M7" s="25">
        <f>IF(K7=0,"",L7-G7)</f>
        <v/>
      </c>
      <c r="N7" s="26">
        <f>IF(OR(F7=0,K7=0),"",(K7-F7)/F7)</f>
        <v/>
      </c>
      <c r="O7" s="27">
        <f>IF(M7="","",M7)</f>
        <v/>
      </c>
      <c r="P7" s="28">
        <f>IF(OR(F7=0,K7=0),"⏳ En attente",IF((K7-F7)/F7&lt;-0.05,"🛑 STOP FRANCHI — VENDRE",IF((K7-F7)/F7&lt;-0.03,"⚠️ SURVEILLER — proche stop",IF((K7-F7)/F7&lt;0.10,"⏳ TENIR",IF((K7-F7)/F7&lt;0.30,"✅ BON GAIN — protéger",IF((K7-F7)/F7&lt;0.80,"🚀 FORT GAIN — stop protection","💎 MULTIBAGGER — sécuriser impérativement"))))))</f>
        <v/>
      </c>
      <c r="Q7" s="29">
        <f>IF(L7=0,"",L7/9316395)</f>
        <v/>
      </c>
      <c r="R7" s="21" t="n"/>
    </row>
    <row r="8">
      <c r="A8" s="4" t="n">
        <v>46182</v>
      </c>
      <c r="B8" s="5" t="inlineStr">
        <is>
          <t>NTLC</t>
        </is>
      </c>
      <c r="C8" s="6" t="inlineStr">
        <is>
          <t>Nestlé CI</t>
        </is>
      </c>
      <c r="D8" s="30" t="inlineStr">
        <is>
          <t>M 🟠</t>
        </is>
      </c>
      <c r="E8" s="8" t="n">
        <v>20</v>
      </c>
      <c r="F8" s="9" t="n">
        <v>11048</v>
      </c>
      <c r="G8" s="10">
        <f>E8*F8</f>
        <v/>
      </c>
      <c r="H8" s="11">
        <f>ROUND(F8*0.97,0)</f>
        <v/>
      </c>
      <c r="I8" s="11">
        <f>IF(K8=0,"",ROUND(K8*0.95,0))</f>
        <v/>
      </c>
      <c r="J8" s="12">
        <f>IF(K8=0,"",ROUND(K8*1.04,0))</f>
        <v/>
      </c>
      <c r="K8" s="13" t="n">
        <v>14225</v>
      </c>
      <c r="L8" s="10">
        <f>IF(K8=0,"",K8*E8)</f>
        <v/>
      </c>
      <c r="M8" s="14">
        <f>IF(K8=0,"",L8-G8)</f>
        <v/>
      </c>
      <c r="N8" s="15">
        <f>IF(OR(F8=0,K8=0),"",(K8-F8)/F8)</f>
        <v/>
      </c>
      <c r="O8" s="16">
        <f>IF(M8="","",M8)</f>
        <v/>
      </c>
      <c r="P8" s="17">
        <f>IF(OR(F8=0,K8=0),"⏳ En attente",IF((K8-F8)/F8&lt;-0.05,"🛑 STOP FRANCHI — VENDRE",IF((K8-F8)/F8&lt;-0.03,"⚠️ SURVEILLER — proche stop",IF((K8-F8)/F8&lt;0.10,"⏳ TENIR",IF((K8-F8)/F8&lt;0.30,"✅ BON GAIN — protéger",IF((K8-F8)/F8&lt;0.80,"🚀 FORT GAIN — stop protection","💎 MULTIBAGGER — sécuriser impérativement"))))))</f>
        <v/>
      </c>
      <c r="Q8" s="18">
        <f>IF(L8=0,"",L8/9316395)</f>
        <v/>
      </c>
      <c r="R8" s="6" t="n"/>
    </row>
    <row r="9">
      <c r="A9" s="19" t="n">
        <v>46182</v>
      </c>
      <c r="B9" s="20" t="inlineStr">
        <is>
          <t>UNXC</t>
        </is>
      </c>
      <c r="C9" s="21" t="inlineStr">
        <is>
          <t>Uniwax CI</t>
        </is>
      </c>
      <c r="D9" s="7" t="inlineStr">
        <is>
          <t>L 🟡</t>
        </is>
      </c>
      <c r="E9" s="22" t="n">
        <v>100</v>
      </c>
      <c r="F9" s="23" t="n">
        <v>1957</v>
      </c>
      <c r="G9" s="24">
        <f>E9*F9</f>
        <v/>
      </c>
      <c r="H9" s="11">
        <f>ROUND(F9*0.97,0)</f>
        <v/>
      </c>
      <c r="I9" s="11">
        <f>IF(K9=0,"",ROUND(K9*0.95,0))</f>
        <v/>
      </c>
      <c r="J9" s="12">
        <f>IF(K9=0,"",ROUND(K9*1.04,0))</f>
        <v/>
      </c>
      <c r="K9" s="13" t="n">
        <v>1905</v>
      </c>
      <c r="L9" s="24">
        <f>IF(K9=0,"",K9*E9)</f>
        <v/>
      </c>
      <c r="M9" s="25">
        <f>IF(K9=0,"",L9-G9)</f>
        <v/>
      </c>
      <c r="N9" s="26">
        <f>IF(OR(F9=0,K9=0),"",(K9-F9)/F9)</f>
        <v/>
      </c>
      <c r="O9" s="27">
        <f>IF(M9="","",M9)</f>
        <v/>
      </c>
      <c r="P9" s="28">
        <f>IF(OR(F9=0,K9=0),"⏳ En attente",IF((K9-F9)/F9&lt;-0.05,"🛑 STOP FRANCHI — VENDRE",IF((K9-F9)/F9&lt;-0.03,"⚠️ SURVEILLER — proche stop",IF((K9-F9)/F9&lt;0.10,"⏳ TENIR",IF((K9-F9)/F9&lt;0.30,"✅ BON GAIN — protéger",IF((K9-F9)/F9&lt;0.80,"🚀 FORT GAIN — stop protection","💎 MULTIBAGGER — sécuriser impérativement"))))))</f>
        <v/>
      </c>
      <c r="Q9" s="29">
        <f>IF(L9=0,"",L9/9316395)</f>
        <v/>
      </c>
      <c r="R9" s="21" t="n"/>
    </row>
    <row r="10">
      <c r="A10" s="4" t="n">
        <v>46182</v>
      </c>
      <c r="B10" s="5" t="inlineStr">
        <is>
          <t>SIVC</t>
        </is>
      </c>
      <c r="C10" s="6" t="inlineStr">
        <is>
          <t>Erium CI (ex-Air Liquide)</t>
        </is>
      </c>
      <c r="D10" s="7" t="inlineStr">
        <is>
          <t>L 🟡</t>
        </is>
      </c>
      <c r="E10" s="8" t="n">
        <v>61</v>
      </c>
      <c r="F10" s="9" t="n">
        <v>2757</v>
      </c>
      <c r="G10" s="10">
        <f>E10*F10</f>
        <v/>
      </c>
      <c r="H10" s="11">
        <f>ROUND(F10*0.97,0)</f>
        <v/>
      </c>
      <c r="I10" s="11">
        <f>IF(K10=0,"",ROUND(K10*0.95,0))</f>
        <v/>
      </c>
      <c r="J10" s="12">
        <f>IF(K10=0,"",ROUND(K10*1.04,0))</f>
        <v/>
      </c>
      <c r="K10" s="13" t="n">
        <v>2845</v>
      </c>
      <c r="L10" s="10">
        <f>IF(K10=0,"",K10*E10)</f>
        <v/>
      </c>
      <c r="M10" s="14">
        <f>IF(K10=0,"",L10-G10)</f>
        <v/>
      </c>
      <c r="N10" s="15">
        <f>IF(OR(F10=0,K10=0),"",(K10-F10)/F10)</f>
        <v/>
      </c>
      <c r="O10" s="16">
        <f>IF(M10="","",M10)</f>
        <v/>
      </c>
      <c r="P10" s="17">
        <f>IF(OR(F10=0,K10=0),"⏳ En attente",IF((K10-F10)/F10&lt;-0.05,"🛑 STOP FRANCHI — VENDRE",IF((K10-F10)/F10&lt;-0.03,"⚠️ SURVEILLER — proche stop",IF((K10-F10)/F10&lt;0.10,"⏳ TENIR",IF((K10-F10)/F10&lt;0.30,"✅ BON GAIN — protéger",IF((K10-F10)/F10&lt;0.80,"🚀 FORT GAIN — stop protection","💎 MULTIBAGGER — sécuriser impérativement"))))))</f>
        <v/>
      </c>
      <c r="Q10" s="18">
        <f>IF(L10=0,"",L10/9316395)</f>
        <v/>
      </c>
      <c r="R10" s="6" t="n"/>
    </row>
    <row r="11">
      <c r="A11" s="19" t="n">
        <v>46182</v>
      </c>
      <c r="B11" s="20" t="inlineStr">
        <is>
          <t>BOAB</t>
        </is>
      </c>
      <c r="C11" s="21" t="inlineStr">
        <is>
          <t>BOA Bénin</t>
        </is>
      </c>
      <c r="D11" s="31" t="inlineStr">
        <is>
          <t>H 🔴</t>
        </is>
      </c>
      <c r="E11" s="22" t="n">
        <v>40</v>
      </c>
      <c r="F11" s="23" t="n">
        <v>5648</v>
      </c>
      <c r="G11" s="24">
        <f>E11*F11</f>
        <v/>
      </c>
      <c r="H11" s="11">
        <f>ROUND(F11*0.97,0)</f>
        <v/>
      </c>
      <c r="I11" s="11">
        <f>IF(K11=0,"",ROUND(K11*0.95,0))</f>
        <v/>
      </c>
      <c r="J11" s="12">
        <f>IF(K11=0,"",ROUND(K11*1.04,0))</f>
        <v/>
      </c>
      <c r="K11" s="13" t="n">
        <v>8745</v>
      </c>
      <c r="L11" s="24">
        <f>IF(K11=0,"",K11*E11)</f>
        <v/>
      </c>
      <c r="M11" s="25">
        <f>IF(K11=0,"",L11-G11)</f>
        <v/>
      </c>
      <c r="N11" s="26">
        <f>IF(OR(F11=0,K11=0),"",(K11-F11)/F11)</f>
        <v/>
      </c>
      <c r="O11" s="27">
        <f>IF(M11="","",M11)</f>
        <v/>
      </c>
      <c r="P11" s="28">
        <f>IF(OR(F11=0,K11=0),"⏳ En attente",IF((K11-F11)/F11&lt;-0.05,"🛑 STOP FRANCHI — VENDRE",IF((K11-F11)/F11&lt;-0.03,"⚠️ SURVEILLER — proche stop",IF((K11-F11)/F11&lt;0.10,"⏳ TENIR",IF((K11-F11)/F11&lt;0.30,"✅ BON GAIN — protéger",IF((K11-F11)/F11&lt;0.80,"🚀 FORT GAIN — stop protection","💎 MULTIBAGGER — sécuriser impérativement"))))))</f>
        <v/>
      </c>
      <c r="Q11" s="29">
        <f>IF(L11=0,"",L11/9316395)</f>
        <v/>
      </c>
      <c r="R11" s="21" t="n"/>
    </row>
    <row r="12">
      <c r="A12" s="4" t="n">
        <v>46182</v>
      </c>
      <c r="B12" s="5" t="inlineStr">
        <is>
          <t>TTLC</t>
        </is>
      </c>
      <c r="C12" s="6" t="inlineStr">
        <is>
          <t>TotalEnergies CI</t>
        </is>
      </c>
      <c r="D12" s="7" t="inlineStr">
        <is>
          <t>L 🟡</t>
        </is>
      </c>
      <c r="E12" s="8" t="n">
        <v>117</v>
      </c>
      <c r="F12" s="9" t="n">
        <v>2834</v>
      </c>
      <c r="G12" s="10">
        <f>E12*F12</f>
        <v/>
      </c>
      <c r="H12" s="11">
        <f>ROUND(F12*0.97,0)</f>
        <v/>
      </c>
      <c r="I12" s="11">
        <f>IF(K12=0,"",ROUND(K12*0.95,0))</f>
        <v/>
      </c>
      <c r="J12" s="12">
        <f>IF(K12=0,"",ROUND(K12*1.04,0))</f>
        <v/>
      </c>
      <c r="K12" s="13" t="n">
        <v>2805</v>
      </c>
      <c r="L12" s="10">
        <f>IF(K12=0,"",K12*E12)</f>
        <v/>
      </c>
      <c r="M12" s="14">
        <f>IF(K12=0,"",L12-G12)</f>
        <v/>
      </c>
      <c r="N12" s="15">
        <f>IF(OR(F12=0,K12=0),"",(K12-F12)/F12)</f>
        <v/>
      </c>
      <c r="O12" s="16">
        <f>IF(M12="","",M12)</f>
        <v/>
      </c>
      <c r="P12" s="17">
        <f>IF(OR(F12=0,K12=0),"⏳ En attente",IF((K12-F12)/F12&lt;-0.05,"🛑 STOP FRANCHI — VENDRE",IF((K12-F12)/F12&lt;-0.03,"⚠️ SURVEILLER — proche stop",IF((K12-F12)/F12&lt;0.10,"⏳ TENIR",IF((K12-F12)/F12&lt;0.30,"✅ BON GAIN — protéger",IF((K12-F12)/F12&lt;0.80,"🚀 FORT GAIN — stop protection","💎 MULTIBAGGER — sécuriser impérativement"))))))</f>
        <v/>
      </c>
      <c r="Q12" s="18">
        <f>IF(L12=0,"",L12/9316395)</f>
        <v/>
      </c>
      <c r="R12" s="6" t="n"/>
    </row>
    <row r="13">
      <c r="A13" s="19" t="n">
        <v>46182</v>
      </c>
      <c r="B13" s="20" t="inlineStr">
        <is>
          <t>BOAN</t>
        </is>
      </c>
      <c r="C13" s="21" t="inlineStr">
        <is>
          <t>BOA Niger</t>
        </is>
      </c>
      <c r="D13" s="30" t="inlineStr">
        <is>
          <t>M 🟠</t>
        </is>
      </c>
      <c r="E13" s="22" t="n">
        <v>30</v>
      </c>
      <c r="F13" s="23" t="n">
        <v>2677</v>
      </c>
      <c r="G13" s="24">
        <f>E13*F13</f>
        <v/>
      </c>
      <c r="H13" s="11">
        <f>ROUND(F13*0.97,0)</f>
        <v/>
      </c>
      <c r="I13" s="11">
        <f>IF(K13=0,"",ROUND(K13*0.95,0))</f>
        <v/>
      </c>
      <c r="J13" s="12">
        <f>IF(K13=0,"",ROUND(K13*1.04,0))</f>
        <v/>
      </c>
      <c r="K13" s="13" t="n">
        <v>3740</v>
      </c>
      <c r="L13" s="24">
        <f>IF(K13=0,"",K13*E13)</f>
        <v/>
      </c>
      <c r="M13" s="25">
        <f>IF(K13=0,"",L13-G13)</f>
        <v/>
      </c>
      <c r="N13" s="26">
        <f>IF(OR(F13=0,K13=0),"",(K13-F13)/F13)</f>
        <v/>
      </c>
      <c r="O13" s="27">
        <f>IF(M13="","",M13)</f>
        <v/>
      </c>
      <c r="P13" s="28">
        <f>IF(OR(F13=0,K13=0),"⏳ En attente",IF((K13-F13)/F13&lt;-0.05,"🛑 STOP FRANCHI — VENDRE",IF((K13-F13)/F13&lt;-0.03,"⚠️ SURVEILLER — proche stop",IF((K13-F13)/F13&lt;0.10,"⏳ TENIR",IF((K13-F13)/F13&lt;0.30,"✅ BON GAIN — protéger",IF((K13-F13)/F13&lt;0.80,"🚀 FORT GAIN — stop protection","💎 MULTIBAGGER — sécuriser impérativement"))))))</f>
        <v/>
      </c>
      <c r="Q13" s="29">
        <f>IF(L13=0,"",L13/9316395)</f>
        <v/>
      </c>
      <c r="R13" s="21" t="n"/>
    </row>
    <row r="14">
      <c r="A14" s="4" t="n">
        <v>46182</v>
      </c>
      <c r="B14" s="5" t="inlineStr">
        <is>
          <t>ETIT</t>
        </is>
      </c>
      <c r="C14" s="6" t="inlineStr">
        <is>
          <t>Ecobank TI (ETI)</t>
        </is>
      </c>
      <c r="D14" s="31" t="inlineStr">
        <is>
          <t>H 🔴</t>
        </is>
      </c>
      <c r="E14" s="8" t="n">
        <v>4000</v>
      </c>
      <c r="F14" s="9" t="n">
        <v>16</v>
      </c>
      <c r="G14" s="10">
        <f>E14*F14</f>
        <v/>
      </c>
      <c r="H14" s="11">
        <f>ROUND(F14*0.97,0)</f>
        <v/>
      </c>
      <c r="I14" s="11">
        <f>IF(K14=0,"",ROUND(K14*0.95,0))</f>
        <v/>
      </c>
      <c r="J14" s="12">
        <f>IF(K14=0,"",ROUND(K14*1.04,0))</f>
        <v/>
      </c>
      <c r="K14" s="13" t="n">
        <v>33</v>
      </c>
      <c r="L14" s="10">
        <f>IF(K14=0,"",K14*E14)</f>
        <v/>
      </c>
      <c r="M14" s="14">
        <f>IF(K14=0,"",L14-G14)</f>
        <v/>
      </c>
      <c r="N14" s="15">
        <f>IF(OR(F14=0,K14=0),"",(K14-F14)/F14)</f>
        <v/>
      </c>
      <c r="O14" s="16">
        <f>IF(M14="","",M14)</f>
        <v/>
      </c>
      <c r="P14" s="17">
        <f>IF(OR(F14=0,K14=0),"⏳ En attente",IF((K14-F14)/F14&lt;-0.05,"🛑 STOP FRANCHI — VENDRE",IF((K14-F14)/F14&lt;-0.03,"⚠️ SURVEILLER — proche stop",IF((K14-F14)/F14&lt;0.10,"⏳ TENIR",IF((K14-F14)/F14&lt;0.30,"✅ BON GAIN — protéger",IF((K14-F14)/F14&lt;0.80,"🚀 FORT GAIN — stop protection","💎 MULTIBAGGER — sécuriser impérativement"))))))</f>
        <v/>
      </c>
      <c r="Q14" s="18">
        <f>IF(L14=0,"",L14/9316395)</f>
        <v/>
      </c>
      <c r="R14" s="6" t="n"/>
    </row>
    <row r="15">
      <c r="A15" s="19" t="n">
        <v>46182</v>
      </c>
      <c r="B15" s="20" t="inlineStr">
        <is>
          <t>SDSC</t>
        </is>
      </c>
      <c r="C15" s="21" t="inlineStr">
        <is>
          <t>AGL CI (ex-Bolloré)</t>
        </is>
      </c>
      <c r="D15" s="30" t="inlineStr">
        <is>
          <t>M 🟠</t>
        </is>
      </c>
      <c r="E15" s="22" t="n">
        <v>250</v>
      </c>
      <c r="F15" s="23" t="n">
        <v>1575</v>
      </c>
      <c r="G15" s="24">
        <f>E15*F15</f>
        <v/>
      </c>
      <c r="H15" s="11">
        <f>ROUND(F15*0.97,0)</f>
        <v/>
      </c>
      <c r="I15" s="11">
        <f>IF(K15=0,"",ROUND(K15*0.95,0))</f>
        <v/>
      </c>
      <c r="J15" s="12">
        <f>IF(K15=0,"",ROUND(K15*1.04,0))</f>
        <v/>
      </c>
      <c r="K15" s="13" t="n">
        <v>2000</v>
      </c>
      <c r="L15" s="24">
        <f>IF(K15=0,"",K15*E15)</f>
        <v/>
      </c>
      <c r="M15" s="25">
        <f>IF(K15=0,"",L15-G15)</f>
        <v/>
      </c>
      <c r="N15" s="26">
        <f>IF(OR(F15=0,K15=0),"",(K15-F15)/F15)</f>
        <v/>
      </c>
      <c r="O15" s="27">
        <f>IF(M15="","",M15)</f>
        <v/>
      </c>
      <c r="P15" s="28">
        <f>IF(OR(F15=0,K15=0),"⏳ En attente",IF((K15-F15)/F15&lt;-0.05,"🛑 STOP FRANCHI — VENDRE",IF((K15-F15)/F15&lt;-0.03,"⚠️ SURVEILLER — proche stop",IF((K15-F15)/F15&lt;0.10,"⏳ TENIR",IF((K15-F15)/F15&lt;0.30,"✅ BON GAIN — protéger",IF((K15-F15)/F15&lt;0.80,"🚀 FORT GAIN — stop protection","💎 MULTIBAGGER — sécuriser impérativement"))))))</f>
        <v/>
      </c>
      <c r="Q15" s="29">
        <f>IF(L15=0,"",L15/9316395)</f>
        <v/>
      </c>
      <c r="R15" s="21" t="n"/>
    </row>
    <row r="16">
      <c r="A16" s="4" t="n">
        <v>46182</v>
      </c>
      <c r="B16" s="5" t="inlineStr">
        <is>
          <t>BOACI</t>
        </is>
      </c>
      <c r="C16" s="6" t="inlineStr">
        <is>
          <t>BOA Côte d'Ivoire</t>
        </is>
      </c>
      <c r="D16" s="30" t="inlineStr">
        <is>
          <t>M 🟠</t>
        </is>
      </c>
      <c r="E16" s="8" t="n">
        <v>115</v>
      </c>
      <c r="F16" s="9" t="n">
        <v>7488</v>
      </c>
      <c r="G16" s="10">
        <f>E16*F16</f>
        <v/>
      </c>
      <c r="H16" s="11">
        <f>ROUND(F16*0.97,0)</f>
        <v/>
      </c>
      <c r="I16" s="11">
        <f>IF(K16=0,"",ROUND(K16*0.95,0))</f>
        <v/>
      </c>
      <c r="J16" s="12">
        <f>IF(K16=0,"",ROUND(K16*1.04,0))</f>
        <v/>
      </c>
      <c r="K16" s="13" t="n">
        <v>8890</v>
      </c>
      <c r="L16" s="10">
        <f>IF(K16=0,"",K16*E16)</f>
        <v/>
      </c>
      <c r="M16" s="14">
        <f>IF(K16=0,"",L16-G16)</f>
        <v/>
      </c>
      <c r="N16" s="15">
        <f>IF(OR(F16=0,K16=0),"",(K16-F16)/F16)</f>
        <v/>
      </c>
      <c r="O16" s="16">
        <f>IF(M16="","",M16)</f>
        <v/>
      </c>
      <c r="P16" s="17">
        <f>IF(OR(F16=0,K16=0),"⏳ En attente",IF((K16-F16)/F16&lt;-0.05,"🛑 STOP FRANCHI — VENDRE",IF((K16-F16)/F16&lt;-0.03,"⚠️ SURVEILLER — proche stop",IF((K16-F16)/F16&lt;0.10,"⏳ TENIR",IF((K16-F16)/F16&lt;0.30,"✅ BON GAIN — protéger",IF((K16-F16)/F16&lt;0.80,"🚀 FORT GAIN — stop protection","💎 MULTIBAGGER — sécuriser impérativement"))))))</f>
        <v/>
      </c>
      <c r="Q16" s="18">
        <f>IF(L16=0,"",L16/9316395)</f>
        <v/>
      </c>
      <c r="R16" s="6" t="n"/>
    </row>
    <row r="17">
      <c r="A17" s="19" t="n">
        <v>46182</v>
      </c>
      <c r="B17" s="20" t="inlineStr">
        <is>
          <t>BOABF</t>
        </is>
      </c>
      <c r="C17" s="21" t="inlineStr">
        <is>
          <t>BOA Burkina Faso</t>
        </is>
      </c>
      <c r="D17" s="30" t="inlineStr">
        <is>
          <t>M 🟠</t>
        </is>
      </c>
      <c r="E17" s="22" t="n">
        <v>67</v>
      </c>
      <c r="F17" s="23" t="n">
        <v>4737</v>
      </c>
      <c r="G17" s="24">
        <f>E17*F17</f>
        <v/>
      </c>
      <c r="H17" s="11">
        <f>ROUND(F17*0.97,0)</f>
        <v/>
      </c>
      <c r="I17" s="11">
        <f>IF(K17=0,"",ROUND(K17*0.95,0))</f>
        <v/>
      </c>
      <c r="J17" s="12">
        <f>IF(K17=0,"",ROUND(K17*1.04,0))</f>
        <v/>
      </c>
      <c r="K17" s="13" t="n">
        <v>5595</v>
      </c>
      <c r="L17" s="24">
        <f>IF(K17=0,"",K17*E17)</f>
        <v/>
      </c>
      <c r="M17" s="25">
        <f>IF(K17=0,"",L17-G17)</f>
        <v/>
      </c>
      <c r="N17" s="26">
        <f>IF(OR(F17=0,K17=0),"",(K17-F17)/F17)</f>
        <v/>
      </c>
      <c r="O17" s="27">
        <f>IF(M17="","",M17)</f>
        <v/>
      </c>
      <c r="P17" s="28">
        <f>IF(OR(F17=0,K17=0),"⏳ En attente",IF((K17-F17)/F17&lt;-0.05,"🛑 STOP FRANCHI — VENDRE",IF((K17-F17)/F17&lt;-0.03,"⚠️ SURVEILLER — proche stop",IF((K17-F17)/F17&lt;0.10,"⏳ TENIR",IF((K17-F17)/F17&lt;0.30,"✅ BON GAIN — protéger",IF((K17-F17)/F17&lt;0.80,"🚀 FORT GAIN — stop protection","💎 MULTIBAGGER — sécuriser impérativement"))))))</f>
        <v/>
      </c>
      <c r="Q17" s="29">
        <f>IF(L17=0,"",L17/9316395)</f>
        <v/>
      </c>
      <c r="R17" s="21" t="n"/>
    </row>
    <row r="18">
      <c r="A18" s="4" t="n">
        <v>46182</v>
      </c>
      <c r="B18" s="5" t="inlineStr">
        <is>
          <t>BOAS</t>
        </is>
      </c>
      <c r="C18" s="6" t="inlineStr">
        <is>
          <t>BOA Sénégal</t>
        </is>
      </c>
      <c r="D18" s="7" t="inlineStr">
        <is>
          <t>L 🟡</t>
        </is>
      </c>
      <c r="E18" s="8" t="n">
        <v>20</v>
      </c>
      <c r="F18" s="9" t="n">
        <v>7447</v>
      </c>
      <c r="G18" s="10">
        <f>E18*F18</f>
        <v/>
      </c>
      <c r="H18" s="11">
        <f>ROUND(F18*0.97,0)</f>
        <v/>
      </c>
      <c r="I18" s="11">
        <f>IF(K18=0,"",ROUND(K18*0.95,0))</f>
        <v/>
      </c>
      <c r="J18" s="12">
        <f>IF(K18=0,"",ROUND(K18*1.04,0))</f>
        <v/>
      </c>
      <c r="K18" s="13" t="n">
        <v>7400</v>
      </c>
      <c r="L18" s="10">
        <f>IF(K18=0,"",K18*E18)</f>
        <v/>
      </c>
      <c r="M18" s="14">
        <f>IF(K18=0,"",L18-G18)</f>
        <v/>
      </c>
      <c r="N18" s="15">
        <f>IF(OR(F18=0,K18=0),"",(K18-F18)/F18)</f>
        <v/>
      </c>
      <c r="O18" s="16">
        <f>IF(M18="","",M18)</f>
        <v/>
      </c>
      <c r="P18" s="17">
        <f>IF(OR(F18=0,K18=0),"⏳ En attente",IF((K18-F18)/F18&lt;-0.05,"🛑 STOP FRANCHI — VENDRE",IF((K18-F18)/F18&lt;-0.03,"⚠️ SURVEILLER — proche stop",IF((K18-F18)/F18&lt;0.10,"⏳ TENIR",IF((K18-F18)/F18&lt;0.30,"✅ BON GAIN — protéger",IF((K18-F18)/F18&lt;0.80,"🚀 FORT GAIN — stop protection","💎 MULTIBAGGER — sécuriser impérativement"))))))</f>
        <v/>
      </c>
      <c r="Q18" s="18">
        <f>IF(L18=0,"",L18/9316395)</f>
        <v/>
      </c>
      <c r="R18" s="6" t="n"/>
    </row>
    <row r="19">
      <c r="A19" s="19" t="n">
        <v>46182</v>
      </c>
      <c r="B19" s="20" t="inlineStr">
        <is>
          <t>BOAM</t>
        </is>
      </c>
      <c r="C19" s="21" t="inlineStr">
        <is>
          <t>BOA Mali</t>
        </is>
      </c>
      <c r="D19" s="7" t="inlineStr">
        <is>
          <t>L 🟡</t>
        </is>
      </c>
      <c r="E19" s="22" t="n">
        <v>30</v>
      </c>
      <c r="F19" s="23" t="n">
        <v>4890</v>
      </c>
      <c r="G19" s="24">
        <f>E19*F19</f>
        <v/>
      </c>
      <c r="H19" s="11">
        <f>ROUND(F19*0.97,0)</f>
        <v/>
      </c>
      <c r="I19" s="11">
        <f>IF(K19=0,"",ROUND(K19*0.95,0))</f>
        <v/>
      </c>
      <c r="J19" s="12">
        <f>IF(K19=0,"",ROUND(K19*1.04,0))</f>
        <v/>
      </c>
      <c r="K19" s="13" t="n">
        <v>4630</v>
      </c>
      <c r="L19" s="24">
        <f>IF(K19=0,"",K19*E19)</f>
        <v/>
      </c>
      <c r="M19" s="25">
        <f>IF(K19=0,"",L19-G19)</f>
        <v/>
      </c>
      <c r="N19" s="26">
        <f>IF(OR(F19=0,K19=0),"",(K19-F19)/F19)</f>
        <v/>
      </c>
      <c r="O19" s="27">
        <f>IF(M19="","",M19)</f>
        <v/>
      </c>
      <c r="P19" s="28">
        <f>IF(OR(F19=0,K19=0),"⏳ En attente",IF((K19-F19)/F19&lt;-0.05,"🛑 STOP FRANCHI — VENDRE",IF((K19-F19)/F19&lt;-0.03,"⚠️ SURVEILLER — proche stop",IF((K19-F19)/F19&lt;0.10,"⏳ TENIR",IF((K19-F19)/F19&lt;0.30,"✅ BON GAIN — protéger",IF((K19-F19)/F19&lt;0.80,"🚀 FORT GAIN — stop protection","💎 MULTIBAGGER — sécuriser impérativement"))))))</f>
        <v/>
      </c>
      <c r="Q19" s="29">
        <f>IF(L19=0,"",L19/9316395)</f>
        <v/>
      </c>
      <c r="R19" s="21" t="n"/>
    </row>
    <row r="20">
      <c r="A20" s="4" t="n">
        <v>46182</v>
      </c>
      <c r="B20" s="5" t="inlineStr">
        <is>
          <t>SIBC</t>
        </is>
      </c>
      <c r="C20" s="6" t="inlineStr">
        <is>
          <t>SIB CI</t>
        </is>
      </c>
      <c r="D20" s="31" t="inlineStr">
        <is>
          <t>H 🔴</t>
        </is>
      </c>
      <c r="E20" s="8" t="n">
        <v>78</v>
      </c>
      <c r="F20" s="9" t="n">
        <v>6337</v>
      </c>
      <c r="G20" s="10">
        <f>E20*F20</f>
        <v/>
      </c>
      <c r="H20" s="11">
        <f>ROUND(F20*0.97,0)</f>
        <v/>
      </c>
      <c r="I20" s="11">
        <f>IF(K20=0,"",ROUND(K20*0.95,0))</f>
        <v/>
      </c>
      <c r="J20" s="12">
        <f>IF(K20=0,"",ROUND(K20*1.04,0))</f>
        <v/>
      </c>
      <c r="K20" s="13" t="n">
        <v>8510</v>
      </c>
      <c r="L20" s="10">
        <f>IF(K20=0,"",K20*E20)</f>
        <v/>
      </c>
      <c r="M20" s="14">
        <f>IF(K20=0,"",L20-G20)</f>
        <v/>
      </c>
      <c r="N20" s="15">
        <f>IF(OR(F20=0,K20=0),"",(K20-F20)/F20)</f>
        <v/>
      </c>
      <c r="O20" s="16">
        <f>IF(M20="","",M20)</f>
        <v/>
      </c>
      <c r="P20" s="17">
        <f>IF(OR(F20=0,K20=0),"⏳ En attente",IF((K20-F20)/F20&lt;-0.05,"🛑 STOP FRANCHI — VENDRE",IF((K20-F20)/F20&lt;-0.03,"⚠️ SURVEILLER — proche stop",IF((K20-F20)/F20&lt;0.10,"⏳ TENIR",IF((K20-F20)/F20&lt;0.30,"✅ BON GAIN — protéger",IF((K20-F20)/F20&lt;0.80,"🚀 FORT GAIN — stop protection","💎 MULTIBAGGER — sécuriser impérativement"))))))</f>
        <v/>
      </c>
      <c r="Q20" s="18">
        <f>IF(L20=0,"",L20/9316395)</f>
        <v/>
      </c>
      <c r="R20" s="6" t="n"/>
    </row>
    <row r="21">
      <c r="A21" s="19" t="n">
        <v>46182</v>
      </c>
      <c r="B21" s="20" t="inlineStr">
        <is>
          <t>CBBF</t>
        </is>
      </c>
      <c r="C21" s="21" t="inlineStr">
        <is>
          <t>Coris Bank BF</t>
        </is>
      </c>
      <c r="D21" s="31" t="inlineStr">
        <is>
          <t>H 🔴</t>
        </is>
      </c>
      <c r="E21" s="22" t="n">
        <v>30</v>
      </c>
      <c r="F21" s="23" t="n">
        <v>10211</v>
      </c>
      <c r="G21" s="24">
        <f>E21*F21</f>
        <v/>
      </c>
      <c r="H21" s="11">
        <f>ROUND(F21*0.97,0)</f>
        <v/>
      </c>
      <c r="I21" s="11">
        <f>IF(K21=0,"",ROUND(K21*0.95,0))</f>
        <v/>
      </c>
      <c r="J21" s="12">
        <f>IF(K21=0,"",ROUND(K21*1.04,0))</f>
        <v/>
      </c>
      <c r="K21" s="13" t="n">
        <v>21500</v>
      </c>
      <c r="L21" s="24">
        <f>IF(K21=0,"",K21*E21)</f>
        <v/>
      </c>
      <c r="M21" s="25">
        <f>IF(K21=0,"",L21-G21)</f>
        <v/>
      </c>
      <c r="N21" s="26">
        <f>IF(OR(F21=0,K21=0),"",(K21-F21)/F21)</f>
        <v/>
      </c>
      <c r="O21" s="27">
        <f>IF(M21="","",M21)</f>
        <v/>
      </c>
      <c r="P21" s="28">
        <f>IF(OR(F21=0,K21=0),"⏳ En attente",IF((K21-F21)/F21&lt;-0.05,"🛑 STOP FRANCHI — VENDRE",IF((K21-F21)/F21&lt;-0.03,"⚠️ SURVEILLER — proche stop",IF((K21-F21)/F21&lt;0.10,"⏳ TENIR",IF((K21-F21)/F21&lt;0.30,"✅ BON GAIN — protéger",IF((K21-F21)/F21&lt;0.80,"🚀 FORT GAIN — stop protection","💎 MULTIBAGGER — sécuriser impérativement"))))))</f>
        <v/>
      </c>
      <c r="Q21" s="29">
        <f>IF(L21=0,"",L21/9316395)</f>
        <v/>
      </c>
      <c r="R21" s="21" t="n"/>
    </row>
    <row r="22">
      <c r="A22" s="4" t="n">
        <v>46182</v>
      </c>
      <c r="B22" s="5" t="inlineStr">
        <is>
          <t>NSBC</t>
        </is>
      </c>
      <c r="C22" s="6" t="inlineStr">
        <is>
          <t>NSIA Banque CI</t>
        </is>
      </c>
      <c r="D22" s="31" t="inlineStr">
        <is>
          <t>H 🔴</t>
        </is>
      </c>
      <c r="E22" s="8" t="n">
        <v>77</v>
      </c>
      <c r="F22" s="9" t="n">
        <v>8301</v>
      </c>
      <c r="G22" s="10">
        <f>E22*F22</f>
        <v/>
      </c>
      <c r="H22" s="11">
        <f>ROUND(F22*0.97,0)</f>
        <v/>
      </c>
      <c r="I22" s="11">
        <f>IF(K22=0,"",ROUND(K22*0.95,0))</f>
        <v/>
      </c>
      <c r="J22" s="12">
        <f>IF(K22=0,"",ROUND(K22*1.04,0))</f>
        <v/>
      </c>
      <c r="K22" s="13" t="n">
        <v>19250</v>
      </c>
      <c r="L22" s="10">
        <f>IF(K22=0,"",K22*E22)</f>
        <v/>
      </c>
      <c r="M22" s="14">
        <f>IF(K22=0,"",L22-G22)</f>
        <v/>
      </c>
      <c r="N22" s="15">
        <f>IF(OR(F22=0,K22=0),"",(K22-F22)/F22)</f>
        <v/>
      </c>
      <c r="O22" s="16">
        <f>IF(M22="","",M22)</f>
        <v/>
      </c>
      <c r="P22" s="17">
        <f>IF(OR(F22=0,K22=0),"⏳ En attente",IF((K22-F22)/F22&lt;-0.05,"🛑 STOP FRANCHI — VENDRE",IF((K22-F22)/F22&lt;-0.03,"⚠️ SURVEILLER — proche stop",IF((K22-F22)/F22&lt;0.10,"⏳ TENIR",IF((K22-F22)/F22&lt;0.30,"✅ BON GAIN — protéger",IF((K22-F22)/F22&lt;0.80,"🚀 FORT GAIN — stop protection","💎 MULTIBAGGER — sécuriser impérativement"))))))</f>
        <v/>
      </c>
      <c r="Q22" s="18">
        <f>IF(L22=0,"",L22/9316395)</f>
        <v/>
      </c>
      <c r="R22" s="6" t="n"/>
    </row>
    <row r="23">
      <c r="A23" s="19" t="n">
        <v>46182</v>
      </c>
      <c r="B23" s="20" t="inlineStr">
        <is>
          <t>ECOC</t>
        </is>
      </c>
      <c r="C23" s="21" t="inlineStr">
        <is>
          <t>Ecobank CI</t>
        </is>
      </c>
      <c r="D23" s="30" t="inlineStr">
        <is>
          <t>M 🟠</t>
        </is>
      </c>
      <c r="E23" s="22" t="n">
        <v>32</v>
      </c>
      <c r="F23" s="23" t="n">
        <v>14127</v>
      </c>
      <c r="G23" s="24">
        <f>E23*F23</f>
        <v/>
      </c>
      <c r="H23" s="11">
        <f>ROUND(F23*0.97,0)</f>
        <v/>
      </c>
      <c r="I23" s="11">
        <f>IF(K23=0,"",ROUND(K23*0.95,0))</f>
        <v/>
      </c>
      <c r="J23" s="12">
        <f>IF(K23=0,"",ROUND(K23*1.04,0))</f>
        <v/>
      </c>
      <c r="K23" s="13" t="n">
        <v>16800</v>
      </c>
      <c r="L23" s="24">
        <f>IF(K23=0,"",K23*E23)</f>
        <v/>
      </c>
      <c r="M23" s="25">
        <f>IF(K23=0,"",L23-G23)</f>
        <v/>
      </c>
      <c r="N23" s="26">
        <f>IF(OR(F23=0,K23=0),"",(K23-F23)/F23)</f>
        <v/>
      </c>
      <c r="O23" s="27">
        <f>IF(M23="","",M23)</f>
        <v/>
      </c>
      <c r="P23" s="28">
        <f>IF(OR(F23=0,K23=0),"⏳ En attente",IF((K23-F23)/F23&lt;-0.05,"🛑 STOP FRANCHI — VENDRE",IF((K23-F23)/F23&lt;-0.03,"⚠️ SURVEILLER — proche stop",IF((K23-F23)/F23&lt;0.10,"⏳ TENIR",IF((K23-F23)/F23&lt;0.30,"✅ BON GAIN — protéger",IF((K23-F23)/F23&lt;0.80,"🚀 FORT GAIN — stop protection","💎 MULTIBAGGER — sécuriser impérativement"))))))</f>
        <v/>
      </c>
      <c r="Q23" s="29">
        <f>IF(L23=0,"",L23/9316395)</f>
        <v/>
      </c>
      <c r="R23" s="21" t="n"/>
    </row>
    <row r="24">
      <c r="A24" s="4" t="n">
        <v>46182</v>
      </c>
      <c r="B24" s="5" t="inlineStr">
        <is>
          <t>BICB</t>
        </is>
      </c>
      <c r="C24" s="6" t="inlineStr">
        <is>
          <t>BIIC Bénin</t>
        </is>
      </c>
      <c r="D24" s="7" t="inlineStr">
        <is>
          <t>L 🟡</t>
        </is>
      </c>
      <c r="E24" s="8" t="n">
        <v>50</v>
      </c>
      <c r="F24" s="9" t="n">
        <v>5182</v>
      </c>
      <c r="G24" s="10">
        <f>E24*F24</f>
        <v/>
      </c>
      <c r="H24" s="11">
        <f>ROUND(F24*0.97,0)</f>
        <v/>
      </c>
      <c r="I24" s="11">
        <f>IF(K24=0,"",ROUND(K24*0.95,0))</f>
        <v/>
      </c>
      <c r="J24" s="12">
        <f>IF(K24=0,"",ROUND(K24*1.04,0))</f>
        <v/>
      </c>
      <c r="K24" s="13" t="n">
        <v>5590</v>
      </c>
      <c r="L24" s="10">
        <f>IF(K24=0,"",K24*E24)</f>
        <v/>
      </c>
      <c r="M24" s="14">
        <f>IF(K24=0,"",L24-G24)</f>
        <v/>
      </c>
      <c r="N24" s="15">
        <f>IF(OR(F24=0,K24=0),"",(K24-F24)/F24)</f>
        <v/>
      </c>
      <c r="O24" s="16">
        <f>IF(M24="","",M24)</f>
        <v/>
      </c>
      <c r="P24" s="17">
        <f>IF(OR(F24=0,K24=0),"⏳ En attente",IF((K24-F24)/F24&lt;-0.05,"🛑 STOP FRANCHI — VENDRE",IF((K24-F24)/F24&lt;-0.03,"⚠️ SURVEILLER — proche stop",IF((K24-F24)/F24&lt;0.10,"⏳ TENIR",IF((K24-F24)/F24&lt;0.30,"✅ BON GAIN — protéger",IF((K24-F24)/F24&lt;0.80,"🚀 FORT GAIN — stop protection","💎 MULTIBAGGER — sécuriser impérativement"))))))</f>
        <v/>
      </c>
      <c r="Q24" s="18">
        <f>IF(L24=0,"",L24/9316395)</f>
        <v/>
      </c>
      <c r="R24" s="6" t="n"/>
    </row>
    <row r="25" ht="20" customHeight="1">
      <c r="A25" s="32" t="inlineStr">
        <is>
          <t>TOTAL PORTEFEUILLE</t>
        </is>
      </c>
      <c r="G25" s="33">
        <f>SUM(G4:G24)</f>
        <v/>
      </c>
      <c r="L25" s="33">
        <f>SUM(L4:L24)</f>
        <v/>
      </c>
      <c r="M25" s="34">
        <f>SUM(M4:M24)</f>
        <v/>
      </c>
      <c r="N25" s="35">
        <f>IF(G25=0,"",(L25-G25)/G25)</f>
        <v/>
      </c>
    </row>
    <row r="27">
      <c r="A27" s="36" t="inlineStr">
        <is>
          <t>LÉGENDE STATUTS</t>
        </is>
      </c>
    </row>
    <row r="28" ht="16" customHeight="1">
      <c r="A28" s="37" t="inlineStr">
        <is>
          <t>⏳ TENIR</t>
        </is>
      </c>
      <c r="E28" s="38" t="inlineStr">
        <is>
          <t>Gain &lt;10% — position normale, attendre la prochaine alerte Worker</t>
        </is>
      </c>
    </row>
    <row r="29" ht="16" customHeight="1">
      <c r="A29" s="39" t="inlineStr">
        <is>
          <t>✅ BON GAIN — protéger</t>
        </is>
      </c>
      <c r="E29" s="40" t="inlineStr">
        <is>
          <t>Gain +10% à +30% — placer un stop de protection à −5% du cours actuel (col I)</t>
        </is>
      </c>
    </row>
    <row r="30" ht="16" customHeight="1">
      <c r="A30" s="41" t="inlineStr">
        <is>
          <t>🚀 FORT GAIN — stop protection</t>
        </is>
      </c>
      <c r="E30" s="42" t="inlineStr">
        <is>
          <t>Gain +30% à +80% — OBLIGATOIRE : actualiser le stop protection chaque semaine</t>
        </is>
      </c>
    </row>
    <row r="31" ht="16" customHeight="1">
      <c r="A31" s="43" t="inlineStr">
        <is>
          <t>💎 MULTIBAGGER — sécuriser</t>
        </is>
      </c>
      <c r="E31" s="44" t="inlineStr">
        <is>
          <t>Gain &gt;80% (ETIT, CBBF, NSBC) — envisager une prise de bénéfices partielle</t>
        </is>
      </c>
    </row>
    <row r="32" ht="16" customHeight="1">
      <c r="A32" s="45" t="inlineStr">
        <is>
          <t>⚠️ SURVEILLER — proche stop</t>
        </is>
      </c>
      <c r="E32" s="46" t="inlineStr">
        <is>
          <t>Perte −3% à −5% — surveiller quotidiennement</t>
        </is>
      </c>
    </row>
    <row r="33" ht="16" customHeight="1">
      <c r="A33" s="47" t="inlineStr">
        <is>
          <t>🛑 STOP FRANCHI — VENDRE</t>
        </is>
      </c>
      <c r="E33" s="48" t="inlineStr">
        <is>
          <t>Perte &gt;−5% du coût moyen — VENDRE immédiatement pour limiter les pertes</t>
        </is>
      </c>
    </row>
  </sheetData>
  <mergeCells count="16">
    <mergeCell ref="A31:D31"/>
    <mergeCell ref="E31:R31"/>
    <mergeCell ref="A2:R2"/>
    <mergeCell ref="E28:R28"/>
    <mergeCell ref="A30:D30"/>
    <mergeCell ref="E30:R30"/>
    <mergeCell ref="A29:D29"/>
    <mergeCell ref="E29:R29"/>
    <mergeCell ref="E32:R32"/>
    <mergeCell ref="A1:R1"/>
    <mergeCell ref="A33:D33"/>
    <mergeCell ref="E33:R33"/>
    <mergeCell ref="A27:R27"/>
    <mergeCell ref="A28:D28"/>
    <mergeCell ref="A32:D32"/>
    <mergeCell ref="A25:F25"/>
  </mergeCells>
  <conditionalFormatting sqref="P4:P24">
    <cfRule type="expression" priority="1" dxfId="0">
      <formula>ISNUMBER(SEARCH("STOP",P4))</formula>
    </cfRule>
    <cfRule type="expression" priority="2" dxfId="1">
      <formula>ISNUMBER(SEARCH("SURVEILLER",P4))</formula>
    </cfRule>
    <cfRule type="expression" priority="3" dxfId="2">
      <formula>ISNUMBER(SEARCH("BON GAIN",P4))</formula>
    </cfRule>
    <cfRule type="expression" priority="4" dxfId="3">
      <formula>ISNUMBER(SEARCH("FORT",P4))</formula>
    </cfRule>
    <cfRule type="expression" priority="5" dxfId="4">
      <formula>ISNUMBER(SEARCH("MULTI",P4))</formula>
    </cfRule>
  </conditionalFormatting>
  <conditionalFormatting sqref="M4:M24">
    <cfRule type="expression" priority="6" dxfId="5">
      <formula>M4&gt;0</formula>
    </cfRule>
    <cfRule type="expression" priority="7" dxfId="6">
      <formula>M4&lt;0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8" customWidth="1" min="4" max="4"/>
    <col width="9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28" customWidth="1" min="11" max="11"/>
  </cols>
  <sheetData>
    <row r="1" ht="26" customHeight="1">
      <c r="A1" s="49" t="inlineStr">
        <is>
          <t>Analyse du Portefeuille au 09/06/2026 — Classement par P&amp;L</t>
        </is>
      </c>
    </row>
    <row r="2" ht="22" customHeight="1">
      <c r="A2" s="50" t="inlineStr">
        <is>
          <t>Rang</t>
        </is>
      </c>
      <c r="B2" s="50" t="inlineStr">
        <is>
          <t>Ticker</t>
        </is>
      </c>
      <c r="C2" s="50" t="inlineStr">
        <is>
          <t>Nom</t>
        </is>
      </c>
      <c r="D2" s="50" t="inlineStr">
        <is>
          <t>Signal</t>
        </is>
      </c>
      <c r="E2" s="50" t="inlineStr">
        <is>
          <t>P&amp;L %</t>
        </is>
      </c>
      <c r="F2" s="50" t="inlineStr">
        <is>
          <t>P&amp;L FCFA</t>
        </is>
      </c>
      <c r="G2" s="50" t="inlineStr">
        <is>
          <t>Coût Moy</t>
        </is>
      </c>
      <c r="H2" s="50" t="inlineStr">
        <is>
          <t>Prix Actuel</t>
        </is>
      </c>
      <c r="I2" s="50" t="inlineStr">
        <is>
          <t>Stop Protect.</t>
        </is>
      </c>
      <c r="J2" s="50" t="inlineStr">
        <is>
          <t>Prochain Obj.</t>
        </is>
      </c>
      <c r="K2" s="50" t="inlineStr">
        <is>
          <t>Recommandation</t>
        </is>
      </c>
    </row>
    <row r="3">
      <c r="A3" s="17" t="n">
        <v>1</v>
      </c>
      <c r="B3" s="5" t="inlineStr">
        <is>
          <t>NSBC</t>
        </is>
      </c>
      <c r="C3" s="6" t="inlineStr">
        <is>
          <t>NSIA Banque CI</t>
        </is>
      </c>
      <c r="D3" s="51" t="inlineStr">
        <is>
          <t>H 🔴</t>
        </is>
      </c>
      <c r="E3" s="52" t="n">
        <v>1.318997711119142</v>
      </c>
      <c r="F3" s="53" t="n">
        <v>843073</v>
      </c>
      <c r="G3" s="54" t="n">
        <v>8301</v>
      </c>
      <c r="H3" s="55" t="n">
        <v>19250</v>
      </c>
      <c r="I3" s="56" t="n">
        <v>18288</v>
      </c>
      <c r="J3" s="57" t="n">
        <v>20020</v>
      </c>
      <c r="K3" s="58" t="inlineStr">
        <is>
          <t>💎 Prise partielle recommandée — gain exceptionnel à sécuriser</t>
        </is>
      </c>
    </row>
    <row r="4">
      <c r="A4" s="28" t="n">
        <v>2</v>
      </c>
      <c r="B4" s="20" t="inlineStr">
        <is>
          <t>CBBF</t>
        </is>
      </c>
      <c r="C4" s="21" t="inlineStr">
        <is>
          <t>Coris Bank BF</t>
        </is>
      </c>
      <c r="D4" s="51" t="inlineStr">
        <is>
          <t>H 🔴</t>
        </is>
      </c>
      <c r="E4" s="52" t="n">
        <v>1.105572421897953</v>
      </c>
      <c r="F4" s="53" t="n">
        <v>338670</v>
      </c>
      <c r="G4" s="59" t="n">
        <v>10211</v>
      </c>
      <c r="H4" s="60" t="n">
        <v>21500</v>
      </c>
      <c r="I4" s="56" t="n">
        <v>20425</v>
      </c>
      <c r="J4" s="57" t="n">
        <v>22360</v>
      </c>
      <c r="K4" s="58" t="inlineStr">
        <is>
          <t>💎 Prise partielle recommandée — gain exceptionnel à sécuriser</t>
        </is>
      </c>
    </row>
    <row r="5">
      <c r="A5" s="17" t="n">
        <v>3</v>
      </c>
      <c r="B5" s="5" t="inlineStr">
        <is>
          <t>ETIT</t>
        </is>
      </c>
      <c r="C5" s="6" t="inlineStr">
        <is>
          <t>Ecobank TI (ETI)</t>
        </is>
      </c>
      <c r="D5" s="51" t="inlineStr">
        <is>
          <t>H 🔴</t>
        </is>
      </c>
      <c r="E5" s="52" t="n">
        <v>1.0625</v>
      </c>
      <c r="F5" s="53" t="n">
        <v>68000</v>
      </c>
      <c r="G5" s="54" t="n">
        <v>16</v>
      </c>
      <c r="H5" s="55" t="n">
        <v>33</v>
      </c>
      <c r="I5" s="56" t="n">
        <v>31</v>
      </c>
      <c r="J5" s="57" t="n">
        <v>34</v>
      </c>
      <c r="K5" s="58" t="inlineStr">
        <is>
          <t>💎 Prise partielle recommandée — gain exceptionnel à sécuriser</t>
        </is>
      </c>
    </row>
    <row r="6">
      <c r="A6" s="28" t="n">
        <v>4</v>
      </c>
      <c r="B6" s="20" t="inlineStr">
        <is>
          <t>BOAB</t>
        </is>
      </c>
      <c r="C6" s="21" t="inlineStr">
        <is>
          <t>BOA Bénin</t>
        </is>
      </c>
      <c r="D6" s="51" t="inlineStr">
        <is>
          <t>H 🔴</t>
        </is>
      </c>
      <c r="E6" s="52" t="n">
        <v>0.5483356940509915</v>
      </c>
      <c r="F6" s="53" t="n">
        <v>123880</v>
      </c>
      <c r="G6" s="59" t="n">
        <v>5648</v>
      </c>
      <c r="H6" s="60" t="n">
        <v>8745</v>
      </c>
      <c r="I6" s="56" t="n">
        <v>8308</v>
      </c>
      <c r="J6" s="57" t="n">
        <v>9095</v>
      </c>
      <c r="K6" s="61" t="inlineStr">
        <is>
          <t>🚀 Actualiser le stop protection (−5% du cours actuel)</t>
        </is>
      </c>
    </row>
    <row r="7">
      <c r="A7" s="17" t="n">
        <v>5</v>
      </c>
      <c r="B7" s="5" t="inlineStr">
        <is>
          <t>BOAN</t>
        </is>
      </c>
      <c r="C7" s="6" t="inlineStr">
        <is>
          <t>BOA Niger</t>
        </is>
      </c>
      <c r="D7" s="62" t="inlineStr">
        <is>
          <t>M 🟠</t>
        </is>
      </c>
      <c r="E7" s="52" t="n">
        <v>0.3970862906238327</v>
      </c>
      <c r="F7" s="53" t="n">
        <v>31890</v>
      </c>
      <c r="G7" s="54" t="n">
        <v>2677</v>
      </c>
      <c r="H7" s="55" t="n">
        <v>3740</v>
      </c>
      <c r="I7" s="56" t="n">
        <v>3553</v>
      </c>
      <c r="J7" s="57" t="n">
        <v>3890</v>
      </c>
      <c r="K7" s="61" t="inlineStr">
        <is>
          <t>🚀 Actualiser le stop protection (−5% du cours actuel)</t>
        </is>
      </c>
    </row>
    <row r="8">
      <c r="A8" s="28" t="n">
        <v>6</v>
      </c>
      <c r="B8" s="20" t="inlineStr">
        <is>
          <t>SIBC</t>
        </is>
      </c>
      <c r="C8" s="21" t="inlineStr">
        <is>
          <t>SIB CI</t>
        </is>
      </c>
      <c r="D8" s="51" t="inlineStr">
        <is>
          <t>H 🔴</t>
        </is>
      </c>
      <c r="E8" s="52" t="n">
        <v>0.3429067382041976</v>
      </c>
      <c r="F8" s="53" t="n">
        <v>169494</v>
      </c>
      <c r="G8" s="59" t="n">
        <v>6337</v>
      </c>
      <c r="H8" s="60" t="n">
        <v>8510</v>
      </c>
      <c r="I8" s="56" t="n">
        <v>8084</v>
      </c>
      <c r="J8" s="57" t="n">
        <v>8850</v>
      </c>
      <c r="K8" s="61" t="inlineStr">
        <is>
          <t>🚀 Actualiser le stop protection (−5% du cours actuel)</t>
        </is>
      </c>
    </row>
    <row r="9">
      <c r="A9" s="17" t="n">
        <v>7</v>
      </c>
      <c r="B9" s="5" t="inlineStr">
        <is>
          <t>SMBC</t>
        </is>
      </c>
      <c r="C9" s="6" t="inlineStr">
        <is>
          <t>SMB CI</t>
        </is>
      </c>
      <c r="D9" s="62" t="inlineStr">
        <is>
          <t>M 🟠</t>
        </is>
      </c>
      <c r="E9" s="52" t="n">
        <v>0.3015147668613015</v>
      </c>
      <c r="F9" s="53" t="n">
        <v>178150</v>
      </c>
      <c r="G9" s="54" t="n">
        <v>11817</v>
      </c>
      <c r="H9" s="55" t="n">
        <v>15380</v>
      </c>
      <c r="I9" s="56" t="n">
        <v>14611</v>
      </c>
      <c r="J9" s="57" t="n">
        <v>15995</v>
      </c>
      <c r="K9" s="61" t="inlineStr">
        <is>
          <t>🚀 Actualiser le stop protection (−5% du cours actuel)</t>
        </is>
      </c>
    </row>
    <row r="10">
      <c r="A10" s="28" t="n">
        <v>8</v>
      </c>
      <c r="B10" s="20" t="inlineStr">
        <is>
          <t>NTLC</t>
        </is>
      </c>
      <c r="C10" s="21" t="inlineStr">
        <is>
          <t>Nestlé CI</t>
        </is>
      </c>
      <c r="D10" s="62" t="inlineStr">
        <is>
          <t>M 🟠</t>
        </is>
      </c>
      <c r="E10" s="52" t="n">
        <v>0.2875633598841419</v>
      </c>
      <c r="F10" s="53" t="n">
        <v>63540</v>
      </c>
      <c r="G10" s="59" t="n">
        <v>11048</v>
      </c>
      <c r="H10" s="60" t="n">
        <v>14225</v>
      </c>
      <c r="I10" s="56" t="n">
        <v>13514</v>
      </c>
      <c r="J10" s="57" t="n">
        <v>14794</v>
      </c>
      <c r="K10" s="63" t="inlineStr">
        <is>
          <t>✅ Tenir — placer stop protection à 13,514 F</t>
        </is>
      </c>
    </row>
    <row r="11">
      <c r="A11" s="17" t="n">
        <v>9</v>
      </c>
      <c r="B11" s="5" t="inlineStr">
        <is>
          <t>SDSC</t>
        </is>
      </c>
      <c r="C11" s="6" t="inlineStr">
        <is>
          <t>AGL CI (ex-Bolloré)</t>
        </is>
      </c>
      <c r="D11" s="62" t="inlineStr">
        <is>
          <t>M 🟠</t>
        </is>
      </c>
      <c r="E11" s="52" t="n">
        <v>0.2698412698412698</v>
      </c>
      <c r="F11" s="53" t="n">
        <v>106250</v>
      </c>
      <c r="G11" s="54" t="n">
        <v>1575</v>
      </c>
      <c r="H11" s="55" t="n">
        <v>2000</v>
      </c>
      <c r="I11" s="56" t="n">
        <v>1900</v>
      </c>
      <c r="J11" s="57" t="n">
        <v>2080</v>
      </c>
      <c r="K11" s="63" t="inlineStr">
        <is>
          <t>✅ Tenir — placer stop protection à 1,900 F</t>
        </is>
      </c>
    </row>
    <row r="12">
      <c r="A12" s="28" t="n">
        <v>10</v>
      </c>
      <c r="B12" s="20" t="inlineStr">
        <is>
          <t>ECOC</t>
        </is>
      </c>
      <c r="C12" s="21" t="inlineStr">
        <is>
          <t>Ecobank CI</t>
        </is>
      </c>
      <c r="D12" s="62" t="inlineStr">
        <is>
          <t>M 🟠</t>
        </is>
      </c>
      <c r="E12" s="52" t="n">
        <v>0.1892121469526439</v>
      </c>
      <c r="F12" s="53" t="n">
        <v>85536</v>
      </c>
      <c r="G12" s="59" t="n">
        <v>14127</v>
      </c>
      <c r="H12" s="60" t="n">
        <v>16800</v>
      </c>
      <c r="I12" s="56" t="n">
        <v>15960</v>
      </c>
      <c r="J12" s="57" t="n">
        <v>17472</v>
      </c>
      <c r="K12" s="63" t="inlineStr">
        <is>
          <t>✅ Tenir — placer stop protection à 15,960 F</t>
        </is>
      </c>
    </row>
    <row r="13">
      <c r="A13" s="17" t="n">
        <v>11</v>
      </c>
      <c r="B13" s="5" t="inlineStr">
        <is>
          <t>BOACI</t>
        </is>
      </c>
      <c r="C13" s="6" t="inlineStr">
        <is>
          <t>BOA Côte d'Ivoire</t>
        </is>
      </c>
      <c r="D13" s="62" t="inlineStr">
        <is>
          <t>M 🟠</t>
        </is>
      </c>
      <c r="E13" s="52" t="n">
        <v>0.187232905982906</v>
      </c>
      <c r="F13" s="53" t="n">
        <v>161230</v>
      </c>
      <c r="G13" s="54" t="n">
        <v>7488</v>
      </c>
      <c r="H13" s="55" t="n">
        <v>8890</v>
      </c>
      <c r="I13" s="56" t="n">
        <v>8446</v>
      </c>
      <c r="J13" s="57" t="n">
        <v>9246</v>
      </c>
      <c r="K13" s="63" t="inlineStr">
        <is>
          <t>✅ Tenir — placer stop protection à 8,446 F</t>
        </is>
      </c>
    </row>
    <row r="14">
      <c r="A14" s="28" t="n">
        <v>12</v>
      </c>
      <c r="B14" s="20" t="inlineStr">
        <is>
          <t>BOABF</t>
        </is>
      </c>
      <c r="C14" s="21" t="inlineStr">
        <is>
          <t>BOA Burkina Faso</t>
        </is>
      </c>
      <c r="D14" s="62" t="inlineStr">
        <is>
          <t>M 🟠</t>
        </is>
      </c>
      <c r="E14" s="52" t="n">
        <v>0.1811272957568081</v>
      </c>
      <c r="F14" s="53" t="n">
        <v>57486</v>
      </c>
      <c r="G14" s="59" t="n">
        <v>4737</v>
      </c>
      <c r="H14" s="60" t="n">
        <v>5595</v>
      </c>
      <c r="I14" s="56" t="n">
        <v>5315</v>
      </c>
      <c r="J14" s="57" t="n">
        <v>5819</v>
      </c>
      <c r="K14" s="63" t="inlineStr">
        <is>
          <t>✅ Tenir — placer stop protection à 5,315 F</t>
        </is>
      </c>
    </row>
    <row r="15">
      <c r="A15" s="17" t="n">
        <v>13</v>
      </c>
      <c r="B15" s="5" t="inlineStr">
        <is>
          <t>BICB</t>
        </is>
      </c>
      <c r="C15" s="6" t="inlineStr">
        <is>
          <t>BIIC Bénin</t>
        </is>
      </c>
      <c r="D15" s="64" t="inlineStr">
        <is>
          <t>L 🟡</t>
        </is>
      </c>
      <c r="E15" s="52" t="n">
        <v>0.07873407950598224</v>
      </c>
      <c r="F15" s="53" t="n">
        <v>20400</v>
      </c>
      <c r="G15" s="54" t="n">
        <v>5182</v>
      </c>
      <c r="H15" s="55" t="n">
        <v>5590</v>
      </c>
      <c r="I15" s="56" t="n">
        <v>5310</v>
      </c>
      <c r="J15" s="57" t="n">
        <v>5814</v>
      </c>
      <c r="K15" s="21" t="inlineStr">
        <is>
          <t>⏳ Tenir — surveiller lors de l'alerte quotidienne</t>
        </is>
      </c>
    </row>
    <row r="16">
      <c r="A16" s="28" t="n">
        <v>14</v>
      </c>
      <c r="B16" s="20" t="inlineStr">
        <is>
          <t>SOGB</t>
        </is>
      </c>
      <c r="C16" s="21" t="inlineStr">
        <is>
          <t>SOGB CI</t>
        </is>
      </c>
      <c r="D16" s="64" t="inlineStr">
        <is>
          <t>L 🟡</t>
        </is>
      </c>
      <c r="E16" s="52" t="n">
        <v>0.05860349127182045</v>
      </c>
      <c r="F16" s="53" t="n">
        <v>36660</v>
      </c>
      <c r="G16" s="59" t="n">
        <v>8020</v>
      </c>
      <c r="H16" s="60" t="n">
        <v>8490</v>
      </c>
      <c r="I16" s="56" t="n">
        <v>8066</v>
      </c>
      <c r="J16" s="57" t="n">
        <v>8830</v>
      </c>
      <c r="K16" s="21" t="inlineStr">
        <is>
          <t>⏳ Tenir — surveiller lors de l'alerte quotidienne</t>
        </is>
      </c>
    </row>
    <row r="17">
      <c r="A17" s="17" t="n">
        <v>15</v>
      </c>
      <c r="B17" s="5" t="inlineStr">
        <is>
          <t>STBC</t>
        </is>
      </c>
      <c r="C17" s="6" t="inlineStr">
        <is>
          <t>SITAB CI</t>
        </is>
      </c>
      <c r="D17" s="64" t="inlineStr">
        <is>
          <t>L 🟡</t>
        </is>
      </c>
      <c r="E17" s="52" t="n">
        <v>0.03717736206488279</v>
      </c>
      <c r="F17" s="53" t="n">
        <v>18055</v>
      </c>
      <c r="G17" s="54" t="n">
        <v>21115</v>
      </c>
      <c r="H17" s="55" t="n">
        <v>21900</v>
      </c>
      <c r="I17" s="56" t="n">
        <v>20805</v>
      </c>
      <c r="J17" s="57" t="n">
        <v>22776</v>
      </c>
      <c r="K17" s="21" t="inlineStr">
        <is>
          <t>⏳ Tenir — surveiller lors de l'alerte quotidienne</t>
        </is>
      </c>
    </row>
    <row r="18">
      <c r="A18" s="28" t="n">
        <v>16</v>
      </c>
      <c r="B18" s="20" t="inlineStr">
        <is>
          <t>SIVC</t>
        </is>
      </c>
      <c r="C18" s="21" t="inlineStr">
        <is>
          <t>Erium CI (ex-Air Liquide)</t>
        </is>
      </c>
      <c r="D18" s="64" t="inlineStr">
        <is>
          <t>L 🟡</t>
        </is>
      </c>
      <c r="E18" s="52" t="n">
        <v>0.03191875226695684</v>
      </c>
      <c r="F18" s="53" t="n">
        <v>5368</v>
      </c>
      <c r="G18" s="59" t="n">
        <v>2757</v>
      </c>
      <c r="H18" s="60" t="n">
        <v>2845</v>
      </c>
      <c r="I18" s="56" t="n">
        <v>2703</v>
      </c>
      <c r="J18" s="57" t="n">
        <v>2959</v>
      </c>
      <c r="K18" s="21" t="inlineStr">
        <is>
          <t>⏳ Tenir — surveiller lors de l'alerte quotidienne</t>
        </is>
      </c>
    </row>
    <row r="19">
      <c r="A19" s="17" t="n">
        <v>17</v>
      </c>
      <c r="B19" s="5" t="inlineStr">
        <is>
          <t>BOAS</t>
        </is>
      </c>
      <c r="C19" s="6" t="inlineStr">
        <is>
          <t>BOA Sénégal</t>
        </is>
      </c>
      <c r="D19" s="64" t="inlineStr">
        <is>
          <t>L 🟡</t>
        </is>
      </c>
      <c r="E19" s="65" t="n">
        <v>-0.006311266281724184</v>
      </c>
      <c r="F19" s="66" t="n">
        <v>-940</v>
      </c>
      <c r="G19" s="54" t="n">
        <v>7447</v>
      </c>
      <c r="H19" s="55" t="n">
        <v>7400</v>
      </c>
      <c r="I19" s="56" t="n">
        <v>7030</v>
      </c>
      <c r="J19" s="57" t="n">
        <v>7696</v>
      </c>
      <c r="K19" s="67" t="inlineStr">
        <is>
          <t>⚠️ Proche du seuil de stop — surveiller de près</t>
        </is>
      </c>
    </row>
    <row r="20">
      <c r="A20" s="28" t="n">
        <v>18</v>
      </c>
      <c r="B20" s="20" t="inlineStr">
        <is>
          <t>TTLC</t>
        </is>
      </c>
      <c r="C20" s="21" t="inlineStr">
        <is>
          <t>TotalEnergies CI</t>
        </is>
      </c>
      <c r="D20" s="64" t="inlineStr">
        <is>
          <t>L 🟡</t>
        </is>
      </c>
      <c r="E20" s="65" t="n">
        <v>-0.01023288637967537</v>
      </c>
      <c r="F20" s="66" t="n">
        <v>-3393</v>
      </c>
      <c r="G20" s="59" t="n">
        <v>2834</v>
      </c>
      <c r="H20" s="60" t="n">
        <v>2805</v>
      </c>
      <c r="I20" s="56" t="n">
        <v>2665</v>
      </c>
      <c r="J20" s="57" t="n">
        <v>2917</v>
      </c>
      <c r="K20" s="67" t="inlineStr">
        <is>
          <t>⚠️ Proche du seuil de stop — surveiller de près</t>
        </is>
      </c>
    </row>
    <row r="21">
      <c r="A21" s="17" t="n">
        <v>19</v>
      </c>
      <c r="B21" s="5" t="inlineStr">
        <is>
          <t>SAFC</t>
        </is>
      </c>
      <c r="C21" s="6" t="inlineStr">
        <is>
          <t>SAFCA CI</t>
        </is>
      </c>
      <c r="D21" s="64" t="inlineStr">
        <is>
          <t>L 🟡</t>
        </is>
      </c>
      <c r="E21" s="65" t="n">
        <v>-0.01201602136181575</v>
      </c>
      <c r="F21" s="66" t="n">
        <v>-225</v>
      </c>
      <c r="G21" s="54" t="n">
        <v>3745</v>
      </c>
      <c r="H21" s="55" t="n">
        <v>3700</v>
      </c>
      <c r="I21" s="56" t="n">
        <v>3515</v>
      </c>
      <c r="J21" s="57" t="n">
        <v>3848</v>
      </c>
      <c r="K21" s="67" t="inlineStr">
        <is>
          <t>⚠️ Proche du seuil de stop — surveiller de près</t>
        </is>
      </c>
    </row>
    <row r="22">
      <c r="A22" s="28" t="n">
        <v>20</v>
      </c>
      <c r="B22" s="20" t="inlineStr">
        <is>
          <t>UNXC</t>
        </is>
      </c>
      <c r="C22" s="21" t="inlineStr">
        <is>
          <t>Uniwax CI</t>
        </is>
      </c>
      <c r="D22" s="64" t="inlineStr">
        <is>
          <t>L 🟡</t>
        </is>
      </c>
      <c r="E22" s="65" t="n">
        <v>-0.02657128257537046</v>
      </c>
      <c r="F22" s="66" t="n">
        <v>-5200</v>
      </c>
      <c r="G22" s="59" t="n">
        <v>1957</v>
      </c>
      <c r="H22" s="60" t="n">
        <v>1905</v>
      </c>
      <c r="I22" s="56" t="n">
        <v>1810</v>
      </c>
      <c r="J22" s="57" t="n">
        <v>1981</v>
      </c>
      <c r="K22" s="67" t="inlineStr">
        <is>
          <t>⚠️ Proche du seuil de stop — surveiller de près</t>
        </is>
      </c>
    </row>
    <row r="23">
      <c r="A23" s="17" t="n">
        <v>21</v>
      </c>
      <c r="B23" s="5" t="inlineStr">
        <is>
          <t>BOAM</t>
        </is>
      </c>
      <c r="C23" s="6" t="inlineStr">
        <is>
          <t>BOA Mali</t>
        </is>
      </c>
      <c r="D23" s="64" t="inlineStr">
        <is>
          <t>L 🟡</t>
        </is>
      </c>
      <c r="E23" s="65" t="n">
        <v>-0.05316973415132924</v>
      </c>
      <c r="F23" s="66" t="n">
        <v>-7800</v>
      </c>
      <c r="G23" s="54" t="n">
        <v>4890</v>
      </c>
      <c r="H23" s="55" t="n">
        <v>4630</v>
      </c>
      <c r="I23" s="56" t="n">
        <v>4398</v>
      </c>
      <c r="J23" s="57" t="n">
        <v>4815</v>
      </c>
      <c r="K23" s="68" t="inlineStr">
        <is>
          <t>🛑 Stop franchi — décision de vente à envisager</t>
        </is>
      </c>
    </row>
    <row r="25">
      <c r="A25" s="69" t="inlineStr">
        <is>
          <t>TOTAL PORTEFEUILLE — Coût : 7,026,271 F  ·  Valeur : 9,316,395 F</t>
        </is>
      </c>
      <c r="E25" s="70" t="n">
        <v>0.3259373286342073</v>
      </c>
      <c r="F25" s="71" t="n">
        <v>2290124</v>
      </c>
    </row>
  </sheetData>
  <mergeCells count="2">
    <mergeCell ref="A25:D2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2026-06-09T22:57:14Z</dcterms:created>
  <dcterms:modified xsi:type="dcterms:W3CDTF">2026-06-09T22:57:14Z</dcterms:modified>
</cp:coreProperties>
</file>