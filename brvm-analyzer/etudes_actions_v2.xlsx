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<sst xmlns="http://schemas.openxmlformats.org/spreadsheetml/2006/main" count="402" uniqueCount="328">
  <si>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</si>
  <si>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</si>
  <si>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</si>
  <si>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</si>
  <si>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</si>
  <si>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</si>
  <si>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</si>
  <si>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</si>
  <si>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</si>
  <si>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</si>
  <si>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</si>
  <si>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</si>
  <si>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</si>
  <si>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</si>
  <si>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</si>
  <si>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</si>
  <si>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</si>
  <si>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</si>
  <si>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</si>
  <si>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</si>
  <si>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</si>
  <si>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</si>
  <si>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</si>
  <si>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</si>
  <si>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</si>
  <si>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</si>
  <si>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</si>
  <si>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</si>
  <si>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</si>
  <si>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</si>
  <si>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</si>
  <si>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</si>
  <si>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</si>
  <si>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</si>
  <si>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</si>
  <si>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</si>
  <si>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</si>
  <si>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</si>
  <si>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</si>
  <si>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</si>
  <si>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</si>
  <si>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</si>
  <si>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</si>
  <si>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</si>
  <si>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</si>
  <si>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</si>
  <si>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</si>
  <si>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</si>
  <si>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</si>
  <si>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</si>
  <si>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</si>
  <si>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</si>
  <si>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</si>
  <si>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</si>
  <si>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</si>
  <si>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</si>
  <si>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</si>
  <si>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</si>
  <si>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</si>
  <si>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</si>
  <si>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</si>
  <si>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</si>
  <si>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</si>
  <si>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</si>
  <si>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</si>
  <si>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</si>
  <si>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</si>
  <si>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</si>
  <si>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</si>
  <si>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</si>
  <si>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</si>
  <si>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</si>
  <si>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</si>
  <si>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</si>
  <si>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</si>
  <si>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</si>
  <si>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</si>
  <si>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</si>
  <si>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</si>
  <si>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</si>
  <si>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</si>
  <si>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</si>
  <si>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</si>
  <si>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</si>
  <si>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</si>
  <si>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</si>
  <si>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</si>
  <si>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</si>
  <si>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</si>
  <si>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</si>
  <si>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</si>
  <si>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</si>
  <si>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</si>
  <si>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</si>
  <si>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</si>
  <si>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</si>
  <si>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</si>
  <si>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</si>
  <si>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</si>
  <si>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</si>
  <si>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</si>
  <si>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</si>
  <si>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</si>
  <si>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</si>
  <si>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</si>
  <si>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</si>
  <si>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</si>
  <si>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</si>
  <si>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</si>
  <si>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</si>
  <si>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</si>
  <si>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</si>
  <si>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</si>
  <si>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</si>
  <si>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</si>
  <si>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</si>
  <si>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</si>
  <si>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</si>
  <si>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</si>
  <si>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</si>
  <si>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</si>
  <si>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</si>
  <si>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</si>
  <si>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</si>
  <si>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</si>
  <si>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</si>
  <si>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</si>
  <si>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</si>
  <si>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</si>
  <si>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</si>
  <si>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</si>
  <si>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</si>
  <si>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</si>
  <si>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</si>
  <si>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</si>
  <si>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</si>
  <si>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</si>
  <si>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</si>
  <si>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</si>
  <si>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</si>
  <si>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</si>
  <si>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</si>
  <si>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</si>
  <si>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</si>
  <si>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</si>
  <si>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</si>
  <si>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</si>
  <si>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</si>
  <si>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</si>
  <si>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</si>
  <si>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</si>
  <si>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</si>
  <si>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</si>
  <si>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</si>
  <si>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</si>
  <si>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</si>
  <si>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</si>
  <si>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</si>
  <si>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</si>
  <si>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</si>
  <si>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</si>
  <si>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</si>
  <si>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</si>
  <si>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</si>
  <si>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</si>
  <si>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</si>
  <si>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</si>
  <si>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</si>
  <si>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</si>
  <si>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</si>
  <si>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</si>
  <si>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</si>
  <si>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</si>
  <si>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</si>
  <si>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</si>
  <si>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</si>
  <si>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</si>
  <si>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</si>
  <si>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</si>
  <si>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</si>
  <si>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</si>
  <si>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</si>
  <si>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</si>
  <si>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</si>
  <si>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</si>
  <si>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</si>
  <si>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</si>
  <si>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</si>
  <si>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</si>
  <si>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</si>
  <si>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</si>
  <si>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</si>
  <si>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</si>
  <si>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</si>
  <si>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</si>
  <si>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</si>
  <si>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</si>
  <si>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</si>
  <si>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</si>
  <si>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</si>
  <si>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</si>
  <si>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</si>
  <si>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</si>
  <si>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</si>
  <si>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</si>
  <si>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</si>
  <si>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</si>
  <si>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</si>
  <si>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</si>
  <si>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</si>
  <si>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&lt;-- saisir signal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</si>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</sst>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19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8"/>
      <color rgb="FFFF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9"/>
      <color rgb="FF1F3864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FF6600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i/>
      <sz val="8"/>
      <color rgb="FFFF6600"/>
      <name val="Calibri"/>
      <family val="2"/>
      <scheme val="minor"/>
    </font>
    <font>
      <i/>
      <sz val="9"/>
      <color rgb="FF1F3864"/>
      <name val="Calibri"/>
      <family val="2"/>
      <scheme val="minor"/>
    </font>
    <font>
      <sz val="9"/>
      <color rgb="FF1F3864"/>
      <name val="Calibri"/>
      <family val="2"/>
      <scheme val="minor"/>
    </font>
    <font>
      <i/>
      <sz val="9"/>
      <color rgb="FF40404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>
      <alignment horizontal="right" vertical="center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>
      <alignment horizontal="right" vertical="center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0" fontId="9" fillId="8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" fontId="5" fillId="8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1" fontId="9" fillId="8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>
      <alignment horizontal="right" vertical="center"/>
    </xf>
    <xf numFmtId="0" fontId="11" fillId="7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/>
    </xf>
    <xf numFmtId="167" fontId="9" fillId="8" borderId="2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165" fontId="13" fillId="9" borderId="2" xfId="0" applyNumberFormat="1" applyFont="1" applyFill="1" applyBorder="1" applyAlignment="1">
      <alignment horizontal="right" vertical="center"/>
    </xf>
    <xf numFmtId="0" fontId="14" fillId="9" borderId="2" xfId="0" applyFont="1" applyFill="1" applyBorder="1" applyAlignment="1">
      <alignment horizontal="center" vertical="center"/>
    </xf>
    <xf numFmtId="1" fontId="5" fillId="10" borderId="2" xfId="0" applyNumberFormat="1" applyFont="1" applyFill="1" applyBorder="1" applyAlignment="1">
      <alignment horizontal="center" vertical="center"/>
    </xf>
    <xf numFmtId="1" fontId="15" fillId="8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" fontId="16" fillId="8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68" fontId="5" fillId="8" borderId="2" xfId="0" applyNumberFormat="1" applyFont="1" applyFill="1" applyBorder="1" applyAlignment="1">
      <alignment horizontal="right" vertical="center"/>
    </xf>
    <xf numFmtId="1" fontId="17" fillId="8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18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18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18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18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18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18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18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18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16">
        <f>IFERROR(B64*1.014,"")</f>
        <v>0</v>
      </c>
      <c r="C65" s="21"/>
      <c r="D65" s="12"/>
    </row>
    <row r="66" spans="1:8">
      <c r="A66" s="5" t="s">
        <v>87</v>
      </c>
      <c r="B66" s="16">
        <f>IFERROR(B63/B65,"")</f>
        <v>0</v>
      </c>
      <c r="C66" s="21"/>
      <c r="D66" s="12"/>
    </row>
    <row r="67" spans="1:8">
      <c r="A67" s="5" t="s">
        <v>88</v>
      </c>
      <c r="B67" s="6"/>
      <c r="C67" s="21"/>
      <c r="D67" s="12"/>
    </row>
    <row r="68" spans="1:8">
      <c r="A68" s="5" t="s">
        <v>89</v>
      </c>
      <c r="B68" s="16">
        <f>IFERROR(B67-(B67*0.014),"")</f>
        <v>0</v>
      </c>
      <c r="C68" s="21"/>
      <c r="D68" s="12"/>
    </row>
    <row r="69" spans="1:8">
      <c r="A69" s="5" t="s">
        <v>90</v>
      </c>
      <c r="B69" s="16">
        <f>IFERROR(B68-B65,"")</f>
        <v>0</v>
      </c>
      <c r="C69" s="21"/>
      <c r="D69" s="12"/>
    </row>
    <row r="70" spans="1:8">
      <c r="A70" s="5" t="s">
        <v>91</v>
      </c>
      <c r="B70" s="9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9">
        <f>IFERROR(B71*B66,"")</f>
        <v>0</v>
      </c>
      <c r="C72" s="21"/>
      <c r="D72" s="12"/>
    </row>
    <row r="73" spans="1:8">
      <c r="A73" s="18" t="s">
        <v>94</v>
      </c>
      <c r="B73" s="9">
        <f>IFERROR(B70+B72,"")</f>
        <v>0</v>
      </c>
      <c r="C73" s="21"/>
      <c r="D73" s="12"/>
    </row>
    <row r="74" spans="1:8">
      <c r="A74" s="18" t="s">
        <v>95</v>
      </c>
      <c r="B74" s="7">
        <f>IFERROR(B73/B63*100,"")</f>
        <v>0</v>
      </c>
      <c r="C74" s="21"/>
      <c r="D74" s="12"/>
    </row>
    <row r="75" spans="1:8">
      <c r="A75" s="18" t="s">
        <v>96</v>
      </c>
      <c r="B75" s="22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18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3"/>
      <c r="B78" s="23"/>
      <c r="C78" s="23"/>
      <c r="D78" s="23"/>
      <c r="E78" s="23"/>
      <c r="F78" s="23"/>
      <c r="G78" s="23"/>
      <c r="H78" s="23"/>
    </row>
    <row r="79" spans="1:8">
      <c r="A79" s="23"/>
      <c r="B79" s="23"/>
      <c r="C79" s="23"/>
      <c r="D79" s="23"/>
      <c r="E79" s="23"/>
      <c r="F79" s="23"/>
      <c r="G79" s="23"/>
      <c r="H79" s="23"/>
    </row>
    <row r="80" spans="1:8">
      <c r="A80" s="23"/>
      <c r="B80" s="23"/>
      <c r="C80" s="23"/>
      <c r="D80" s="23"/>
      <c r="E80" s="23"/>
      <c r="F80" s="23"/>
      <c r="G80" s="23"/>
      <c r="H80" s="23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18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4">
        <f>IFERROR(IF(ISNUMBER(SEARCH("survente",B86)),1,IF(ISNUMBER(SEARCH("surachat",B86)),-1,0)),0)</f>
        <v>0</v>
      </c>
      <c r="E86" s="25" t="s">
        <v>107</v>
      </c>
    </row>
    <row r="87" spans="1:8">
      <c r="A87" s="5" t="s">
        <v>108</v>
      </c>
      <c r="B87" s="14" t="s">
        <v>106</v>
      </c>
      <c r="C87" s="21"/>
      <c r="D87" s="24">
        <f>IFERROR(IF(ISNUMBER(SEARCH("survente",B87)),1,IF(ISNUMBER(SEARCH("surachat",B87)),-1,0)),0)</f>
        <v>0</v>
      </c>
      <c r="E87" s="25" t="s">
        <v>109</v>
      </c>
    </row>
    <row r="88" spans="1:8">
      <c r="A88" s="5" t="s">
        <v>110</v>
      </c>
      <c r="B88" s="14" t="s">
        <v>106</v>
      </c>
      <c r="C88" s="21"/>
      <c r="D88" s="24">
        <f>IFERROR(IF(ISNUMBER(SEARCH("survente",B88)),1,IF(ISNUMBER(SEARCH("surachat",B88)),-1,0)),0)</f>
        <v>0</v>
      </c>
      <c r="E88" s="25" t="s">
        <v>111</v>
      </c>
    </row>
    <row r="89" spans="1:8">
      <c r="A89" s="5" t="s">
        <v>112</v>
      </c>
      <c r="B89" s="14" t="s">
        <v>106</v>
      </c>
      <c r="C89" s="21"/>
      <c r="D89" s="24">
        <f>IFERROR(IF(ISNUMBER(SEARCH("survente",B89)),1,IF(ISNUMBER(SEARCH("surachat",B89)),-1,0)),0)</f>
        <v>0</v>
      </c>
      <c r="E89" s="25" t="s">
        <v>113</v>
      </c>
    </row>
    <row r="90" spans="1:8">
      <c r="A90" s="5" t="s">
        <v>114</v>
      </c>
      <c r="B90" s="14" t="s">
        <v>106</v>
      </c>
      <c r="C90" s="21"/>
      <c r="D90" s="24">
        <f>IFERROR(IF(ISNUMBER(SEARCH("survente",B90)),1,IF(ISNUMBER(SEARCH("surachat",B90)),-1,0)),0)</f>
        <v>0</v>
      </c>
      <c r="E90" s="25" t="s">
        <v>115</v>
      </c>
    </row>
    <row r="91" spans="1:8">
      <c r="A91" s="18" t="s">
        <v>116</v>
      </c>
      <c r="B91" s="12"/>
      <c r="C91" s="12"/>
      <c r="D91" s="26">
        <f>SUM(D86:D90)</f>
        <v>0</v>
      </c>
      <c r="E91" s="27">
        <f>IFERROR(IF(D91&gt;0,"Zone SURVENTE - Achat possible",IF(D91&lt;0,"Zone SURACHAT - Vente possible","NEUTRE")),"-")</f>
        <v>0</v>
      </c>
    </row>
    <row r="92" spans="1:8" ht="5" customHeight="1"/>
    <row r="93" spans="1:8" ht="18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18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9">
        <f>B24</f>
        <v>0</v>
      </c>
      <c r="C100" s="20" t="s">
        <v>128</v>
      </c>
      <c r="D100" s="12"/>
    </row>
    <row r="101" spans="1:8">
      <c r="A101" s="5" t="s">
        <v>129</v>
      </c>
      <c r="B101" s="16">
        <f>B25</f>
        <v>0</v>
      </c>
      <c r="C101" s="20" t="s">
        <v>130</v>
      </c>
      <c r="D101" s="12"/>
    </row>
    <row r="102" spans="1:8">
      <c r="A102" s="5" t="s">
        <v>131</v>
      </c>
      <c r="B102" s="28"/>
      <c r="C102" s="20" t="s">
        <v>132</v>
      </c>
      <c r="D102" s="12"/>
    </row>
    <row r="103" spans="1:8">
      <c r="A103" s="5" t="s">
        <v>133</v>
      </c>
      <c r="B103" s="16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7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18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29" t="s">
        <v>138</v>
      </c>
      <c r="B107" s="29"/>
      <c r="C107" s="29"/>
      <c r="D107" s="29"/>
      <c r="E107" s="29"/>
      <c r="F107" s="29"/>
      <c r="G107" s="29"/>
      <c r="H107" s="29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28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16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28">
        <v>6.5</v>
      </c>
      <c r="C112" s="20" t="s">
        <v>147</v>
      </c>
      <c r="D112" s="12"/>
    </row>
    <row r="113" spans="1:8">
      <c r="A113" s="5" t="s">
        <v>148</v>
      </c>
      <c r="B113" s="16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16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16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27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18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0" t="s">
        <v>157</v>
      </c>
      <c r="B119" s="30"/>
      <c r="C119" s="30"/>
      <c r="D119" s="30"/>
      <c r="E119" s="30"/>
      <c r="F119" s="30"/>
      <c r="G119" s="30"/>
      <c r="H119" s="30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28">
        <v>8</v>
      </c>
      <c r="C122" s="20" t="s">
        <v>162</v>
      </c>
      <c r="D122" s="12"/>
    </row>
    <row r="123" spans="1:8">
      <c r="A123" s="5" t="s">
        <v>163</v>
      </c>
      <c r="B123" s="28">
        <v>2</v>
      </c>
      <c r="C123" s="20" t="s">
        <v>164</v>
      </c>
      <c r="D123" s="12"/>
    </row>
    <row r="124" spans="1:8">
      <c r="A124" s="5" t="s">
        <v>165</v>
      </c>
      <c r="B124" s="31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27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18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16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16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16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7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18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3"/>
      <c r="B138" s="23"/>
      <c r="C138" s="23"/>
      <c r="D138" s="23"/>
      <c r="E138" s="23"/>
      <c r="F138" s="23"/>
      <c r="G138" s="23"/>
      <c r="H138" s="23"/>
    </row>
    <row r="139" spans="1:8">
      <c r="A139" s="23"/>
      <c r="B139" s="23"/>
      <c r="C139" s="23"/>
      <c r="D139" s="23"/>
      <c r="E139" s="23"/>
      <c r="F139" s="23"/>
      <c r="G139" s="23"/>
      <c r="H139" s="23"/>
    </row>
    <row r="140" spans="1:8">
      <c r="A140" s="23"/>
      <c r="B140" s="23"/>
      <c r="C140" s="23"/>
      <c r="D140" s="23"/>
      <c r="E140" s="23"/>
      <c r="F140" s="23"/>
      <c r="G140" s="23"/>
      <c r="H140" s="23"/>
    </row>
  </sheetData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183</v>
      </c>
      <c r="B1" s="1"/>
      <c r="C1" s="1"/>
      <c r="D1" s="1"/>
      <c r="E1" s="1"/>
    </row>
    <row r="2" spans="1:5" ht="16" customHeight="1">
      <c r="A2" s="32" t="s">
        <v>184</v>
      </c>
      <c r="B2" s="32"/>
      <c r="C2" s="32"/>
      <c r="D2" s="32"/>
      <c r="E2" s="32"/>
    </row>
    <row r="3" spans="1:5" ht="5" customHeight="1"/>
    <row r="4" spans="1:5" ht="18" customHeight="1">
      <c r="A4" s="3" t="s">
        <v>185</v>
      </c>
      <c r="B4" s="3"/>
      <c r="C4" s="3"/>
      <c r="D4" s="3"/>
      <c r="E4" s="3"/>
    </row>
    <row r="5" spans="1:5">
      <c r="A5" s="4" t="s">
        <v>186</v>
      </c>
      <c r="B5" s="4" t="s">
        <v>187</v>
      </c>
      <c r="C5" s="4" t="s">
        <v>188</v>
      </c>
      <c r="D5" s="4" t="s">
        <v>189</v>
      </c>
      <c r="E5" s="4" t="s">
        <v>190</v>
      </c>
    </row>
    <row r="6" spans="1:5">
      <c r="A6" s="5" t="s">
        <v>191</v>
      </c>
      <c r="B6" s="33">
        <f>IFERROR(ETUDE!G8,"")</f>
        <v>0</v>
      </c>
      <c r="C6" s="11" t="s">
        <v>192</v>
      </c>
      <c r="D6" s="34">
        <f>IFERROR(IF(ETUDE!G8&gt;=10,"Bon (&gt;=10%)",IF(ETUDE!G8&gt;=0,"Faible (&lt;10%)","Negatif")),"-")</f>
        <v>0</v>
      </c>
      <c r="E6" s="35"/>
    </row>
    <row r="7" spans="1:5">
      <c r="A7" s="5" t="s">
        <v>193</v>
      </c>
      <c r="B7" s="33">
        <f>IFERROR(ETUDE!G12,"")</f>
        <v>0</v>
      </c>
      <c r="C7" s="11" t="s">
        <v>192</v>
      </c>
      <c r="D7" s="34">
        <f>IFERROR(IF(ETUDE!G12&gt;=10,"Bon (&gt;=10%)",IF(ETUDE!G12&gt;=0,"Faible (&lt;10%)","Negatif")),"-")</f>
        <v>0</v>
      </c>
      <c r="E7" s="35"/>
    </row>
    <row r="8" spans="1:5">
      <c r="A8" s="5" t="s">
        <v>194</v>
      </c>
      <c r="B8" s="33">
        <f>IFERROR(ETUDE!G16,"")</f>
        <v>0</v>
      </c>
      <c r="C8" s="11" t="s">
        <v>195</v>
      </c>
      <c r="D8" s="34">
        <f>IFERROR(IF(ETUDE!G16&gt;=10,"Tres rentable",IF(ETUDE!G16&gt;=5,"Rentable",IF(ETUDE!G16&gt;=2,"Faiblement rentable","Faible"))),"-")</f>
        <v>0</v>
      </c>
      <c r="E8" s="35"/>
    </row>
    <row r="9" spans="1:5">
      <c r="A9" s="5" t="s">
        <v>196</v>
      </c>
      <c r="B9" s="33">
        <f>IFERROR(ETUDE!B30,"")</f>
        <v>0</v>
      </c>
      <c r="C9" s="11" t="s">
        <v>197</v>
      </c>
      <c r="D9" s="34">
        <f>IFERROR(ETUDE!D30,"-")</f>
        <v>0</v>
      </c>
      <c r="E9" s="35"/>
    </row>
    <row r="10" spans="1:5">
      <c r="A10" s="5" t="s">
        <v>198</v>
      </c>
      <c r="B10" s="33">
        <f>IFERROR(ETUDE!B32,"")</f>
        <v>0</v>
      </c>
      <c r="C10" s="11" t="s">
        <v>199</v>
      </c>
      <c r="D10" s="34">
        <f>IFERROR(ETUDE!D32,"-")</f>
        <v>0</v>
      </c>
      <c r="E10" s="35"/>
    </row>
    <row r="11" spans="1:5">
      <c r="A11" s="5" t="s">
        <v>200</v>
      </c>
      <c r="B11" s="33">
        <f>IFERROR(ETUDE!B33,"")</f>
        <v>0</v>
      </c>
      <c r="C11" s="11" t="s">
        <v>192</v>
      </c>
      <c r="D11" s="34">
        <f>IFERROR(ETUDE!D33,"-")</f>
        <v>0</v>
      </c>
      <c r="E11" s="35"/>
    </row>
    <row r="12" spans="1:5">
      <c r="A12" s="5" t="s">
        <v>201</v>
      </c>
      <c r="B12" s="33">
        <f>IFERROR(AVERAGE(ETUDE!F38:ETUDE!F42),"")</f>
        <v>0</v>
      </c>
      <c r="C12" s="11" t="s">
        <v>202</v>
      </c>
      <c r="D12" s="34">
        <f>IFERROR(IF(AVERAGE(ETUDE!F38:ETUDE!F42)&gt;=3,"Bon (&gt;=3%)","Faible (&lt;3%)"),"-")</f>
        <v>0</v>
      </c>
      <c r="E12" s="35"/>
    </row>
    <row r="13" spans="1:5">
      <c r="A13" s="5" t="s">
        <v>203</v>
      </c>
      <c r="B13" s="33">
        <f>IFERROR(ETUDE!B34,"")</f>
        <v>0</v>
      </c>
      <c r="C13" s="11" t="s">
        <v>204</v>
      </c>
      <c r="D13" s="34">
        <f>IFERROR(ETUDE!D34,"-")</f>
        <v>0</v>
      </c>
      <c r="E13" s="35"/>
    </row>
    <row r="14" spans="1:5">
      <c r="A14" s="18" t="s">
        <v>205</v>
      </c>
      <c r="B14" s="5"/>
      <c r="C14" s="5"/>
      <c r="D14" s="5"/>
      <c r="E14" s="36">
        <f>SUM(E6:E13)</f>
        <v>0</v>
      </c>
    </row>
    <row r="15" spans="1:5" ht="5" customHeight="1"/>
    <row r="16" spans="1:5" ht="18" customHeight="1">
      <c r="A16" s="3" t="s">
        <v>206</v>
      </c>
      <c r="B16" s="3"/>
      <c r="C16" s="3"/>
      <c r="D16" s="3"/>
      <c r="E16" s="3"/>
    </row>
    <row r="17" spans="1:5">
      <c r="A17" s="4" t="s">
        <v>186</v>
      </c>
      <c r="B17" s="4" t="s">
        <v>101</v>
      </c>
      <c r="C17" s="4" t="s">
        <v>207</v>
      </c>
      <c r="D17" s="4" t="s">
        <v>19</v>
      </c>
      <c r="E17" s="4" t="s">
        <v>208</v>
      </c>
    </row>
    <row r="18" spans="1:5">
      <c r="A18" s="5" t="s">
        <v>209</v>
      </c>
      <c r="B18" s="37" t="s">
        <v>210</v>
      </c>
      <c r="C18" s="11" t="s">
        <v>211</v>
      </c>
      <c r="D18" s="37" t="s">
        <v>210</v>
      </c>
      <c r="E18" s="38"/>
    </row>
    <row r="19" spans="1:5">
      <c r="A19" s="5" t="s">
        <v>212</v>
      </c>
      <c r="B19" s="37" t="s">
        <v>210</v>
      </c>
      <c r="C19" s="11" t="s">
        <v>213</v>
      </c>
      <c r="D19" s="37" t="s">
        <v>210</v>
      </c>
      <c r="E19" s="38"/>
    </row>
    <row r="20" spans="1:5">
      <c r="A20" s="5" t="s">
        <v>214</v>
      </c>
      <c r="B20" s="37" t="s">
        <v>210</v>
      </c>
      <c r="C20" s="11" t="s">
        <v>215</v>
      </c>
      <c r="D20" s="37" t="s">
        <v>210</v>
      </c>
      <c r="E20" s="38"/>
    </row>
    <row r="21" spans="1:5">
      <c r="A21" s="5" t="s">
        <v>216</v>
      </c>
      <c r="B21" s="37" t="s">
        <v>210</v>
      </c>
      <c r="C21" s="11" t="s">
        <v>217</v>
      </c>
      <c r="D21" s="37" t="s">
        <v>210</v>
      </c>
      <c r="E21" s="38"/>
    </row>
    <row r="22" spans="1:5">
      <c r="A22" s="5" t="s">
        <v>218</v>
      </c>
      <c r="B22" s="37" t="s">
        <v>210</v>
      </c>
      <c r="C22" s="11" t="s">
        <v>219</v>
      </c>
      <c r="D22" s="37" t="s">
        <v>210</v>
      </c>
      <c r="E22" s="38"/>
    </row>
    <row r="23" spans="1:5">
      <c r="A23" s="18" t="s">
        <v>220</v>
      </c>
      <c r="B23" s="5"/>
      <c r="C23" s="5"/>
      <c r="D23" s="5"/>
      <c r="E23" s="36">
        <f>SUM(E18:E22)</f>
        <v>0</v>
      </c>
    </row>
    <row r="24" spans="1:5" ht="5" customHeight="1"/>
    <row r="25" spans="1:5" ht="18" customHeight="1">
      <c r="A25" s="39" t="s">
        <v>221</v>
      </c>
      <c r="B25" s="39"/>
      <c r="C25" s="39"/>
      <c r="D25" s="39"/>
      <c r="E25" s="39"/>
    </row>
    <row r="26" spans="1:5">
      <c r="A26" s="4" t="s">
        <v>58</v>
      </c>
      <c r="B26" s="4" t="s">
        <v>208</v>
      </c>
      <c r="C26" s="4" t="s">
        <v>222</v>
      </c>
      <c r="D26" s="4" t="s">
        <v>223</v>
      </c>
      <c r="E26" s="4" t="s">
        <v>224</v>
      </c>
    </row>
    <row r="27" spans="1:5">
      <c r="A27" s="5" t="s">
        <v>225</v>
      </c>
      <c r="B27" s="40">
        <f>E14</f>
        <v>0</v>
      </c>
      <c r="C27" s="41">
        <v>24</v>
      </c>
      <c r="D27" s="42">
        <f>IFERROR(E14/24*100,"")</f>
        <v>0</v>
      </c>
      <c r="E27" s="20">
        <f>IFERROR(IF(E14/24&gt;=0.7,"Solide",IF(E14/24&gt;=0.5,"Moyen","Faible")),"-")</f>
        <v>0</v>
      </c>
    </row>
    <row r="28" spans="1:5">
      <c r="A28" s="5" t="s">
        <v>226</v>
      </c>
      <c r="B28" s="40">
        <f>E23</f>
        <v>0</v>
      </c>
      <c r="C28" s="41">
        <v>15</v>
      </c>
      <c r="D28" s="42">
        <f>IFERROR(E23/15*100,"")</f>
        <v>0</v>
      </c>
      <c r="E28" s="20">
        <f>IFERROR(IF(E23/15&gt;=0.7,"Solide",IF(E23/15&gt;=0.5,"Moyen","Faible")),"-")</f>
        <v>0</v>
      </c>
    </row>
    <row r="29" spans="1:5">
      <c r="A29" s="18" t="s">
        <v>227</v>
      </c>
      <c r="B29" s="43">
        <f>IFERROR(E14+E23,"")</f>
        <v>0</v>
      </c>
      <c r="C29" s="44">
        <v>39</v>
      </c>
      <c r="D29" s="42">
        <f>IFERROR(B29/39*100,"")</f>
        <v>0</v>
      </c>
      <c r="E29" s="45">
        <f>IFERROR(IF(B29/39&gt;=0.7,"ACHETER",IF(B29/39&gt;=0.5,"SURVEILLER","EVITER")),"-")</f>
        <v>0</v>
      </c>
    </row>
    <row r="30" spans="1:5" ht="5" customHeight="1"/>
    <row r="31" spans="1:5" ht="18" customHeight="1">
      <c r="A31" s="3" t="s">
        <v>228</v>
      </c>
      <c r="B31" s="3"/>
      <c r="C31" s="3"/>
      <c r="D31" s="3"/>
      <c r="E31" s="3"/>
    </row>
    <row r="32" spans="1:5" ht="50" customHeight="1">
      <c r="A32" s="23"/>
      <c r="B32" s="23"/>
      <c r="C32" s="23"/>
      <c r="D32" s="23"/>
      <c r="E32" s="23"/>
    </row>
    <row r="33" spans="1:5">
      <c r="A33" s="23"/>
      <c r="B33" s="23"/>
      <c r="C33" s="23"/>
      <c r="D33" s="23"/>
      <c r="E33" s="23"/>
    </row>
    <row r="34" spans="1:5">
      <c r="A34" s="23"/>
      <c r="B34" s="23"/>
      <c r="C34" s="23"/>
      <c r="D34" s="23"/>
      <c r="E34" s="23"/>
    </row>
    <row r="35" spans="1:5">
      <c r="A35" s="23"/>
      <c r="B35" s="23"/>
      <c r="C35" s="23"/>
      <c r="D35" s="23"/>
      <c r="E35" s="23"/>
    </row>
  </sheetData>
  <mergeCells count="7">
    <mergeCell ref="A1:E1"/>
    <mergeCell ref="A2:E2"/>
    <mergeCell ref="A4:E4"/>
    <mergeCell ref="A16:E16"/>
    <mergeCell ref="A25:E25"/>
    <mergeCell ref="A31:E31"/>
    <mergeCell ref="A32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229</v>
      </c>
      <c r="B1" s="1"/>
      <c r="C1" s="1"/>
      <c r="D1" s="1"/>
    </row>
    <row r="2" spans="1:4" ht="18" customHeight="1">
      <c r="A2" s="3" t="s">
        <v>230</v>
      </c>
      <c r="B2" s="3"/>
      <c r="C2" s="3"/>
      <c r="D2" s="3"/>
    </row>
    <row r="3" spans="1:4">
      <c r="A3" s="5" t="s">
        <v>231</v>
      </c>
      <c r="B3" s="12"/>
      <c r="C3" s="12"/>
      <c r="D3" s="12"/>
    </row>
    <row r="4" spans="1:4">
      <c r="A4" s="5" t="s">
        <v>232</v>
      </c>
      <c r="B4" s="12"/>
      <c r="C4" s="12"/>
      <c r="D4" s="12"/>
    </row>
    <row r="5" spans="1:4">
      <c r="A5" s="5" t="s">
        <v>233</v>
      </c>
      <c r="B5" s="12"/>
      <c r="C5" s="12"/>
      <c r="D5" s="12"/>
    </row>
    <row r="6" spans="1:4">
      <c r="A6" s="5" t="s">
        <v>234</v>
      </c>
      <c r="B6" s="12"/>
      <c r="C6" s="12"/>
      <c r="D6" s="12"/>
    </row>
    <row r="7" spans="1:4">
      <c r="A7" s="5" t="s">
        <v>235</v>
      </c>
      <c r="B7" s="12"/>
      <c r="C7" s="12"/>
      <c r="D7" s="12"/>
    </row>
    <row r="8" spans="1:4" ht="5" customHeight="1"/>
    <row r="9" spans="1:4" ht="18" customHeight="1">
      <c r="A9" s="3" t="s">
        <v>236</v>
      </c>
      <c r="B9" s="3"/>
      <c r="C9" s="3"/>
      <c r="D9" s="3"/>
    </row>
    <row r="10" spans="1:4">
      <c r="A10" s="5" t="s">
        <v>237</v>
      </c>
      <c r="B10" s="12"/>
      <c r="C10" s="12"/>
      <c r="D10" s="12"/>
    </row>
    <row r="11" spans="1:4">
      <c r="A11" s="5" t="s">
        <v>238</v>
      </c>
      <c r="B11" s="12"/>
      <c r="C11" s="12"/>
      <c r="D11" s="12"/>
    </row>
    <row r="12" spans="1:4">
      <c r="A12" s="5" t="s">
        <v>239</v>
      </c>
      <c r="B12" s="12"/>
      <c r="C12" s="12"/>
      <c r="D12" s="12"/>
    </row>
    <row r="13" spans="1:4">
      <c r="A13" s="5" t="s">
        <v>240</v>
      </c>
      <c r="B13" s="12"/>
      <c r="C13" s="12"/>
      <c r="D13" s="12"/>
    </row>
    <row r="14" spans="1:4" ht="5" customHeight="1"/>
    <row r="15" spans="1:4" ht="18" customHeight="1">
      <c r="A15" s="3" t="s">
        <v>241</v>
      </c>
      <c r="B15" s="3"/>
      <c r="C15" s="3"/>
      <c r="D15" s="3"/>
    </row>
    <row r="16" spans="1:4">
      <c r="A16" s="5" t="s">
        <v>242</v>
      </c>
      <c r="B16" s="14" t="s">
        <v>243</v>
      </c>
      <c r="C16" s="12"/>
      <c r="D16" s="12"/>
    </row>
    <row r="17" spans="1:4">
      <c r="A17" s="5" t="s">
        <v>244</v>
      </c>
      <c r="B17" s="12"/>
      <c r="C17" s="12"/>
      <c r="D17" s="12"/>
    </row>
    <row r="18" spans="1:4">
      <c r="A18" s="5" t="s">
        <v>245</v>
      </c>
      <c r="B18" s="14" t="s">
        <v>246</v>
      </c>
      <c r="C18" s="12"/>
      <c r="D18" s="12"/>
    </row>
    <row r="19" spans="1:4">
      <c r="A19" s="5" t="s">
        <v>247</v>
      </c>
      <c r="B19" s="14" t="s">
        <v>248</v>
      </c>
      <c r="C19" s="12"/>
      <c r="D19" s="12"/>
    </row>
    <row r="20" spans="1:4" ht="5" customHeight="1"/>
    <row r="21" spans="1:4" ht="18" customHeight="1">
      <c r="A21" s="3" t="s">
        <v>249</v>
      </c>
      <c r="B21" s="3"/>
      <c r="C21" s="3"/>
      <c r="D21" s="3"/>
    </row>
    <row r="22" spans="1:4">
      <c r="A22" s="5" t="s">
        <v>74</v>
      </c>
      <c r="B22" s="12"/>
      <c r="C22" s="12"/>
      <c r="D22" s="12"/>
    </row>
    <row r="23" spans="1:4">
      <c r="A23" s="5" t="s">
        <v>250</v>
      </c>
      <c r="B23" s="12"/>
      <c r="C23" s="12"/>
      <c r="D23" s="12"/>
    </row>
    <row r="24" spans="1:4">
      <c r="A24" s="5" t="s">
        <v>251</v>
      </c>
      <c r="B24" s="12"/>
      <c r="C24" s="12"/>
      <c r="D24" s="12"/>
    </row>
    <row r="25" spans="1:4">
      <c r="A25" s="5" t="s">
        <v>252</v>
      </c>
      <c r="B25" s="14" t="s">
        <v>253</v>
      </c>
      <c r="C25" s="12"/>
      <c r="D25" s="12"/>
    </row>
    <row r="26" spans="1:4" ht="5" customHeight="1"/>
    <row r="27" spans="1:4" ht="18" customHeight="1">
      <c r="A27" s="3" t="s">
        <v>254</v>
      </c>
      <c r="B27" s="3"/>
      <c r="C27" s="3"/>
      <c r="D27" s="3"/>
    </row>
    <row r="28" spans="1:4">
      <c r="A28" s="5" t="s">
        <v>255</v>
      </c>
      <c r="B28" s="14" t="s">
        <v>256</v>
      </c>
      <c r="C28" s="12"/>
      <c r="D28" s="12"/>
    </row>
    <row r="29" spans="1:4">
      <c r="A29" s="5" t="s">
        <v>257</v>
      </c>
      <c r="B29" s="12"/>
      <c r="C29" s="12"/>
      <c r="D29" s="12"/>
    </row>
    <row r="30" spans="1:4">
      <c r="A30" s="5" t="s">
        <v>258</v>
      </c>
      <c r="B30" s="14" t="s">
        <v>259</v>
      </c>
      <c r="C30" s="12"/>
      <c r="D30" s="12"/>
    </row>
    <row r="31" spans="1:4">
      <c r="A31" s="5" t="s">
        <v>260</v>
      </c>
      <c r="B31" s="14" t="s">
        <v>261</v>
      </c>
      <c r="C31" s="12"/>
      <c r="D31" s="12"/>
    </row>
    <row r="32" spans="1:4" ht="5" customHeight="1"/>
  </sheetData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262</v>
      </c>
      <c r="B1" s="1"/>
      <c r="C1" s="1"/>
      <c r="D1" s="1"/>
    </row>
    <row r="2" spans="1:4">
      <c r="A2" s="4" t="s">
        <v>68</v>
      </c>
      <c r="B2" s="4" t="s">
        <v>263</v>
      </c>
      <c r="C2" s="4" t="s">
        <v>264</v>
      </c>
      <c r="D2" s="4" t="s">
        <v>265</v>
      </c>
    </row>
    <row r="3" spans="1:4" ht="18" customHeight="1">
      <c r="A3" s="3" t="s">
        <v>266</v>
      </c>
      <c r="B3" s="3"/>
      <c r="C3" s="3"/>
      <c r="D3" s="3"/>
    </row>
    <row r="4" spans="1:4" ht="28" customHeight="1">
      <c r="A4" s="18" t="s">
        <v>267</v>
      </c>
      <c r="B4" s="46" t="s">
        <v>268</v>
      </c>
      <c r="C4" s="41" t="s">
        <v>269</v>
      </c>
      <c r="D4" s="47" t="s">
        <v>270</v>
      </c>
    </row>
    <row r="5" spans="1:4" ht="28" customHeight="1">
      <c r="A5" s="18" t="s">
        <v>271</v>
      </c>
      <c r="B5" s="46" t="s">
        <v>272</v>
      </c>
      <c r="C5" s="41" t="s">
        <v>269</v>
      </c>
      <c r="D5" s="47" t="s">
        <v>273</v>
      </c>
    </row>
    <row r="6" spans="1:4" ht="28" customHeight="1">
      <c r="A6" s="18" t="s">
        <v>274</v>
      </c>
      <c r="B6" s="46" t="s">
        <v>275</v>
      </c>
      <c r="C6" s="41" t="s">
        <v>269</v>
      </c>
      <c r="D6" s="47" t="s">
        <v>276</v>
      </c>
    </row>
    <row r="7" spans="1:4" ht="28" customHeight="1">
      <c r="A7" s="18" t="s">
        <v>196</v>
      </c>
      <c r="B7" s="46" t="s">
        <v>277</v>
      </c>
      <c r="C7" s="41" t="s">
        <v>278</v>
      </c>
      <c r="D7" s="47" t="s">
        <v>279</v>
      </c>
    </row>
    <row r="8" spans="1:4" ht="28" customHeight="1">
      <c r="A8" s="18" t="s">
        <v>280</v>
      </c>
      <c r="B8" s="46" t="s">
        <v>281</v>
      </c>
      <c r="C8" s="41" t="s">
        <v>282</v>
      </c>
      <c r="D8" s="47" t="s">
        <v>283</v>
      </c>
    </row>
    <row r="9" spans="1:4" ht="28" customHeight="1">
      <c r="A9" s="18" t="s">
        <v>198</v>
      </c>
      <c r="B9" s="46" t="s">
        <v>284</v>
      </c>
      <c r="C9" s="41" t="s">
        <v>278</v>
      </c>
      <c r="D9" s="47" t="s">
        <v>285</v>
      </c>
    </row>
    <row r="10" spans="1:4" ht="28" customHeight="1">
      <c r="A10" s="18" t="s">
        <v>286</v>
      </c>
      <c r="B10" s="46" t="s">
        <v>287</v>
      </c>
      <c r="C10" s="41" t="s">
        <v>269</v>
      </c>
      <c r="D10" s="47" t="s">
        <v>288</v>
      </c>
    </row>
    <row r="11" spans="1:4" ht="28" customHeight="1">
      <c r="A11" s="18" t="s">
        <v>289</v>
      </c>
      <c r="B11" s="46" t="s">
        <v>290</v>
      </c>
      <c r="C11" s="41"/>
      <c r="D11" s="47" t="s">
        <v>291</v>
      </c>
    </row>
    <row r="12" spans="1:4" ht="28" customHeight="1">
      <c r="A12" s="18" t="s">
        <v>292</v>
      </c>
      <c r="B12" s="46" t="s">
        <v>293</v>
      </c>
      <c r="C12" s="41" t="s">
        <v>269</v>
      </c>
      <c r="D12" s="47" t="s">
        <v>294</v>
      </c>
    </row>
    <row r="13" spans="1:4" ht="28" customHeight="1">
      <c r="A13" s="18" t="s">
        <v>295</v>
      </c>
      <c r="B13" s="46" t="s">
        <v>296</v>
      </c>
      <c r="C13" s="41" t="s">
        <v>269</v>
      </c>
      <c r="D13" s="47" t="s">
        <v>297</v>
      </c>
    </row>
    <row r="14" spans="1:4" ht="18" customHeight="1">
      <c r="A14" s="3" t="s">
        <v>298</v>
      </c>
      <c r="B14" s="3"/>
      <c r="C14" s="3"/>
      <c r="D14" s="3"/>
    </row>
    <row r="15" spans="1:4" ht="28" customHeight="1">
      <c r="A15" s="18" t="s">
        <v>299</v>
      </c>
      <c r="B15" s="46" t="s">
        <v>300</v>
      </c>
      <c r="C15" s="41" t="s">
        <v>282</v>
      </c>
      <c r="D15" s="47" t="s">
        <v>301</v>
      </c>
    </row>
    <row r="16" spans="1:4" ht="28" customHeight="1">
      <c r="A16" s="18" t="s">
        <v>302</v>
      </c>
      <c r="B16" s="46" t="s">
        <v>303</v>
      </c>
      <c r="C16" s="41"/>
      <c r="D16" s="47" t="s">
        <v>304</v>
      </c>
    </row>
    <row r="17" spans="1:4" ht="28" customHeight="1">
      <c r="A17" s="18" t="s">
        <v>110</v>
      </c>
      <c r="B17" s="46" t="s">
        <v>303</v>
      </c>
      <c r="C17" s="41"/>
      <c r="D17" s="47" t="s">
        <v>305</v>
      </c>
    </row>
    <row r="18" spans="1:4" ht="28" customHeight="1">
      <c r="A18" s="18" t="s">
        <v>135</v>
      </c>
      <c r="B18" s="46" t="s">
        <v>306</v>
      </c>
      <c r="C18" s="41" t="s">
        <v>278</v>
      </c>
      <c r="D18" s="47" t="s">
        <v>307</v>
      </c>
    </row>
    <row r="19" spans="1:4" ht="28" customHeight="1">
      <c r="A19" s="18" t="s">
        <v>308</v>
      </c>
      <c r="B19" s="46" t="s">
        <v>309</v>
      </c>
      <c r="C19" s="41" t="s">
        <v>282</v>
      </c>
      <c r="D19" s="47" t="s">
        <v>310</v>
      </c>
    </row>
    <row r="20" spans="1:4" ht="28" customHeight="1">
      <c r="A20" s="18" t="s">
        <v>311</v>
      </c>
      <c r="B20" s="46" t="s">
        <v>312</v>
      </c>
      <c r="C20" s="41" t="s">
        <v>282</v>
      </c>
      <c r="D20" s="47" t="s">
        <v>313</v>
      </c>
    </row>
    <row r="21" spans="1:4" ht="18" customHeight="1">
      <c r="A21" s="3" t="s">
        <v>314</v>
      </c>
      <c r="B21" s="3"/>
      <c r="C21" s="3"/>
      <c r="D21" s="3"/>
    </row>
    <row r="22" spans="1:4" ht="28" customHeight="1">
      <c r="A22" s="18" t="s">
        <v>315</v>
      </c>
      <c r="B22" s="46" t="s">
        <v>316</v>
      </c>
      <c r="C22" s="41" t="s">
        <v>282</v>
      </c>
      <c r="D22" s="47" t="s">
        <v>317</v>
      </c>
    </row>
    <row r="23" spans="1:4" ht="28" customHeight="1">
      <c r="A23" s="18" t="s">
        <v>318</v>
      </c>
      <c r="B23" s="46" t="s">
        <v>319</v>
      </c>
      <c r="C23" s="41" t="s">
        <v>320</v>
      </c>
      <c r="D23" s="47" t="s">
        <v>321</v>
      </c>
    </row>
    <row r="24" spans="1:4" ht="28" customHeight="1">
      <c r="A24" s="18" t="s">
        <v>322</v>
      </c>
      <c r="B24" s="46" t="s">
        <v>323</v>
      </c>
      <c r="C24" s="41" t="s">
        <v>282</v>
      </c>
      <c r="D24" s="47" t="s">
        <v>324</v>
      </c>
    </row>
    <row r="25" spans="1:4" ht="28" customHeight="1">
      <c r="A25" s="18" t="s">
        <v>325</v>
      </c>
      <c r="B25" s="46" t="s">
        <v>326</v>
      </c>
      <c r="C25" s="41" t="s">
        <v>282</v>
      </c>
      <c r="D25" s="47" t="s">
        <v>327</v>
      </c>
    </row>
  </sheetData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2026-05-13T21:31:41Z</dcterms:created>
  <dcterms:modified xsi:type="dcterms:W3CDTF">2026-05-13T21:31:41Z</dcterms:modified>
</cp:coreProperties>
</file>