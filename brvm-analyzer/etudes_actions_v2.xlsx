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UDE" sheetId="1" state="visible" r:id="rId1"/>
    <sheet name="SYNTHESE" sheetId="2" state="visible" r:id="rId2"/>
    <sheet name="PROFIL" sheetId="3" state="visible" r:id="rId3"/>
    <sheet name="FORMU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0000"/>
      <sz val="8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3864"/>
      <sz val="9"/>
    </font>
    <font>
      <name val="Calibri"/>
      <color rgb="00000000"/>
      <sz val="9"/>
    </font>
    <font>
      <name val="Calibri"/>
      <color rgb="00404040"/>
      <sz val="9"/>
    </font>
    <font>
      <name val="Calibri"/>
      <b val="1"/>
      <color rgb="00404040"/>
      <sz val="9"/>
    </font>
    <font>
      <name val="Calibri"/>
      <b val="1"/>
      <color rgb="00FF6600"/>
      <sz val="10"/>
    </font>
    <font>
      <name val="Calibri"/>
      <i val="1"/>
      <color rgb="00808080"/>
      <sz val="8"/>
    </font>
    <font>
      <name val="Calibri"/>
      <i val="1"/>
      <color rgb="00808080"/>
      <sz val="9"/>
    </font>
    <font>
      <name val="Calibri"/>
      <i val="1"/>
      <color rgb="00606060"/>
      <sz val="8"/>
    </font>
    <font>
      <name val="Calibri"/>
      <b val="1"/>
      <color rgb="00000000"/>
      <sz val="9"/>
    </font>
    <font>
      <name val="Calibri"/>
      <i val="1"/>
      <color rgb="00FF6600"/>
      <sz val="8"/>
    </font>
    <font>
      <name val="Calibri"/>
      <i val="1"/>
      <color rgb="001F3864"/>
      <sz val="9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6E4F7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pivotButton="0" quotePrefix="0" xfId="0"/>
    <xf numFmtId="3" fontId="7" fillId="6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10" fontId="7" fillId="7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right" vertical="center"/>
    </xf>
    <xf numFmtId="0" fontId="0" fillId="0" borderId="1" pivotButton="0" quotePrefix="0" xfId="0"/>
    <xf numFmtId="0" fontId="7" fillId="5" borderId="1" applyAlignment="1" pivotButton="0" quotePrefix="0" xfId="0">
      <alignment horizontal="left" vertical="center"/>
    </xf>
    <xf numFmtId="3" fontId="9" fillId="8" borderId="1" applyAlignment="1" pivotButton="0" quotePrefix="0" xfId="0">
      <alignment horizontal="right" vertical="center"/>
    </xf>
    <xf numFmtId="0" fontId="1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" fontId="7" fillId="8" borderId="1" applyAlignment="1" pivotButton="0" quotePrefix="0" xfId="0">
      <alignment horizontal="right" vertical="center"/>
    </xf>
    <xf numFmtId="3" fontId="7" fillId="8" borderId="1" applyAlignment="1" pivotButton="0" quotePrefix="0" xfId="0">
      <alignment horizontal="right" vertical="center"/>
    </xf>
    <xf numFmtId="4" fontId="7" fillId="6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4" fontId="8" fillId="7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4" fontId="7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3" fontId="10" fillId="6" borderId="1" applyAlignment="1" pivotButton="0" quotePrefix="0" xfId="0">
      <alignment horizontal="right" vertical="center"/>
    </xf>
    <xf numFmtId="2" fontId="7" fillId="6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/>
    </xf>
    <xf numFmtId="1" fontId="7" fillId="7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left" vertical="center" wrapText="1"/>
    </xf>
    <xf numFmtId="1" fontId="8" fillId="7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2" fontId="6" fillId="7" borderId="1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wrapText="1"/>
    </xf>
    <xf numFmtId="2" fontId="7" fillId="8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  <xf numFmtId="4" fontId="13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0" fillId="6" borderId="1" pivotButton="0" quotePrefix="0" xfId="0"/>
    <xf numFmtId="1" fontId="0" fillId="6" borderId="1" pivotButton="0" quotePrefix="0" xfId="0"/>
    <xf numFmtId="0" fontId="0" fillId="6" borderId="1" pivotButton="0" quotePrefix="0" xfId="0"/>
    <xf numFmtId="0" fontId="4" fillId="2" borderId="0" applyAlignment="1" pivotButton="0" quotePrefix="0" xfId="0">
      <alignment horizontal="left" vertical="center"/>
    </xf>
    <xf numFmtId="1" fontId="7" fillId="5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1" fontId="16" fillId="7" borderId="1" applyAlignment="1" pivotButton="0" quotePrefix="0" xfId="0">
      <alignment horizontal="right" vertical="center"/>
    </xf>
    <xf numFmtId="1" fontId="8" fillId="5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17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12" customWidth="1" min="8" max="8"/>
  </cols>
  <sheetData>
    <row r="1" ht="20" customHeight="1">
      <c r="A1" s="1" t="inlineStr">
        <is>
          <t>FICHE D'ANALYSE BRVM — [NOM SOCIÉTÉ]   |   Date : [JJ/MM/AAAA]</t>
        </is>
      </c>
    </row>
    <row r="2">
      <c r="A2" s="2" t="inlineStr">
        <is>
          <t>⚠ Remplacer [NOM SOCIÉTÉ] et [JJ/MM/AAAA] en cellule A1 avant utilisation</t>
        </is>
      </c>
    </row>
    <row r="3" ht="6" customHeight="1"/>
    <row r="4" ht="20" customHeight="1">
      <c r="A4" s="3" t="inlineStr">
        <is>
          <t>A — ANALYSE FONDAMENTALE</t>
        </is>
      </c>
    </row>
    <row r="5" ht="6" customHeight="1"/>
    <row r="6" ht="18" customHeight="1">
      <c r="A6" s="4" t="inlineStr">
        <is>
          <t>A1 — CHIFFRE D'AFFAIRES ou PRODUIT NET BANCAIRE (FCFA)</t>
        </is>
      </c>
    </row>
    <row r="7">
      <c r="A7" s="5" t="inlineStr">
        <is>
          <t>Année</t>
        </is>
      </c>
      <c r="B7" s="5" t="inlineStr">
        <is>
          <t>N-4</t>
        </is>
      </c>
      <c r="C7" s="5" t="inlineStr">
        <is>
          <t>N-3</t>
        </is>
      </c>
      <c r="D7" s="5" t="inlineStr">
        <is>
          <t>N-2</t>
        </is>
      </c>
      <c r="E7" s="5" t="inlineStr">
        <is>
          <t>N-1</t>
        </is>
      </c>
      <c r="F7" s="5" t="inlineStr">
        <is>
          <t>N (dernier)</t>
        </is>
      </c>
      <c r="G7" s="5" t="inlineStr">
        <is>
          <t>Croissance N/N-4 %</t>
        </is>
      </c>
      <c r="H7" s="5" t="inlineStr">
        <is>
          <t>TCAM 4 ans %</t>
        </is>
      </c>
    </row>
    <row r="8">
      <c r="A8" s="6" t="inlineStr">
        <is>
          <t>CA / PNB</t>
        </is>
      </c>
      <c r="B8" s="7" t="n"/>
      <c r="C8" s="7" t="n"/>
      <c r="D8" s="7" t="n"/>
      <c r="E8" s="7" t="n"/>
      <c r="F8" s="7" t="n"/>
      <c r="G8" s="8">
        <f>IF(B8=0,"",((F8-B8)/B8)*100)</f>
        <v/>
      </c>
      <c r="H8" s="9">
        <f>IF(B8=0,"",(F8/B8)^(1/4)-1)</f>
        <v/>
      </c>
    </row>
    <row r="9" ht="6" customHeight="1"/>
    <row r="10" ht="18" customHeight="1">
      <c r="A10" s="4" t="inlineStr">
        <is>
          <t>A2 — RÉSULTAT NET (FCFA)</t>
        </is>
      </c>
    </row>
    <row r="11">
      <c r="A11" s="5" t="inlineStr">
        <is>
          <t>Année</t>
        </is>
      </c>
      <c r="B11" s="5" t="inlineStr">
        <is>
          <t>N-4</t>
        </is>
      </c>
      <c r="C11" s="5" t="inlineStr">
        <is>
          <t>N-3</t>
        </is>
      </c>
      <c r="D11" s="5" t="inlineStr">
        <is>
          <t>N-2</t>
        </is>
      </c>
      <c r="E11" s="5" t="inlineStr">
        <is>
          <t>N-1</t>
        </is>
      </c>
      <c r="F11" s="5" t="inlineStr">
        <is>
          <t>N (dernier)</t>
        </is>
      </c>
      <c r="G11" s="5" t="inlineStr">
        <is>
          <t>Croissance N/N-4 %</t>
        </is>
      </c>
      <c r="H11" s="5" t="inlineStr">
        <is>
          <t>TCAM 4 ans %</t>
        </is>
      </c>
    </row>
    <row r="12">
      <c r="A12" s="6" t="inlineStr">
        <is>
          <t>Résultat Net</t>
        </is>
      </c>
      <c r="B12" s="7" t="n"/>
      <c r="C12" s="7" t="n"/>
      <c r="D12" s="7" t="n"/>
      <c r="E12" s="7" t="n"/>
      <c r="F12" s="7" t="n"/>
      <c r="G12" s="8">
        <f>IF(B12=0,"",((F12-B12)/ABS(B12))*100)</f>
        <v/>
      </c>
      <c r="H12" s="9">
        <f>IF(OR(B12=0,F12/B12&lt;0),"N/A",(F12/B12)^(1/4)-1)</f>
        <v/>
      </c>
    </row>
    <row r="13" ht="6" customHeight="1"/>
    <row r="14" ht="18" customHeight="1">
      <c r="A14" s="4" t="inlineStr">
        <is>
          <t>A3 — MARGE NETTE (RN / CA × 100) — 5 dernières années</t>
        </is>
      </c>
    </row>
    <row r="15">
      <c r="A15" s="5" t="inlineStr">
        <is>
          <t>Année</t>
        </is>
      </c>
      <c r="B15" s="5" t="inlineStr">
        <is>
          <t>RN (M FCFA)</t>
        </is>
      </c>
      <c r="C15" s="5" t="inlineStr">
        <is>
          <t>CA/PNB (M FCFA)</t>
        </is>
      </c>
      <c r="D15" s="5" t="inlineStr">
        <is>
          <t>Marge %</t>
        </is>
      </c>
      <c r="E15" s="5" t="inlineStr">
        <is>
          <t>Interprétation</t>
        </is>
      </c>
      <c r="F15" s="5" t="inlineStr">
        <is>
          <t>Seuil recommandé</t>
        </is>
      </c>
      <c r="G15" s="5" t="inlineStr">
        <is>
          <t>Moyenne 5 ans %</t>
        </is>
      </c>
    </row>
    <row r="16">
      <c r="A16" s="6" t="inlineStr">
        <is>
          <t>N-4</t>
        </is>
      </c>
      <c r="B16" s="7" t="n"/>
      <c r="C16" s="7" t="n"/>
      <c r="D16" s="8">
        <f>IFERROR(B16/C16*100,"")</f>
        <v/>
      </c>
      <c r="E16" s="10">
        <f>IFERROR(IF(D16&gt;=10,"Tres rentable",IF(D16&gt;=5,"Rentable",IF(D16&gt;=2,"Faiblement rentable","Tres faible"))),"-")</f>
        <v/>
      </c>
      <c r="F16" s="11" t="inlineStr">
        <is>
          <t>&gt; 5% = bon</t>
        </is>
      </c>
      <c r="G16" s="12">
        <f>IFERROR(AVERAGE(D16:D20),"")</f>
        <v/>
      </c>
    </row>
    <row r="17">
      <c r="A17" s="6" t="inlineStr">
        <is>
          <t>N-3</t>
        </is>
      </c>
      <c r="B17" s="7" t="n"/>
      <c r="C17" s="7" t="n"/>
      <c r="D17" s="8">
        <f>IFERROR(B17/C17*100,"")</f>
        <v/>
      </c>
      <c r="E17" s="10">
        <f>IFERROR(IF(D17&gt;=10,"Tres rentable",IF(D17&gt;=5,"Rentable",IF(D17&gt;=2,"Faiblement rentable","Tres faible"))),"-")</f>
        <v/>
      </c>
      <c r="F17" s="13" t="n"/>
      <c r="G17" s="13" t="n"/>
    </row>
    <row r="18">
      <c r="A18" s="6" t="inlineStr">
        <is>
          <t>N-2</t>
        </is>
      </c>
      <c r="B18" s="7" t="n"/>
      <c r="C18" s="7" t="n"/>
      <c r="D18" s="8">
        <f>IFERROR(B18/C18*100,"")</f>
        <v/>
      </c>
      <c r="E18" s="10">
        <f>IFERROR(IF(D18&gt;=10,"Tres rentable",IF(D18&gt;=5,"Rentable",IF(D18&gt;=2,"Faiblement rentable","Tres faible"))),"-")</f>
        <v/>
      </c>
      <c r="F18" s="13" t="n"/>
      <c r="G18" s="13" t="n"/>
    </row>
    <row r="19">
      <c r="A19" s="6" t="inlineStr">
        <is>
          <t>N-1</t>
        </is>
      </c>
      <c r="B19" s="7" t="n"/>
      <c r="C19" s="7" t="n"/>
      <c r="D19" s="8">
        <f>IFERROR(B19/C19*100,"")</f>
        <v/>
      </c>
      <c r="E19" s="10">
        <f>IFERROR(IF(D19&gt;=10,"Tres rentable",IF(D19&gt;=5,"Rentable",IF(D19&gt;=2,"Faiblement rentable","Tres faible"))),"-")</f>
        <v/>
      </c>
      <c r="F19" s="13" t="n"/>
      <c r="G19" s="13" t="n"/>
    </row>
    <row r="20">
      <c r="A20" s="6" t="inlineStr">
        <is>
          <t>N</t>
        </is>
      </c>
      <c r="B20" s="7" t="n"/>
      <c r="C20" s="7" t="n"/>
      <c r="D20" s="8">
        <f>IFERROR(B20/C20*100,"")</f>
        <v/>
      </c>
      <c r="E20" s="10">
        <f>IFERROR(IF(D20&gt;=10,"Tres rentable",IF(D20&gt;=5,"Rentable",IF(D20&gt;=2,"Faiblement rentable","Tres faible"))),"-")</f>
        <v/>
      </c>
      <c r="F20" s="13" t="n"/>
      <c r="G20" s="13" t="n"/>
    </row>
    <row r="21" ht="6" customHeight="1"/>
    <row r="22" ht="18" customHeight="1">
      <c r="A22" s="4" t="inlineStr">
        <is>
          <t>A4 — INDICATEURS DE VALORISATION</t>
        </is>
      </c>
    </row>
    <row r="23">
      <c r="A23" s="5" t="inlineStr">
        <is>
          <t>Indicateur</t>
        </is>
      </c>
      <c r="B23" s="5" t="inlineStr">
        <is>
          <t>Formule</t>
        </is>
      </c>
      <c r="C23" s="5" t="inlineStr">
        <is>
          <t>Valeur calculée</t>
        </is>
      </c>
      <c r="D23" s="5" t="inlineStr">
        <is>
          <t>Zone normale BRVM</t>
        </is>
      </c>
      <c r="E23" s="5" t="inlineStr">
        <is>
          <t>Signal</t>
        </is>
      </c>
    </row>
    <row r="24">
      <c r="A24" s="14" t="inlineStr">
        <is>
          <t>Prix actuel de l'action (FCFA)</t>
        </is>
      </c>
      <c r="B24" s="15" t="n"/>
      <c r="C24" s="16" t="inlineStr">
        <is>
          <t>← Saisir ici le prix actuel</t>
        </is>
      </c>
      <c r="D24" s="17" t="n"/>
      <c r="E24" s="18" t="n"/>
    </row>
    <row r="25">
      <c r="A25" s="14" t="inlineStr">
        <is>
          <t>BNPA — Bénéfice Net Par Action (FCFA)</t>
        </is>
      </c>
      <c r="B25" s="19" t="n"/>
      <c r="C25" s="13" t="n"/>
      <c r="D25" s="17" t="n"/>
      <c r="E25" s="18" t="n"/>
    </row>
    <row r="26">
      <c r="A26" s="14" t="inlineStr">
        <is>
          <t>Capitaux Propres (FCFA)</t>
        </is>
      </c>
      <c r="B26" s="20" t="n"/>
      <c r="C26" s="13" t="n"/>
      <c r="D26" s="17" t="n"/>
      <c r="E26" s="18" t="n"/>
    </row>
    <row r="27">
      <c r="A27" s="14" t="inlineStr">
        <is>
          <t>Valorisation / Capitalisation boursière (FCFA)</t>
        </is>
      </c>
      <c r="B27" s="20" t="n"/>
      <c r="C27" s="13" t="n"/>
      <c r="D27" s="17" t="n"/>
      <c r="E27" s="18" t="n"/>
    </row>
    <row r="28">
      <c r="A28" s="14" t="inlineStr">
        <is>
          <t>Nombre de titres en circulation</t>
        </is>
      </c>
      <c r="B28" s="20" t="n"/>
      <c r="C28" s="13" t="n"/>
      <c r="D28" s="17" t="n"/>
      <c r="E28" s="18" t="n"/>
    </row>
    <row r="29" ht="4" customHeight="1"/>
    <row r="30">
      <c r="A30" s="14" t="inlineStr">
        <is>
          <t>PER — Price Earning Ratio</t>
        </is>
      </c>
      <c r="B30" s="8">
        <f>B24/B25</f>
        <v/>
      </c>
      <c r="C30" s="8">
        <f>B24/B25</f>
        <v/>
      </c>
      <c r="D30" s="11" t="inlineStr">
        <is>
          <t>9 – 15</t>
        </is>
      </c>
      <c r="E30" s="10">
        <f>IFERROR(IF(C30&gt;15,"Surevalue",IF(C30&lt;9,"Sous-evalue","Zone normale")),"-")</f>
        <v/>
      </c>
    </row>
    <row r="31">
      <c r="A31" s="14" t="inlineStr">
        <is>
          <t>VMC — Valeur Mathématique Comptable (FCFA)</t>
        </is>
      </c>
      <c r="B31" s="8">
        <f>B26/B28</f>
        <v/>
      </c>
      <c r="C31" s="8">
        <f>B26/B28</f>
        <v/>
      </c>
      <c r="D31" s="11" t="inlineStr">
        <is>
          <t>—</t>
        </is>
      </c>
      <c r="E31" s="10">
        <f>IFERROR(IF(B24&gt;C30,"Action surevaluee","Action sous-evaluee"),"-")</f>
        <v/>
      </c>
    </row>
    <row r="32">
      <c r="A32" s="14" t="inlineStr">
        <is>
          <t>PBR — Price to Book Ratio</t>
        </is>
      </c>
      <c r="B32" s="8">
        <f>B27/B26</f>
        <v/>
      </c>
      <c r="C32" s="8">
        <f>B27/B26</f>
        <v/>
      </c>
      <c r="D32" s="11" t="inlineStr">
        <is>
          <t>&lt; 1 = bon</t>
        </is>
      </c>
      <c r="E32" s="10">
        <f>IFERROR(IF(C30&lt;1,"Decote comptable",IF(C30&lt;2,"Normal","Prime elevee")),"-")</f>
        <v/>
      </c>
    </row>
    <row r="33">
      <c r="A33" s="14" t="inlineStr">
        <is>
          <t>ROE — Return on Equity (%)</t>
        </is>
      </c>
      <c r="B33" s="8">
        <f>IFERROR(B12*1000000/B26*100,"")</f>
        <v/>
      </c>
      <c r="C33" s="8">
        <f>IFERROR(B12*1000000/B26*100,"")</f>
        <v/>
      </c>
      <c r="D33" s="11" t="inlineStr">
        <is>
          <t>&gt; 10% = bon</t>
        </is>
      </c>
      <c r="E33" s="10">
        <f>IFERROR(IF(C30&gt;=15,"Excellent",IF(C30&gt;=10,"Bon",IF(C30&gt;=5,"Moyen","Faible"))),"-")</f>
        <v/>
      </c>
    </row>
    <row r="34">
      <c r="A34" s="14" t="inlineStr">
        <is>
          <t>RVC = PER × PBR</t>
        </is>
      </c>
      <c r="B34" s="8">
        <f>IFERROR(C26*C28,"")</f>
        <v/>
      </c>
      <c r="C34" s="8">
        <f>IFERROR(C26*C28,"")</f>
        <v/>
      </c>
      <c r="D34" s="11" t="inlineStr">
        <is>
          <t>&lt; 22 = Décote</t>
        </is>
      </c>
      <c r="E34" s="10">
        <f>IFERROR(IF(C30&lt;22,"Decote (achat possible)","Surevaluation"),"-")</f>
        <v/>
      </c>
    </row>
    <row r="35" ht="6" customHeight="1"/>
    <row r="36" ht="18" customHeight="1">
      <c r="A36" s="4" t="inlineStr">
        <is>
          <t>A5 — DIVIDENDES &amp; TAUX DE DISTRIBUTION</t>
        </is>
      </c>
    </row>
    <row r="37">
      <c r="A37" s="5" t="inlineStr">
        <is>
          <t>Année</t>
        </is>
      </c>
      <c r="B37" s="5" t="inlineStr">
        <is>
          <t>Dividende brut (FCFA)</t>
        </is>
      </c>
      <c r="C37" s="5" t="inlineStr">
        <is>
          <t>BNPA (FCFA)</t>
        </is>
      </c>
      <c r="D37" s="5" t="inlineStr">
        <is>
          <t>Taux distribution %</t>
        </is>
      </c>
      <c r="E37" s="5" t="inlineStr">
        <is>
          <t>Rendement %</t>
        </is>
      </c>
      <c r="F37" s="5" t="inlineStr">
        <is>
          <t>Progression %</t>
        </is>
      </c>
    </row>
    <row r="38">
      <c r="A38" s="14" t="inlineStr">
        <is>
          <t>N-4</t>
        </is>
      </c>
      <c r="B38" s="21" t="n"/>
      <c r="C38" s="21" t="n"/>
      <c r="D38" s="8">
        <f>IFERROR(B38/(C38*0.85)*100,"")</f>
        <v/>
      </c>
      <c r="E38" s="8">
        <f>IFERROR(B38/B24*100,"")</f>
        <v/>
      </c>
      <c r="F38" s="22" t="inlineStr">
        <is>
          <t>—</t>
        </is>
      </c>
    </row>
    <row r="39">
      <c r="A39" s="14" t="inlineStr">
        <is>
          <t>N-3</t>
        </is>
      </c>
      <c r="B39" s="21" t="n"/>
      <c r="C39" s="21" t="n"/>
      <c r="D39" s="8">
        <f>IFERROR(B39/(C39*0.85)*100,"")</f>
        <v/>
      </c>
      <c r="E39" s="8">
        <f>IFERROR(B39/B24*100,"")</f>
        <v/>
      </c>
      <c r="F39" s="8">
        <f>IFERROR((B39-B38)/ABS(B38)*100,"")</f>
        <v/>
      </c>
    </row>
    <row r="40">
      <c r="A40" s="14" t="inlineStr">
        <is>
          <t>N-2</t>
        </is>
      </c>
      <c r="B40" s="21" t="n"/>
      <c r="C40" s="21" t="n"/>
      <c r="D40" s="8">
        <f>IFERROR(B40/(C40*0.85)*100,"")</f>
        <v/>
      </c>
      <c r="E40" s="8">
        <f>IFERROR(B40/B24*100,"")</f>
        <v/>
      </c>
      <c r="F40" s="8">
        <f>IFERROR((B40-B39)/ABS(B39)*100,"")</f>
        <v/>
      </c>
    </row>
    <row r="41">
      <c r="A41" s="14" t="inlineStr">
        <is>
          <t>N-1</t>
        </is>
      </c>
      <c r="B41" s="21" t="n"/>
      <c r="C41" s="21" t="n"/>
      <c r="D41" s="8">
        <f>IFERROR(B41/(C41*0.85)*100,"")</f>
        <v/>
      </c>
      <c r="E41" s="8">
        <f>IFERROR(B41/B24*100,"")</f>
        <v/>
      </c>
      <c r="F41" s="8">
        <f>IFERROR((B41-B40)/ABS(B40)*100,"")</f>
        <v/>
      </c>
    </row>
    <row r="42">
      <c r="A42" s="14" t="inlineStr">
        <is>
          <t>N</t>
        </is>
      </c>
      <c r="B42" s="21" t="n"/>
      <c r="C42" s="21" t="n"/>
      <c r="D42" s="8">
        <f>IFERROR(B42/(C42*0.85)*100,"")</f>
        <v/>
      </c>
      <c r="E42" s="8">
        <f>IFERROR(B42/B24*100,"")</f>
        <v/>
      </c>
      <c r="F42" s="8">
        <f>IFERROR((B42-B41)/ABS(B41)*100,"")</f>
        <v/>
      </c>
    </row>
    <row r="43">
      <c r="A43" s="23" t="inlineStr">
        <is>
          <t>TOTAL dividendes &amp; rendement moyen</t>
        </is>
      </c>
      <c r="B43" s="24">
        <f>SUM(B38:B42)</f>
        <v/>
      </c>
      <c r="C43" s="13" t="n"/>
      <c r="D43" s="12">
        <f>IFERROR(AVERAGE(D38:D42),"")</f>
        <v/>
      </c>
      <c r="E43" s="12">
        <f>IFERROR(AVERAGE(E38:E42),"")</f>
        <v/>
      </c>
      <c r="F43" s="13" t="n"/>
    </row>
    <row r="44" ht="6" customHeight="1"/>
    <row r="45" ht="18" customHeight="1">
      <c r="A45" s="4" t="inlineStr">
        <is>
          <t>A6 — FONDS PROPRES (FCFA)</t>
        </is>
      </c>
    </row>
    <row r="46">
      <c r="A46" s="5" t="inlineStr">
        <is>
          <t>Composante</t>
        </is>
      </c>
      <c r="B46" s="5" t="inlineStr">
        <is>
          <t>Année N-1</t>
        </is>
      </c>
      <c r="C46" s="5" t="inlineStr">
        <is>
          <t>Année N</t>
        </is>
      </c>
      <c r="D46" s="5" t="inlineStr">
        <is>
          <t>Variation %</t>
        </is>
      </c>
    </row>
    <row r="47">
      <c r="A47" s="14" t="inlineStr">
        <is>
          <t>Capital souscrit</t>
        </is>
      </c>
      <c r="B47" s="7" t="n"/>
      <c r="C47" s="7" t="n"/>
      <c r="D47" s="8">
        <f>IFERROR((C47-B47)/ABS(B47)*100,"")</f>
        <v/>
      </c>
    </row>
    <row r="48">
      <c r="A48" s="14" t="inlineStr">
        <is>
          <t>Réserves</t>
        </is>
      </c>
      <c r="B48" s="7" t="n"/>
      <c r="C48" s="7" t="n"/>
      <c r="D48" s="8">
        <f>IFERROR((C48-B48)/ABS(B48)*100,"")</f>
        <v/>
      </c>
    </row>
    <row r="49">
      <c r="A49" s="14" t="inlineStr">
        <is>
          <t>Report à nouveau</t>
        </is>
      </c>
      <c r="B49" s="7" t="n"/>
      <c r="C49" s="7" t="n"/>
      <c r="D49" s="8">
        <f>IFERROR((C49-B49)/ABS(B49)*100,"")</f>
        <v/>
      </c>
    </row>
    <row r="50">
      <c r="A50" s="14" t="inlineStr">
        <is>
          <t>Résultat Net</t>
        </is>
      </c>
      <c r="B50" s="7" t="n"/>
      <c r="C50" s="7" t="n"/>
      <c r="D50" s="8">
        <f>IFERROR((C50-B50)/ABS(B50)*100,"")</f>
        <v/>
      </c>
    </row>
    <row r="51">
      <c r="A51" s="14" t="inlineStr">
        <is>
          <t>Dividendes versés</t>
        </is>
      </c>
      <c r="B51" s="7" t="n"/>
      <c r="C51" s="7" t="n"/>
      <c r="D51" s="8">
        <f>IFERROR((C51-B51)/ABS(B51)*100,"")</f>
        <v/>
      </c>
    </row>
    <row r="52">
      <c r="A52" s="23" t="inlineStr">
        <is>
          <t>TOTAL FONDS PROPRES</t>
        </is>
      </c>
      <c r="B52" s="25">
        <f>SUM(B47:B51)</f>
        <v/>
      </c>
      <c r="C52" s="25">
        <f>SUM(C47:C51)</f>
        <v/>
      </c>
      <c r="D52" s="12">
        <f>IFERROR((C52-B52)/ABS(B52)*100,"")</f>
        <v/>
      </c>
    </row>
    <row r="53" ht="6" customHeight="1"/>
    <row r="54" ht="18" customHeight="1">
      <c r="A54" s="4" t="inlineStr">
        <is>
          <t>A7 — NOTATION FINANCIÈRE &amp; ACTIVITÉS RÉCENTES</t>
        </is>
      </c>
    </row>
    <row r="55">
      <c r="A55" s="5" t="inlineStr">
        <is>
          <t>Indicateur</t>
        </is>
      </c>
      <c r="B55" s="5" t="inlineStr">
        <is>
          <t>Valeur</t>
        </is>
      </c>
      <c r="C55" s="5" t="inlineStr">
        <is>
          <t>Source</t>
        </is>
      </c>
      <c r="D55" s="5" t="inlineStr">
        <is>
          <t>Date rapport</t>
        </is>
      </c>
    </row>
    <row r="56">
      <c r="A56" s="14" t="inlineStr">
        <is>
          <t>Notation court terme</t>
        </is>
      </c>
      <c r="B56" s="26" t="n"/>
      <c r="C56" s="27" t="inlineStr">
        <is>
          <t>Agence de notation</t>
        </is>
      </c>
      <c r="D56" s="27" t="n"/>
    </row>
    <row r="57">
      <c r="A57" s="14" t="inlineStr">
        <is>
          <t>Notation long terme</t>
        </is>
      </c>
      <c r="B57" s="26" t="n"/>
      <c r="C57" s="27" t="inlineStr">
        <is>
          <t>Agence de notation</t>
        </is>
      </c>
      <c r="D57" s="27" t="n"/>
    </row>
    <row r="58">
      <c r="A58" s="14" t="inlineStr">
        <is>
          <t>Variation CA/PNB (trimestre)</t>
        </is>
      </c>
      <c r="B58" s="26" t="n"/>
      <c r="C58" s="27" t="inlineStr">
        <is>
          <t>RichBourse</t>
        </is>
      </c>
      <c r="D58" s="27" t="n"/>
    </row>
    <row r="59">
      <c r="A59" s="14" t="inlineStr">
        <is>
          <t>Variation Résultat Net (trimestre)</t>
        </is>
      </c>
      <c r="B59" s="26" t="n"/>
      <c r="C59" s="27" t="inlineStr">
        <is>
          <t>RichBourse</t>
        </is>
      </c>
      <c r="D59" s="27" t="n"/>
    </row>
    <row r="60" ht="6" customHeight="1"/>
    <row r="61" ht="18" customHeight="1">
      <c r="A61" s="4" t="inlineStr">
        <is>
          <t>A8 — COMPARAISON MARCHÉ BOURSIER VS ÉPARGNE</t>
        </is>
      </c>
    </row>
    <row r="62">
      <c r="A62" s="5" t="inlineStr">
        <is>
          <t>Paramètre</t>
        </is>
      </c>
      <c r="B62" s="5" t="inlineStr">
        <is>
          <t>Marché Boursier</t>
        </is>
      </c>
      <c r="C62" s="5" t="inlineStr">
        <is>
          <t>Épargne (référence)</t>
        </is>
      </c>
    </row>
    <row r="63">
      <c r="A63" s="14" t="inlineStr">
        <is>
          <t>Montant investi (FCFA)</t>
        </is>
      </c>
      <c r="B63" s="7" t="n"/>
      <c r="C63" s="7" t="n"/>
    </row>
    <row r="64">
      <c r="A64" s="14" t="inlineStr">
        <is>
          <t>Prix d'achat (FCFA)</t>
        </is>
      </c>
      <c r="B64" s="7" t="n"/>
      <c r="C64" s="7" t="n"/>
    </row>
    <row r="65">
      <c r="A65" s="14" t="inlineStr">
        <is>
          <t>CMP (prix + 1,4% frais achat)</t>
        </is>
      </c>
      <c r="B65" s="28">
        <f>IFERROR(B64*1.014,"")</f>
        <v/>
      </c>
      <c r="C65" s="21" t="n"/>
    </row>
    <row r="66">
      <c r="A66" s="14" t="inlineStr">
        <is>
          <t>Nombre de titres acquis</t>
        </is>
      </c>
      <c r="B66" s="28">
        <f>IFERROR(B63/B65,"")</f>
        <v/>
      </c>
      <c r="C66" s="21" t="n"/>
    </row>
    <row r="67">
      <c r="A67" s="14" t="inlineStr">
        <is>
          <t>Prix actuel titre (FCFA)</t>
        </is>
      </c>
      <c r="B67" s="7" t="n"/>
      <c r="C67" s="7" t="n"/>
    </row>
    <row r="68">
      <c r="A68" s="14" t="inlineStr">
        <is>
          <t>Prix net après taxe cession 1,4% (FCFA)</t>
        </is>
      </c>
      <c r="B68" s="28">
        <f>IFERROR(B67-(B67*0.014),"")</f>
        <v/>
      </c>
      <c r="C68" s="21" t="n"/>
    </row>
    <row r="69">
      <c r="A69" s="14" t="inlineStr">
        <is>
          <t>Plus-value unitaire (FCFA)</t>
        </is>
      </c>
      <c r="B69" s="28">
        <f>IFERROR(B68-B65,"")</f>
        <v/>
      </c>
      <c r="C69" s="21" t="n"/>
    </row>
    <row r="70">
      <c r="A70" s="14" t="inlineStr">
        <is>
          <t>Plus-value totale (FCFA)</t>
        </is>
      </c>
      <c r="B70" s="29">
        <f>IFERROR(B69*B66,"")</f>
        <v/>
      </c>
      <c r="C70" s="7" t="n"/>
    </row>
    <row r="71">
      <c r="A71" s="14" t="inlineStr">
        <is>
          <t>Total dividendes perçus (FCFA)</t>
        </is>
      </c>
      <c r="B71" s="29">
        <f>IFERROR(B66*C71,"")</f>
        <v/>
      </c>
      <c r="C71" s="30" t="inlineStr">
        <is>
          <t>← Total dividendes reçus par titre sur la période</t>
        </is>
      </c>
    </row>
    <row r="72">
      <c r="A72" s="14" t="inlineStr">
        <is>
          <t>Rendement total (FCFA)</t>
        </is>
      </c>
      <c r="B72" s="29">
        <f>IFERROR(B70+B71,"")</f>
        <v/>
      </c>
      <c r="C72" s="7" t="n"/>
    </row>
    <row r="73">
      <c r="A73" s="14" t="inlineStr">
        <is>
          <t>Performance (%)</t>
        </is>
      </c>
      <c r="B73" s="8">
        <f>IFERROR(B72/B63*100,"")</f>
        <v/>
      </c>
      <c r="C73" s="31" t="n"/>
    </row>
    <row r="74">
      <c r="A74" s="23" t="inlineStr">
        <is>
          <t>VERDICT</t>
        </is>
      </c>
      <c r="B74" s="32">
        <f>IFERROR(IF(B73&gt;C73,"MARCHE BOURSIER","EPARGNE"),"Saisir les donnees")</f>
        <v/>
      </c>
      <c r="C74" s="33" t="inlineStr">
        <is>
          <t>← Saisir le rendement épargne %</t>
        </is>
      </c>
    </row>
    <row r="75" ht="6" customHeight="1"/>
    <row r="76" ht="18" customHeight="1">
      <c r="A76" s="4" t="inlineStr">
        <is>
          <t>A9 — CONCLUSION ANALYSE FONDAMENTALE (texte libre)</t>
        </is>
      </c>
    </row>
    <row r="77" ht="50" customHeight="1">
      <c r="A77" s="34" t="inlineStr">
        <is>
          <t>← Saisir ici ta synthèse fondamentale : PER, valorisation, tendance CA/RN, politique dividendes, fonds propres, comparaison épargne…</t>
        </is>
      </c>
    </row>
    <row r="78"/>
    <row r="79"/>
    <row r="80" ht="6" customHeight="1"/>
    <row r="81" ht="20" customHeight="1">
      <c r="A81" s="3" t="inlineStr">
        <is>
          <t>B — ANALYSE TECHNIQUE</t>
        </is>
      </c>
    </row>
    <row r="82" ht="6" customHeight="1"/>
    <row r="83" ht="18" customHeight="1">
      <c r="A83" s="4" t="inlineStr">
        <is>
          <t>B1 — INDICATEURS TECHNIQUES (saisie manuelle depuis graphique)</t>
        </is>
      </c>
    </row>
    <row r="84">
      <c r="A84" s="5" t="inlineStr">
        <is>
          <t>Indicateur</t>
        </is>
      </c>
      <c r="B84" s="5" t="inlineStr">
        <is>
          <t>Signal observé</t>
        </is>
      </c>
      <c r="C84" s="5" t="inlineStr">
        <is>
          <t>Valeur / Niveau</t>
        </is>
      </c>
      <c r="D84" s="5" t="inlineStr">
        <is>
          <t>Points attribués</t>
        </is>
      </c>
      <c r="E84" s="5" t="inlineStr">
        <is>
          <t>Référence</t>
        </is>
      </c>
    </row>
    <row r="85">
      <c r="A85" s="14" t="inlineStr">
        <is>
          <t>Moyenne Mobile 20 jours (MM20)</t>
        </is>
      </c>
      <c r="B85" s="35" t="inlineStr">
        <is>
          <t>← Saisir signal</t>
        </is>
      </c>
      <c r="C85" s="31" t="n"/>
      <c r="D85" s="36">
        <f>IFERROR(IF(ISNUMBER(SEARCH("survente",B85)),1,IF(ISNUMBER(SEARCH("surachat",B85)),-1,0)),0)</f>
        <v/>
      </c>
      <c r="E85" s="37" t="inlineStr">
        <is>
          <t>MM20 : prix en dessous = survente</t>
        </is>
      </c>
    </row>
    <row r="86">
      <c r="A86" s="14" t="inlineStr">
        <is>
          <t>Bandes de Bollinger</t>
        </is>
      </c>
      <c r="B86" s="35" t="inlineStr">
        <is>
          <t>← Saisir signal</t>
        </is>
      </c>
      <c r="C86" s="31" t="n"/>
      <c r="D86" s="36">
        <f>IFERROR(IF(ISNUMBER(SEARCH("survente",B86)),1,IF(ISNUMBER(SEARCH("surachat",B86)),-1,0)),0)</f>
        <v/>
      </c>
      <c r="E86" s="37" t="inlineStr">
        <is>
          <t>Prix &lt; bande inf = survente</t>
        </is>
      </c>
    </row>
    <row r="87">
      <c r="A87" s="14" t="inlineStr">
        <is>
          <t>MACD</t>
        </is>
      </c>
      <c r="B87" s="35" t="inlineStr">
        <is>
          <t>← Saisir signal</t>
        </is>
      </c>
      <c r="C87" s="31" t="n"/>
      <c r="D87" s="36">
        <f>IFERROR(IF(ISNUMBER(SEARCH("survente",B87)),1,IF(ISNUMBER(SEARCH("surachat",B87)),-1,0)),0)</f>
        <v/>
      </c>
      <c r="E87" s="37" t="inlineStr">
        <is>
          <t>MACD &gt; Signal = haussier</t>
        </is>
      </c>
    </row>
    <row r="88">
      <c r="A88" s="14" t="inlineStr">
        <is>
          <t>RSI</t>
        </is>
      </c>
      <c r="B88" s="35" t="inlineStr">
        <is>
          <t>← Saisir signal</t>
        </is>
      </c>
      <c r="C88" s="31" t="n"/>
      <c r="D88" s="36">
        <f>IFERROR(IF(ISNUMBER(SEARCH("survente",B88)),1,IF(ISNUMBER(SEARCH("surachat",B88)),-1,0)),0)</f>
        <v/>
      </c>
      <c r="E88" s="37" t="inlineStr">
        <is>
          <t>RSI &lt; 30 = survente</t>
        </is>
      </c>
    </row>
    <row r="89">
      <c r="A89" s="14" t="inlineStr">
        <is>
          <t>Volume (tendance récente)</t>
        </is>
      </c>
      <c r="B89" s="35" t="inlineStr">
        <is>
          <t>← Saisir signal</t>
        </is>
      </c>
      <c r="C89" s="31" t="n"/>
      <c r="D89" s="36">
        <f>IFERROR(IF(ISNUMBER(SEARCH("survente",B89)),1,IF(ISNUMBER(SEARCH("surachat",B89)),-1,0)),0)</f>
        <v/>
      </c>
      <c r="E89" s="37" t="inlineStr">
        <is>
          <t>Volume confirme la tendance</t>
        </is>
      </c>
    </row>
    <row r="90">
      <c r="A90" s="23" t="inlineStr">
        <is>
          <t>SCORE TECHNIQUE (max 5, min -5)</t>
        </is>
      </c>
      <c r="B90" s="13" t="n"/>
      <c r="C90" s="13" t="n"/>
      <c r="D90" s="38">
        <f>SUM(D85:D89)</f>
        <v/>
      </c>
      <c r="E90" s="39">
        <f>IFERROR(IF(D90&gt;0,"Zone SURVENTE - Achat possible",IF(D90&lt;0,"Zone SURACHAT - Vente possible","NEUTRE")),"-")</f>
        <v/>
      </c>
    </row>
    <row r="91" ht="6" customHeight="1"/>
    <row r="92" ht="18" customHeight="1">
      <c r="A92" s="4" t="inlineStr">
        <is>
          <t>B2 — PRIX MÉDIANS (PM)</t>
        </is>
      </c>
    </row>
    <row r="93">
      <c r="A93" s="5" t="inlineStr">
        <is>
          <t>Horizon</t>
        </is>
      </c>
      <c r="B93" s="5" t="inlineStr">
        <is>
          <t>Plus Haut</t>
        </is>
      </c>
      <c r="C93" s="5" t="inlineStr">
        <is>
          <t>Plus Bas</t>
        </is>
      </c>
      <c r="D93" s="5" t="inlineStr">
        <is>
          <t>Prix Médian</t>
        </is>
      </c>
      <c r="E93" s="5" t="inlineStr">
        <is>
          <t>Signal (vs prix actuel)</t>
        </is>
      </c>
    </row>
    <row r="94">
      <c r="A94" s="14" t="inlineStr">
        <is>
          <t>52 semaines (1 an)</t>
        </is>
      </c>
      <c r="B94" s="7" t="n"/>
      <c r="C94" s="7" t="n"/>
      <c r="D94" s="28">
        <f>IFERROR((B94+C94)/2,"")</f>
        <v/>
      </c>
      <c r="E94" s="10">
        <f>IFERROR(IF(B24&lt;D94,"EN DESSOUS du PM - Survente","AU-DESSUS du PM - Surachat"),"-")</f>
        <v/>
      </c>
    </row>
    <row r="95">
      <c r="A95" s="14" t="inlineStr">
        <is>
          <t>2 ans</t>
        </is>
      </c>
      <c r="B95" s="7" t="n"/>
      <c r="C95" s="7" t="n"/>
      <c r="D95" s="28">
        <f>IFERROR((B95+C95)/2,"")</f>
        <v/>
      </c>
      <c r="E95" s="10">
        <f>IFERROR(IF(B24&lt;D95,"EN DESSOUS du PM - Survente","AU-DESSUS du PM - Surachat"),"-")</f>
        <v/>
      </c>
    </row>
    <row r="96" ht="6" customHeight="1"/>
    <row r="97" ht="18" customHeight="1">
      <c r="A97" s="4" t="inlineStr">
        <is>
          <t>B3 — PER ACTUALISÉ</t>
        </is>
      </c>
    </row>
    <row r="98">
      <c r="A98" s="5" t="inlineStr">
        <is>
          <t>Paramètre</t>
        </is>
      </c>
      <c r="B98" s="5" t="inlineStr">
        <is>
          <t>Valeur</t>
        </is>
      </c>
      <c r="C98" s="5" t="inlineStr">
        <is>
          <t>Source</t>
        </is>
      </c>
      <c r="D98" s="5" t="inlineStr">
        <is>
          <t>Note</t>
        </is>
      </c>
    </row>
    <row r="99">
      <c r="A99" s="14" t="inlineStr">
        <is>
          <t>Prix actuel (FCFA)</t>
        </is>
      </c>
      <c r="B99" s="29">
        <f>B24</f>
        <v/>
      </c>
      <c r="C99" s="27" t="inlineStr">
        <is>
          <t>Section A4</t>
        </is>
      </c>
      <c r="D99" s="13" t="n"/>
    </row>
    <row r="100">
      <c r="A100" s="14" t="inlineStr">
        <is>
          <t>BNPA N (FCFA)</t>
        </is>
      </c>
      <c r="B100" s="28">
        <f>B25</f>
        <v/>
      </c>
      <c r="C100" s="27" t="inlineStr">
        <is>
          <t>Section A4</t>
        </is>
      </c>
      <c r="D100" s="13" t="n"/>
    </row>
    <row r="101">
      <c r="A101" s="14" t="inlineStr">
        <is>
          <t>Évolution RN dernier trimestre (%)</t>
        </is>
      </c>
      <c r="B101" s="31" t="n"/>
      <c r="C101" s="27" t="inlineStr">
        <is>
          <t>RichBourse / Rapport</t>
        </is>
      </c>
      <c r="D101" s="13" t="n"/>
    </row>
    <row r="102">
      <c r="A102" s="14" t="inlineStr">
        <is>
          <t>BNPA actualisé (FCFA)</t>
        </is>
      </c>
      <c r="B102" s="40">
        <f>IFERROR(B100*(1+B101/100),"")</f>
        <v/>
      </c>
      <c r="C102" s="27">
        <f> BNPA x (1 + evol%)</f>
        <v/>
      </c>
      <c r="D102" s="13" t="n"/>
    </row>
    <row r="103">
      <c r="A103" s="14" t="inlineStr">
        <is>
          <t>PER actualisé</t>
        </is>
      </c>
      <c r="B103" s="41">
        <f>IFERROR(B99/B102,"")</f>
        <v/>
      </c>
      <c r="C103" s="27">
        <f> Prix / BNPA actualise</f>
        <v/>
      </c>
      <c r="D103" s="10">
        <f>IFERROR(IF(B103&gt;15,"Surevalue - Surachat",IF(B103&lt;9,"Sous-evalue - Survente","Normal (9-15)")),"-")</f>
        <v/>
      </c>
    </row>
    <row r="104" ht="6" customHeight="1"/>
    <row r="105" ht="18" customHeight="1">
      <c r="A105" s="4" t="inlineStr">
        <is>
          <t>B4 — PRIX CIBLE AUX DIVIDENDES (PCD)</t>
        </is>
      </c>
    </row>
    <row r="106" ht="25" customHeight="1">
      <c r="A106" s="42" t="inlineStr">
        <is>
          <t>Note : Le PCD n'est pertinent que si l'entreprise distribue des dividendes. Si dividende = 0, utiliser la section Gordon-Shapiro (B5).</t>
        </is>
      </c>
    </row>
    <row r="107">
      <c r="A107" s="5" t="inlineStr">
        <is>
          <t>Paramètre</t>
        </is>
      </c>
      <c r="B107" s="5" t="inlineStr">
        <is>
          <t>Valeur</t>
        </is>
      </c>
      <c r="C107" s="5" t="inlineStr">
        <is>
          <t>Formule</t>
        </is>
      </c>
      <c r="D107" s="5" t="inlineStr">
        <is>
          <t>Note</t>
        </is>
      </c>
    </row>
    <row r="108">
      <c r="A108" s="14" t="inlineStr">
        <is>
          <t>Évolution RN (%)</t>
        </is>
      </c>
      <c r="B108" s="31" t="n"/>
      <c r="C108" s="27" t="inlineStr">
        <is>
          <t>← même valeur qu'en B3</t>
        </is>
      </c>
      <c r="D108" s="13" t="n"/>
    </row>
    <row r="109">
      <c r="A109" s="14" t="inlineStr">
        <is>
          <t>Dividende brut N (FCFA)</t>
        </is>
      </c>
      <c r="B109" s="21" t="n"/>
      <c r="C109" s="27" t="inlineStr">
        <is>
          <t>← saisir le dernier dividende</t>
        </is>
      </c>
      <c r="D109" s="13" t="n"/>
    </row>
    <row r="110">
      <c r="A110" s="14" t="inlineStr">
        <is>
          <t>Dividende prévisionnel (FCFA)</t>
        </is>
      </c>
      <c r="B110" s="40">
        <f>IFERROR(IF(B109=0,"Aucun dividende",B109*(1+B108/100)),"")</f>
        <v/>
      </c>
      <c r="C110" s="27">
        <f> DVD x (1 + evol%)</f>
        <v/>
      </c>
      <c r="D110" s="13" t="n"/>
    </row>
    <row r="111">
      <c r="A111" s="14" t="inlineStr">
        <is>
          <t>Rendement sectoriel BRVM (%)</t>
        </is>
      </c>
      <c r="B111" s="43" t="n">
        <v>6.5</v>
      </c>
      <c r="C111" s="27" t="inlineStr">
        <is>
          <t>Référence : 5–8%</t>
        </is>
      </c>
      <c r="D111" s="13" t="n"/>
    </row>
    <row r="112">
      <c r="A112" s="14" t="inlineStr">
        <is>
          <t>PCD = 100 × DVD_prev / Rendement</t>
        </is>
      </c>
      <c r="B112" s="40">
        <f>IFERROR(IF(B109=0,"N/A",100*B110/B111),"")</f>
        <v/>
      </c>
      <c r="C112" s="27">
        <f> 100 x Dprev / Rend%</f>
        <v/>
      </c>
      <c r="D112" s="13" t="n"/>
    </row>
    <row r="113">
      <c r="A113" s="14" t="inlineStr">
        <is>
          <t>Zone cible basse (−5%)</t>
        </is>
      </c>
      <c r="B113" s="40">
        <f>IFERROR(IF(ISNUMBER(B112),B112*0.95,"N/A"),"")</f>
        <v/>
      </c>
      <c r="C113" s="27">
        <f> PCD x 0.95</f>
        <v/>
      </c>
      <c r="D113" s="13" t="n"/>
    </row>
    <row r="114">
      <c r="A114" s="14" t="inlineStr">
        <is>
          <t>Zone cible haute (+5%)</t>
        </is>
      </c>
      <c r="B114" s="40">
        <f>IFERROR(IF(ISNUMBER(B112),B112*1.05,"N/A"),"")</f>
        <v/>
      </c>
      <c r="C114" s="27">
        <f> PCD x 1.05</f>
        <v/>
      </c>
      <c r="D114" s="13" t="n"/>
    </row>
    <row r="115">
      <c r="A115" s="14" t="inlineStr">
        <is>
          <t>Signal (prix actuel vs zone cible)</t>
        </is>
      </c>
      <c r="B115" s="44">
        <f>IFERROR(IF(NOT(ISNUMBER(B112)),"PCD N/A (pas de dividende)",IF(B24&lt;B113,"EN DESSOUS zone cible - Survente",IF(B24&gt;B114,"AU-DESSUS zone cible - Surachat","DANS LA ZONE"))),"")</f>
        <v/>
      </c>
      <c r="C115" s="27" t="inlineStr">
        <is>
          <t>Auto</t>
        </is>
      </c>
      <c r="D115" s="13" t="n"/>
    </row>
    <row r="116" ht="6" customHeight="1"/>
    <row r="117" ht="18" customHeight="1">
      <c r="A117" s="4" t="inlineStr">
        <is>
          <t>B5 — MODÈLE DE GORDON-SHAPIRO (Prix d'entrée théorique)</t>
        </is>
      </c>
    </row>
    <row r="118">
      <c r="A118" s="45" t="inlineStr">
        <is>
          <t>P₀ = D₁ / (r − g)   |   D₁ = dividende prévu, r = taux exigé, g = taux croissance dividendes</t>
        </is>
      </c>
    </row>
    <row r="119">
      <c r="A119" s="5" t="inlineStr">
        <is>
          <t>Paramètre</t>
        </is>
      </c>
      <c r="B119" s="5" t="inlineStr">
        <is>
          <t>Valeur</t>
        </is>
      </c>
      <c r="C119" s="5" t="inlineStr">
        <is>
          <t>Formule</t>
        </is>
      </c>
      <c r="D119" s="5" t="inlineStr">
        <is>
          <t>Note</t>
        </is>
      </c>
    </row>
    <row r="120">
      <c r="A120" s="14" t="inlineStr">
        <is>
          <t>D₁ — Dividende attendu l'an prochain (FCFA)</t>
        </is>
      </c>
      <c r="B120" s="21" t="n"/>
      <c r="C120" s="27" t="inlineStr">
        <is>
          <t>← Hypothèse ou dernier DVD × (1+g)</t>
        </is>
      </c>
      <c r="D120" s="13" t="n"/>
    </row>
    <row r="121">
      <c r="A121" s="14" t="inlineStr">
        <is>
          <t>r — Taux de rentabilité exigé (%)</t>
        </is>
      </c>
      <c r="B121" s="43" t="n">
        <v>8</v>
      </c>
      <c r="C121" s="27" t="inlineStr">
        <is>
          <t>Coût du capital / rendement cible</t>
        </is>
      </c>
      <c r="D121" s="13" t="n"/>
    </row>
    <row r="122">
      <c r="A122" s="14" t="inlineStr">
        <is>
          <t>g — Taux de croissance dividendes (%)</t>
        </is>
      </c>
      <c r="B122" s="43" t="n">
        <v>2</v>
      </c>
      <c r="C122" s="27" t="inlineStr">
        <is>
          <t>Croissance annuelle supposée</t>
        </is>
      </c>
      <c r="D122" s="13" t="n"/>
    </row>
    <row r="123">
      <c r="A123" s="14" t="inlineStr">
        <is>
          <t>P₀ = D₁ / (r − g)  [Prix théorique FCFA]</t>
        </is>
      </c>
      <c r="B123" s="46">
        <f>IFERROR(IF(B120=0,"D1 non renseigne",B120/((B121/100)-(B122/100))),"")</f>
        <v/>
      </c>
      <c r="C123" s="27" t="inlineStr">
        <is>
          <t>Auto-calculé</t>
        </is>
      </c>
      <c r="D123" s="13" t="n"/>
    </row>
    <row r="124">
      <c r="A124" s="14" t="inlineStr">
        <is>
          <t>Signal (prix actuel vs P₀)</t>
        </is>
      </c>
      <c r="B124" s="47">
        <f>IFERROR(IF(NOT(ISNUMBER(B123)),"Renseigner D1",IF(B24&lt;B123*0.95,"Prix sous P0 - Opportunite achat",IF(B24&gt;B123*1.05,"Prix sur P0 - Surevalue","Dans la zone"))),"")</f>
        <v/>
      </c>
      <c r="C124" s="27" t="inlineStr">
        <is>
          <t>Auto</t>
        </is>
      </c>
      <c r="D124" s="13" t="n"/>
    </row>
    <row r="125" ht="6" customHeight="1"/>
    <row r="126" ht="18" customHeight="1">
      <c r="A126" s="4" t="inlineStr">
        <is>
          <t>B6 — GESTION DU RISQUE : STOP-LOSS &amp; RISK/REWARD</t>
        </is>
      </c>
    </row>
    <row r="127">
      <c r="A127" s="5" t="inlineStr">
        <is>
          <t>Paramètre</t>
        </is>
      </c>
      <c r="B127" s="5" t="inlineStr">
        <is>
          <t>Valeur</t>
        </is>
      </c>
      <c r="C127" s="5" t="inlineStr">
        <is>
          <t>Formule</t>
        </is>
      </c>
      <c r="D127" s="5" t="inlineStr">
        <is>
          <t>Note</t>
        </is>
      </c>
      <c r="E127" s="5" t="inlineStr">
        <is>
          <t>Signal</t>
        </is>
      </c>
    </row>
    <row r="128">
      <c r="A128" s="14" t="inlineStr">
        <is>
          <t>Prix d'achat visé (FCFA)</t>
        </is>
      </c>
      <c r="B128" s="7" t="n"/>
      <c r="C128" s="27" t="inlineStr">
        <is>
          <t>← Saisir</t>
        </is>
      </c>
      <c r="D128" s="13" t="n"/>
      <c r="E128" s="13" t="n"/>
    </row>
    <row r="129">
      <c r="A129" s="14" t="inlineStr">
        <is>
          <t>Stop-Loss (FCFA) — perte max 10%</t>
        </is>
      </c>
      <c r="B129" s="40">
        <f>IFERROR(B128*0.90,"")</f>
        <v/>
      </c>
      <c r="C129" s="27">
        <f> Prix x 0.90</f>
        <v/>
      </c>
      <c r="D129" s="13" t="n"/>
      <c r="E129" s="13" t="n"/>
    </row>
    <row r="130">
      <c r="A130" s="14" t="inlineStr">
        <is>
          <t>Objectif de prix (Take Profit) (FCFA)</t>
        </is>
      </c>
      <c r="B130" s="7" t="n"/>
      <c r="C130" s="27" t="inlineStr">
        <is>
          <t>← Saisir objectif</t>
        </is>
      </c>
      <c r="D130" s="13" t="n"/>
      <c r="E130" s="13" t="n"/>
    </row>
    <row r="131">
      <c r="A131" s="14" t="inlineStr">
        <is>
          <t>Perte potentielle (FCFA/titre)</t>
        </is>
      </c>
      <c r="B131" s="40">
        <f>IFERROR(B128-B129,"")</f>
        <v/>
      </c>
      <c r="C131" s="27">
        <f> Prix - Stop</f>
        <v/>
      </c>
      <c r="D131" s="13" t="n"/>
      <c r="E131" s="13" t="n"/>
    </row>
    <row r="132">
      <c r="A132" s="14" t="inlineStr">
        <is>
          <t>Gain potentiel (FCFA/titre)</t>
        </is>
      </c>
      <c r="B132" s="40">
        <f>IFERROR(B130-B128,"")</f>
        <v/>
      </c>
      <c r="C132" s="27">
        <f> Objectif - Prix</f>
        <v/>
      </c>
      <c r="D132" s="13" t="n"/>
      <c r="E132" s="13" t="n"/>
    </row>
    <row r="133">
      <c r="A133" s="14" t="inlineStr">
        <is>
          <t>Ratio Risk/Reward</t>
        </is>
      </c>
      <c r="B133" s="41">
        <f>IFERROR(B132/B131,"")</f>
        <v/>
      </c>
      <c r="C133" s="27">
        <f> Gain / Perte</f>
        <v/>
      </c>
      <c r="D133" s="13" t="n"/>
      <c r="E133" s="47">
        <f>IFERROR(IF(B133&gt;=2,"Bon (&gt;= 2:1)",IF(B133&gt;=1,"Acceptable (1:1)","Mauvais")),"")</f>
        <v/>
      </c>
    </row>
    <row r="134" ht="6" customHeight="1"/>
    <row r="135" ht="18" customHeight="1">
      <c r="A135" s="4" t="inlineStr">
        <is>
          <t>B7 — CONCLUSION ANALYSE TECHNIQUE (texte libre)</t>
        </is>
      </c>
    </row>
    <row r="136" ht="50" customHeight="1">
      <c r="A136" s="34" t="inlineStr">
        <is>
          <t>← Saisir ici ta synthèse technique : indicateurs, zone de prix, recommandation d'achat par palier…</t>
        </is>
      </c>
    </row>
    <row r="137"/>
    <row r="138"/>
  </sheetData>
  <mergeCells count="29">
    <mergeCell ref="A92:H92"/>
    <mergeCell ref="A83:H83"/>
    <mergeCell ref="A77:H79"/>
    <mergeCell ref="A36:H36"/>
    <mergeCell ref="A45:H45"/>
    <mergeCell ref="A1:H1"/>
    <mergeCell ref="A61:H61"/>
    <mergeCell ref="A6:H6"/>
    <mergeCell ref="C27:E27"/>
    <mergeCell ref="A54:H54"/>
    <mergeCell ref="A118:H118"/>
    <mergeCell ref="C28:E28"/>
    <mergeCell ref="A105:H105"/>
    <mergeCell ref="A136:H138"/>
    <mergeCell ref="A2:H2"/>
    <mergeCell ref="A76:H76"/>
    <mergeCell ref="A14:H14"/>
    <mergeCell ref="A126:H126"/>
    <mergeCell ref="A22:H22"/>
    <mergeCell ref="C24:E24"/>
    <mergeCell ref="A97:H97"/>
    <mergeCell ref="A4:H4"/>
    <mergeCell ref="A106:H106"/>
    <mergeCell ref="A135:H135"/>
    <mergeCell ref="A81:H81"/>
    <mergeCell ref="A10:H10"/>
    <mergeCell ref="C26:E26"/>
    <mergeCell ref="A117:H117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16" customWidth="1" min="4" max="4"/>
    <col width="20" customWidth="1" min="5" max="5"/>
  </cols>
  <sheetData>
    <row r="1" ht="20" customHeight="1">
      <c r="A1" s="1" t="inlineStr">
        <is>
          <t>TABLEAU DE BORD — SYNTHÈSE DE L'ANALYSE</t>
        </is>
      </c>
    </row>
    <row r="2" ht="20" customHeight="1">
      <c r="A2" s="48" t="inlineStr">
        <is>
          <t>Société : [NOM]   |   Date : [JJ/MM/AAAA]   |   Prix analysé : [FCFA]</t>
        </is>
      </c>
    </row>
    <row r="3" ht="6" customHeight="1"/>
    <row r="4" ht="18" customHeight="1">
      <c r="A4" s="4" t="inlineStr">
        <is>
          <t>SCORECARD FONDAMENTALE</t>
        </is>
      </c>
    </row>
    <row r="5">
      <c r="A5" s="5" t="inlineStr">
        <is>
          <t>Critère</t>
        </is>
      </c>
      <c r="B5" s="5" t="inlineStr">
        <is>
          <t>Valeur</t>
        </is>
      </c>
      <c r="C5" s="5" t="inlineStr">
        <is>
          <t>Zone normale</t>
        </is>
      </c>
      <c r="D5" s="5" t="inlineStr">
        <is>
          <t>Signal</t>
        </is>
      </c>
      <c r="E5" s="5" t="inlineStr">
        <is>
          <t>Score (0–3)</t>
        </is>
      </c>
    </row>
    <row r="6">
      <c r="A6" s="14" t="inlineStr">
        <is>
          <t>Croissance CA (N/N-4 %)</t>
        </is>
      </c>
      <c r="B6" s="49" t="inlineStr">
        <is>
          <t>← depuis feuille ETUDE</t>
        </is>
      </c>
      <c r="C6" s="11" t="inlineStr">
        <is>
          <t>&gt; 10%</t>
        </is>
      </c>
      <c r="D6" s="49" t="inlineStr">
        <is>
          <t>← Saisir signal</t>
        </is>
      </c>
      <c r="E6" s="50" t="n"/>
    </row>
    <row r="7">
      <c r="A7" s="14" t="inlineStr">
        <is>
          <t>Croissance RN (N/N-4 %)</t>
        </is>
      </c>
      <c r="B7" s="49" t="inlineStr">
        <is>
          <t>← depuis feuille ETUDE</t>
        </is>
      </c>
      <c r="C7" s="11" t="inlineStr">
        <is>
          <t>&gt; 10%</t>
        </is>
      </c>
      <c r="D7" s="49" t="inlineStr">
        <is>
          <t>← Saisir signal</t>
        </is>
      </c>
      <c r="E7" s="50" t="n"/>
    </row>
    <row r="8">
      <c r="A8" s="14" t="inlineStr">
        <is>
          <t>Marge nette moyenne (%)</t>
        </is>
      </c>
      <c r="B8" s="49" t="inlineStr">
        <is>
          <t>← depuis feuille ETUDE</t>
        </is>
      </c>
      <c r="C8" s="11" t="inlineStr">
        <is>
          <t>&gt; 5%</t>
        </is>
      </c>
      <c r="D8" s="49" t="inlineStr">
        <is>
          <t>← Saisir signal</t>
        </is>
      </c>
      <c r="E8" s="50" t="n"/>
    </row>
    <row r="9">
      <c r="A9" s="14" t="inlineStr">
        <is>
          <t>PER</t>
        </is>
      </c>
      <c r="B9" s="49" t="inlineStr">
        <is>
          <t>← depuis feuille ETUDE</t>
        </is>
      </c>
      <c r="C9" s="11" t="inlineStr">
        <is>
          <t>9 – 15</t>
        </is>
      </c>
      <c r="D9" s="49" t="inlineStr">
        <is>
          <t>← Saisir signal</t>
        </is>
      </c>
      <c r="E9" s="50" t="n"/>
    </row>
    <row r="10">
      <c r="A10" s="14" t="inlineStr">
        <is>
          <t>PBR</t>
        </is>
      </c>
      <c r="B10" s="49" t="inlineStr">
        <is>
          <t>← depuis feuille ETUDE</t>
        </is>
      </c>
      <c r="C10" s="11" t="inlineStr">
        <is>
          <t>&lt; 1 idéal</t>
        </is>
      </c>
      <c r="D10" s="49" t="inlineStr">
        <is>
          <t>← Saisir signal</t>
        </is>
      </c>
      <c r="E10" s="50" t="n"/>
    </row>
    <row r="11">
      <c r="A11" s="14" t="inlineStr">
        <is>
          <t>ROE (%)</t>
        </is>
      </c>
      <c r="B11" s="49" t="inlineStr">
        <is>
          <t>← depuis feuille ETUDE</t>
        </is>
      </c>
      <c r="C11" s="11" t="inlineStr">
        <is>
          <t>&gt; 10%</t>
        </is>
      </c>
      <c r="D11" s="49" t="inlineStr">
        <is>
          <t>← Saisir signal</t>
        </is>
      </c>
      <c r="E11" s="50" t="n"/>
    </row>
    <row r="12">
      <c r="A12" s="14" t="inlineStr">
        <is>
          <t>Rendement dividende (%)</t>
        </is>
      </c>
      <c r="B12" s="49" t="inlineStr">
        <is>
          <t>← depuis feuille ETUDE</t>
        </is>
      </c>
      <c r="C12" s="11" t="inlineStr">
        <is>
          <t>&gt; 3%</t>
        </is>
      </c>
      <c r="D12" s="49" t="inlineStr">
        <is>
          <t>← Saisir signal</t>
        </is>
      </c>
      <c r="E12" s="50" t="n"/>
    </row>
    <row r="13">
      <c r="A13" s="14" t="inlineStr">
        <is>
          <t>RVC (PER × PBR)</t>
        </is>
      </c>
      <c r="B13" s="49" t="inlineStr">
        <is>
          <t>← depuis feuille ETUDE</t>
        </is>
      </c>
      <c r="C13" s="11" t="inlineStr">
        <is>
          <t>&lt; 22</t>
        </is>
      </c>
      <c r="D13" s="49" t="inlineStr">
        <is>
          <t>← Saisir signal</t>
        </is>
      </c>
      <c r="E13" s="50" t="n"/>
    </row>
    <row r="14">
      <c r="A14" s="23" t="inlineStr">
        <is>
          <t>SCORE FONDAMENTAL TOTAL (/24)</t>
        </is>
      </c>
      <c r="B14" s="13" t="n"/>
      <c r="C14" s="13" t="n"/>
      <c r="D14" s="13" t="n"/>
      <c r="E14" s="38">
        <f>SUM(E6:E13)</f>
        <v/>
      </c>
    </row>
    <row r="15" ht="6" customHeight="1"/>
    <row r="16" ht="18" customHeight="1">
      <c r="A16" s="4" t="inlineStr">
        <is>
          <t>SCORECARD TECHNIQUE</t>
        </is>
      </c>
    </row>
    <row r="17">
      <c r="A17" s="5" t="inlineStr">
        <is>
          <t>Critère</t>
        </is>
      </c>
      <c r="B17" s="5" t="inlineStr">
        <is>
          <t>Signal observé</t>
        </is>
      </c>
      <c r="C17" s="5" t="inlineStr">
        <is>
          <t>Zone</t>
        </is>
      </c>
      <c r="D17" s="5" t="inlineStr">
        <is>
          <t>Interprétation</t>
        </is>
      </c>
      <c r="E17" s="5" t="inlineStr">
        <is>
          <t>Score</t>
        </is>
      </c>
    </row>
    <row r="18">
      <c r="A18" s="14" t="inlineStr">
        <is>
          <t>MM20 + Bollinger + MACD + RSI + Volume</t>
        </is>
      </c>
      <c r="B18" s="49" t="inlineStr">
        <is>
          <t>← Score depuis ETUDE B1</t>
        </is>
      </c>
      <c r="C18" s="11" t="inlineStr">
        <is>
          <t>−5 à +5</t>
        </is>
      </c>
      <c r="D18" s="49" t="inlineStr">
        <is>
          <t>← Saisir signal</t>
        </is>
      </c>
      <c r="E18" s="51" t="n"/>
    </row>
    <row r="19">
      <c r="A19" s="14" t="inlineStr">
        <is>
          <t>Prix Médians (PM 1 an + 2 ans)</t>
        </is>
      </c>
      <c r="B19" s="49" t="inlineStr">
        <is>
          <t>← Depuis ETUDE B2</t>
        </is>
      </c>
      <c r="C19" s="11" t="inlineStr">
        <is>
          <t>&lt; PM = survente</t>
        </is>
      </c>
      <c r="D19" s="49" t="inlineStr">
        <is>
          <t>← Saisir signal</t>
        </is>
      </c>
      <c r="E19" s="51" t="n"/>
    </row>
    <row r="20">
      <c r="A20" s="14" t="inlineStr">
        <is>
          <t>PER actualisé</t>
        </is>
      </c>
      <c r="B20" s="49" t="inlineStr">
        <is>
          <t>← Depuis ETUDE B3</t>
        </is>
      </c>
      <c r="C20" s="11" t="inlineStr">
        <is>
          <t>9–15 = normal</t>
        </is>
      </c>
      <c r="D20" s="49" t="inlineStr">
        <is>
          <t>← Saisir signal</t>
        </is>
      </c>
      <c r="E20" s="51" t="n"/>
    </row>
    <row r="21">
      <c r="A21" s="14" t="inlineStr">
        <is>
          <t>PCD / Gordon-Shapiro</t>
        </is>
      </c>
      <c r="B21" s="49" t="inlineStr">
        <is>
          <t>← Depuis ETUDE B4/B5</t>
        </is>
      </c>
      <c r="C21" s="11" t="inlineStr">
        <is>
          <t>&lt; PCD = survente</t>
        </is>
      </c>
      <c r="D21" s="49" t="inlineStr">
        <is>
          <t>← Saisir signal</t>
        </is>
      </c>
      <c r="E21" s="51" t="n"/>
    </row>
    <row r="22">
      <c r="A22" s="14" t="inlineStr">
        <is>
          <t>Risk/Reward ratio</t>
        </is>
      </c>
      <c r="B22" s="49" t="inlineStr">
        <is>
          <t>← Depuis ETUDE B6</t>
        </is>
      </c>
      <c r="C22" s="11" t="inlineStr">
        <is>
          <t>≥ 2 = bon</t>
        </is>
      </c>
      <c r="D22" s="49" t="inlineStr">
        <is>
          <t>← Saisir signal</t>
        </is>
      </c>
      <c r="E22" s="51" t="n"/>
    </row>
    <row r="23">
      <c r="A23" s="23" t="inlineStr">
        <is>
          <t>SCORE TECHNIQUE TOTAL (/15)</t>
        </is>
      </c>
      <c r="B23" s="13" t="n"/>
      <c r="C23" s="13" t="n"/>
      <c r="D23" s="13" t="n"/>
      <c r="E23" s="38">
        <f>SUM(E18:E22)</f>
        <v/>
      </c>
    </row>
    <row r="24" ht="6" customHeight="1"/>
    <row r="25" ht="18" customHeight="1">
      <c r="A25" s="52" t="inlineStr">
        <is>
          <t>VERDICT GLOBAL</t>
        </is>
      </c>
    </row>
    <row r="26">
      <c r="A26" s="5" t="inlineStr">
        <is>
          <t>Composante</t>
        </is>
      </c>
      <c r="B26" s="5" t="inlineStr">
        <is>
          <t>Score</t>
        </is>
      </c>
      <c r="C26" s="5" t="inlineStr">
        <is>
          <t>Max</t>
        </is>
      </c>
      <c r="D26" s="5" t="inlineStr">
        <is>
          <t>% atteint</t>
        </is>
      </c>
      <c r="E26" s="5" t="inlineStr">
        <is>
          <t>Appréciation</t>
        </is>
      </c>
    </row>
    <row r="27">
      <c r="A27" s="14" t="inlineStr">
        <is>
          <t>Score Fondamental</t>
        </is>
      </c>
      <c r="B27" s="38">
        <f>E14</f>
        <v/>
      </c>
      <c r="C27" s="53" t="n">
        <v>24</v>
      </c>
      <c r="D27" s="54">
        <f>IFERROR(E14/24*100,"")</f>
        <v/>
      </c>
      <c r="E27" s="26">
        <f>IFERROR(IF(E14/24&gt;=0.7,"Solide",IF(E14/24&gt;=0.5,"Moyen","Faible")),"-")</f>
        <v/>
      </c>
    </row>
    <row r="28">
      <c r="A28" s="14" t="inlineStr">
        <is>
          <t>Score Technique</t>
        </is>
      </c>
      <c r="B28" s="38">
        <f>E23</f>
        <v/>
      </c>
      <c r="C28" s="53" t="n">
        <v>15</v>
      </c>
      <c r="D28" s="54">
        <f>IFERROR(E23/15*100,"")</f>
        <v/>
      </c>
      <c r="E28" s="26">
        <f>IFERROR(IF(E23/15&gt;=0.7,"Solide",IF(E23/15&gt;=0.5,"Moyen","Faible")),"-")</f>
        <v/>
      </c>
    </row>
    <row r="29">
      <c r="A29" s="23" t="inlineStr">
        <is>
          <t>SCORE TOTAL</t>
        </is>
      </c>
      <c r="B29" s="55">
        <f>IFERROR(E14+E23,"")</f>
        <v/>
      </c>
      <c r="C29" s="56" t="n">
        <v>39</v>
      </c>
      <c r="D29" s="57">
        <f>IFERROR(B29/39*100,"")</f>
        <v/>
      </c>
      <c r="E29" s="58">
        <f>IFERROR(IF(B29/39&gt;=0.7,"ACHETER",IF(B29/39&gt;=0.5,"SURVEILLER","EVITER")),"-")</f>
        <v/>
      </c>
    </row>
    <row r="30" ht="6" customHeight="1"/>
    <row r="31" ht="18" customHeight="1">
      <c r="A31" s="4" t="inlineStr">
        <is>
          <t>RECOMMANDATION FINALE (texte libre)</t>
        </is>
      </c>
    </row>
    <row r="32" ht="60" customHeight="1">
      <c r="A32" s="34" t="inlineStr">
        <is>
          <t>← Résumer ici ta décision finale : Acheter / Surveiller / Éviter, avec justification (prix d'entrée, paliers, stop-loss, horizon).</t>
        </is>
      </c>
    </row>
    <row r="33"/>
    <row r="34"/>
    <row r="35"/>
  </sheetData>
  <mergeCells count="7">
    <mergeCell ref="A4:E4"/>
    <mergeCell ref="A2:E2"/>
    <mergeCell ref="A16:E16"/>
    <mergeCell ref="A25:E25"/>
    <mergeCell ref="A1:E1"/>
    <mergeCell ref="A31:E31"/>
    <mergeCell ref="A32:E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30" customWidth="1" min="3" max="3"/>
    <col width="25" customWidth="1" min="4" max="4"/>
  </cols>
  <sheetData>
    <row r="1" ht="20" customHeight="1">
      <c r="A1" s="1" t="inlineStr">
        <is>
          <t>PROFIL DE LA SOCIÉTÉ</t>
        </is>
      </c>
    </row>
    <row r="2" ht="6" customHeight="1"/>
    <row r="3" ht="18" customHeight="1">
      <c r="A3" s="4" t="inlineStr">
        <is>
          <t>IDENTIFICATION</t>
        </is>
      </c>
    </row>
    <row r="4">
      <c r="A4" s="14" t="inlineStr">
        <is>
          <t>Nom de la société</t>
        </is>
      </c>
      <c r="B4" s="59" t="n"/>
      <c r="C4" s="13" t="n"/>
      <c r="D4" s="13" t="n"/>
    </row>
    <row r="5">
      <c r="A5" s="14" t="inlineStr">
        <is>
          <t>Ticker BRVM</t>
        </is>
      </c>
      <c r="B5" s="59" t="n"/>
      <c r="C5" s="13" t="n"/>
      <c r="D5" s="13" t="n"/>
    </row>
    <row r="6">
      <c r="A6" s="14" t="inlineStr">
        <is>
          <t>Secteur d'activité</t>
        </is>
      </c>
      <c r="B6" s="59" t="n"/>
      <c r="C6" s="13" t="n"/>
      <c r="D6" s="13" t="n"/>
    </row>
    <row r="7">
      <c r="A7" s="14" t="inlineStr">
        <is>
          <t>Pays d'origine</t>
        </is>
      </c>
      <c r="B7" s="59" t="n"/>
      <c r="C7" s="13" t="n"/>
      <c r="D7" s="13" t="n"/>
    </row>
    <row r="8">
      <c r="A8" s="14" t="inlineStr">
        <is>
          <t>Date d'introduction en bourse</t>
        </is>
      </c>
      <c r="B8" s="59" t="n"/>
      <c r="C8" s="13" t="n"/>
      <c r="D8" s="13" t="n"/>
    </row>
    <row r="9">
      <c r="A9" s="14" t="inlineStr">
        <is>
          <t>Marché</t>
        </is>
      </c>
      <c r="B9" s="59" t="inlineStr">
        <is>
          <t>BRVM — Bourse Régionale des Valeurs Mobilières</t>
        </is>
      </c>
      <c r="C9" s="13" t="n"/>
      <c r="D9" s="13" t="n"/>
    </row>
    <row r="10" ht="6" customHeight="1"/>
    <row r="11" ht="18" customHeight="1">
      <c r="A11" s="4" t="inlineStr">
        <is>
          <t>CAPITAL &amp; ACTIONNARIAT</t>
        </is>
      </c>
    </row>
    <row r="12">
      <c r="A12" s="14" t="inlineStr">
        <is>
          <t>Capital social (FCFA)</t>
        </is>
      </c>
      <c r="B12" s="59" t="n"/>
      <c r="C12" s="13" t="n"/>
      <c r="D12" s="13" t="n"/>
    </row>
    <row r="13">
      <c r="A13" s="14" t="inlineStr">
        <is>
          <t>Nombre de titres</t>
        </is>
      </c>
      <c r="B13" s="59" t="n"/>
      <c r="C13" s="13" t="n"/>
      <c r="D13" s="13" t="n"/>
    </row>
    <row r="14">
      <c r="A14" s="14" t="inlineStr">
        <is>
          <t>Prix d'émission initial (FCFA)</t>
        </is>
      </c>
      <c r="B14" s="59" t="n"/>
      <c r="C14" s="13" t="n"/>
      <c r="D14" s="13" t="n"/>
    </row>
    <row r="15">
      <c r="A15" s="14" t="inlineStr">
        <is>
          <t>Flottant (%)</t>
        </is>
      </c>
      <c r="B15" s="59" t="n"/>
      <c r="C15" s="13" t="n"/>
      <c r="D15" s="13" t="n"/>
    </row>
    <row r="16">
      <c r="A16" s="14" t="inlineStr">
        <is>
          <t>Principaux actionnaires</t>
        </is>
      </c>
      <c r="B16" s="59" t="n"/>
      <c r="C16" s="13" t="n"/>
      <c r="D16" s="13" t="n"/>
    </row>
    <row r="17" ht="6" customHeight="1"/>
    <row r="18" ht="18" customHeight="1">
      <c r="A18" s="4" t="inlineStr">
        <is>
          <t>LIQUIDITÉ DU TITRE</t>
        </is>
      </c>
    </row>
    <row r="19">
      <c r="A19" s="14" t="inlineStr">
        <is>
          <t>Volume moyen journalier (titres)</t>
        </is>
      </c>
      <c r="B19" s="60" t="inlineStr">
        <is>
          <t>← Source : BRVM.org / RichBourse</t>
        </is>
      </c>
      <c r="C19" s="13" t="n"/>
      <c r="D19" s="13" t="n"/>
    </row>
    <row r="20">
      <c r="A20" s="14" t="inlineStr">
        <is>
          <t>Volume moyen journalier (FCFA)</t>
        </is>
      </c>
      <c r="B20" s="59" t="n"/>
      <c r="C20" s="13" t="n"/>
      <c r="D20" s="13" t="n"/>
    </row>
    <row r="21">
      <c r="A21" s="14" t="inlineStr">
        <is>
          <t>Fréquence de cotation (%)</t>
        </is>
      </c>
      <c r="B21" s="60" t="inlineStr">
        <is>
          <t>← % de séances avec transaction</t>
        </is>
      </c>
      <c r="C21" s="13" t="n"/>
      <c r="D21" s="13" t="n"/>
    </row>
    <row r="22">
      <c r="A22" s="14" t="inlineStr">
        <is>
          <t>Appréciation de la liquidité</t>
        </is>
      </c>
      <c r="B22" s="60" t="inlineStr">
        <is>
          <t>← Forte / Moyenne / Faible</t>
        </is>
      </c>
      <c r="C22" s="13" t="n"/>
      <c r="D22" s="13" t="n"/>
    </row>
    <row r="23" ht="6" customHeight="1"/>
    <row r="24" ht="18" customHeight="1">
      <c r="A24" s="4" t="inlineStr">
        <is>
          <t>NOTATION &amp; CONFORMITÉ</t>
        </is>
      </c>
    </row>
    <row r="25">
      <c r="A25" s="14" t="inlineStr">
        <is>
          <t>Agence de notation</t>
        </is>
      </c>
      <c r="B25" s="59" t="n"/>
      <c r="C25" s="13" t="n"/>
      <c r="D25" s="13" t="n"/>
    </row>
    <row r="26">
      <c r="A26" s="14" t="inlineStr">
        <is>
          <t>Note court terme</t>
        </is>
      </c>
      <c r="B26" s="59" t="n"/>
      <c r="C26" s="13" t="n"/>
      <c r="D26" s="13" t="n"/>
    </row>
    <row r="27">
      <c r="A27" s="14" t="inlineStr">
        <is>
          <t>Note long terme</t>
        </is>
      </c>
      <c r="B27" s="59" t="n"/>
      <c r="C27" s="13" t="n"/>
      <c r="D27" s="13" t="n"/>
    </row>
    <row r="28">
      <c r="A28" s="14" t="inlineStr">
        <is>
          <t>Dernière date de notation</t>
        </is>
      </c>
      <c r="B28" s="59" t="n"/>
      <c r="C28" s="13" t="n"/>
      <c r="D28" s="13" t="n"/>
    </row>
    <row r="29">
      <c r="A29" s="14" t="inlineStr">
        <is>
          <t>Dividende versé régulièrement ?</t>
        </is>
      </c>
      <c r="B29" s="60" t="inlineStr">
        <is>
          <t>← Oui / Non</t>
        </is>
      </c>
      <c r="C29" s="13" t="n"/>
      <c r="D29" s="13" t="n"/>
    </row>
    <row r="30" ht="6" customHeight="1"/>
    <row r="31" ht="18" customHeight="1">
      <c r="A31" s="4" t="inlineStr">
        <is>
          <t>SOURCES D'INFORMATION</t>
        </is>
      </c>
    </row>
    <row r="32">
      <c r="A32" s="14" t="inlineStr">
        <is>
          <t>Rapport annuel</t>
        </is>
      </c>
      <c r="B32" s="60" t="inlineStr">
        <is>
          <t>← Lien ou date</t>
        </is>
      </c>
      <c r="C32" s="13" t="n"/>
      <c r="D32" s="13" t="n"/>
    </row>
    <row r="33">
      <c r="A33" s="14" t="inlineStr">
        <is>
          <t>Rapport trimestriel</t>
        </is>
      </c>
      <c r="B33" s="59" t="n"/>
      <c r="C33" s="13" t="n"/>
      <c r="D33" s="13" t="n"/>
    </row>
    <row r="34">
      <c r="A34" s="14" t="inlineStr">
        <is>
          <t>Site de la société</t>
        </is>
      </c>
      <c r="B34" s="59" t="n"/>
      <c r="C34" s="13" t="n"/>
      <c r="D34" s="13" t="n"/>
    </row>
    <row r="35">
      <c r="A35" s="14" t="inlineStr">
        <is>
          <t>Profil RichBourse</t>
        </is>
      </c>
      <c r="B35" s="60" t="inlineStr">
        <is>
          <t>← richbourse.com</t>
        </is>
      </c>
      <c r="C35" s="13" t="n"/>
      <c r="D35" s="13" t="n"/>
    </row>
    <row r="36">
      <c r="A36" s="14" t="inlineStr">
        <is>
          <t>Profil BRVM</t>
        </is>
      </c>
      <c r="B36" s="60" t="inlineStr">
        <is>
          <t>← brvm.org</t>
        </is>
      </c>
      <c r="C36" s="13" t="n"/>
      <c r="D36" s="13" t="n"/>
    </row>
    <row r="37" ht="6" customHeight="1"/>
  </sheetData>
  <mergeCells count="6">
    <mergeCell ref="A1:D1"/>
    <mergeCell ref="A18:D18"/>
    <mergeCell ref="A31:D31"/>
    <mergeCell ref="A3:D3"/>
    <mergeCell ref="A24:D24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40" customWidth="1" min="4" max="4"/>
  </cols>
  <sheetData>
    <row r="1" ht="20" customHeight="1">
      <c r="A1" s="1" t="inlineStr">
        <is>
          <t>RÉFÉRENTIEL DES FORMULES &amp; INDICATEURS BRVM</t>
        </is>
      </c>
    </row>
    <row r="2" ht="6" customHeight="1"/>
    <row r="3">
      <c r="A3" s="5" t="inlineStr">
        <is>
          <t>Indicateur / Formule</t>
        </is>
      </c>
      <c r="B3" s="5" t="inlineStr">
        <is>
          <t>Expression mathématique</t>
        </is>
      </c>
      <c r="C3" s="5" t="inlineStr">
        <is>
          <t>Unité</t>
        </is>
      </c>
      <c r="D3" s="5" t="inlineStr">
        <is>
          <t>Interprétation / Seuils</t>
        </is>
      </c>
    </row>
    <row r="4" ht="18" customHeight="1">
      <c r="A4" s="4" t="inlineStr">
        <is>
          <t>ANALYSE FONDAMENTALE</t>
        </is>
      </c>
    </row>
    <row r="5" ht="28" customHeight="1">
      <c r="A5" s="23" t="inlineStr">
        <is>
          <t>Croissance N/N-4</t>
        </is>
      </c>
      <c r="B5" s="61" t="inlineStr">
        <is>
          <t>(N − N-4) / |N-4| × 100</t>
        </is>
      </c>
      <c r="C5" s="27" t="inlineStr">
        <is>
          <t>%</t>
        </is>
      </c>
      <c r="D5" s="62" t="inlineStr">
        <is>
          <t>Comparer le CA ou RN sur 5 ans. Positif = croissance.</t>
        </is>
      </c>
    </row>
    <row r="6" ht="28" customHeight="1">
      <c r="A6" s="23" t="inlineStr">
        <is>
          <t>TCAM (CAGR)</t>
        </is>
      </c>
      <c r="B6" s="61" t="inlineStr">
        <is>
          <t>(N / N-4)^(1/4) − 1</t>
        </is>
      </c>
      <c r="C6" s="27" t="inlineStr">
        <is>
          <t>%</t>
        </is>
      </c>
      <c r="D6" s="62" t="inlineStr">
        <is>
          <t>Taux de Croissance Annuel Moyen sur 4 ans.</t>
        </is>
      </c>
    </row>
    <row r="7" ht="28" customHeight="1">
      <c r="A7" s="23" t="inlineStr">
        <is>
          <t>Marge Nette</t>
        </is>
      </c>
      <c r="B7" s="61" t="inlineStr">
        <is>
          <t>RN / CA × 100</t>
        </is>
      </c>
      <c r="C7" s="27" t="inlineStr">
        <is>
          <t>%</t>
        </is>
      </c>
      <c r="D7" s="62" t="inlineStr">
        <is>
          <t>&lt; 2% = faible | 2–5% = moyen | &gt; 5% = bon | &gt; 10% = très bon</t>
        </is>
      </c>
    </row>
    <row r="8" ht="28" customHeight="1">
      <c r="A8" s="23" t="inlineStr">
        <is>
          <t>PER</t>
        </is>
      </c>
      <c r="B8" s="61" t="inlineStr">
        <is>
          <t>Prix / BNPA</t>
        </is>
      </c>
      <c r="C8" s="27" t="inlineStr">
        <is>
          <t>fois</t>
        </is>
      </c>
      <c r="D8" s="62" t="inlineStr">
        <is>
          <t>Zone normale BRVM : 9–15. &gt; 15 = surévalué, &lt; 9 = sous-évalué</t>
        </is>
      </c>
    </row>
    <row r="9" ht="28" customHeight="1">
      <c r="A9" s="23" t="inlineStr">
        <is>
          <t>VMC (Valeur Mathématique Comptable)</t>
        </is>
      </c>
      <c r="B9" s="61" t="inlineStr">
        <is>
          <t>Capitaux Propres / Nb titres</t>
        </is>
      </c>
      <c r="C9" s="27" t="inlineStr">
        <is>
          <t>FCFA</t>
        </is>
      </c>
      <c r="D9" s="62" t="inlineStr">
        <is>
          <t>Prix &lt; VMC = action décotée (achat potentiellement intéressant)</t>
        </is>
      </c>
    </row>
    <row r="10" ht="28" customHeight="1">
      <c r="A10" s="23" t="inlineStr">
        <is>
          <t>PBR (Price to Book)</t>
        </is>
      </c>
      <c r="B10" s="61" t="inlineStr">
        <is>
          <t>Capitalisation / Capitaux Propres</t>
        </is>
      </c>
      <c r="C10" s="27" t="inlineStr">
        <is>
          <t>fois</t>
        </is>
      </c>
      <c r="D10" s="62" t="inlineStr">
        <is>
          <t>&lt; 1 = décote sur actif net | &gt; 2 = prime significative</t>
        </is>
      </c>
    </row>
    <row r="11" ht="28" customHeight="1">
      <c r="A11" s="23" t="inlineStr">
        <is>
          <t>ROE (Return on Equity)</t>
        </is>
      </c>
      <c r="B11" s="61" t="inlineStr">
        <is>
          <t>RN / Capitaux Propres × 100</t>
        </is>
      </c>
      <c r="C11" s="27" t="inlineStr">
        <is>
          <t>%</t>
        </is>
      </c>
      <c r="D11" s="62" t="inlineStr">
        <is>
          <t>&lt; 5% = faible | 5–10% = moyen | 10–15% = bon | &gt; 15% = excellent</t>
        </is>
      </c>
    </row>
    <row r="12" ht="28" customHeight="1">
      <c r="A12" s="23" t="inlineStr">
        <is>
          <t>RVC</t>
        </is>
      </c>
      <c r="B12" s="61" t="inlineStr">
        <is>
          <t>PER × PBR</t>
        </is>
      </c>
      <c r="C12" s="27" t="inlineStr"/>
      <c r="D12" s="62" t="inlineStr">
        <is>
          <t>&lt; 22 = décote globale (Lynch). Indicateur de sous-valorisation composite.</t>
        </is>
      </c>
    </row>
    <row r="13" ht="28" customHeight="1">
      <c r="A13" s="23" t="inlineStr">
        <is>
          <t>Taux de distribution</t>
        </is>
      </c>
      <c r="B13" s="61" t="inlineStr">
        <is>
          <t>DVD / (BNPA × 0.85) × 100</t>
        </is>
      </c>
      <c r="C13" s="27" t="inlineStr">
        <is>
          <t>%</t>
        </is>
      </c>
      <c r="D13" s="62" t="inlineStr">
        <is>
          <t>0.85 = précompte 15% (BRVM). &gt; 100% = distribution &gt; bénéfice.</t>
        </is>
      </c>
    </row>
    <row r="14" ht="28" customHeight="1">
      <c r="A14" s="23" t="inlineStr">
        <is>
          <t>Rendement dividende (Yield)</t>
        </is>
      </c>
      <c r="B14" s="61" t="inlineStr">
        <is>
          <t>Dividende / Prix × 100</t>
        </is>
      </c>
      <c r="C14" s="27" t="inlineStr">
        <is>
          <t>%</t>
        </is>
      </c>
      <c r="D14" s="62" t="inlineStr">
        <is>
          <t>&lt; 2% = faible | 2–5% = bon | &gt; 5% = très attractif pour revenus</t>
        </is>
      </c>
    </row>
    <row r="15" ht="18" customHeight="1">
      <c r="A15" s="4" t="inlineStr">
        <is>
          <t>ANALYSE TECHNIQUE</t>
        </is>
      </c>
    </row>
    <row r="16" ht="28" customHeight="1">
      <c r="A16" s="23" t="inlineStr">
        <is>
          <t>Prix Médian (PM)</t>
        </is>
      </c>
      <c r="B16" s="61" t="inlineStr">
        <is>
          <t>(Plus Haut + Plus Bas) / 2</t>
        </is>
      </c>
      <c r="C16" s="27" t="inlineStr">
        <is>
          <t>FCFA</t>
        </is>
      </c>
      <c r="D16" s="62" t="inlineStr">
        <is>
          <t>Prix &lt; PM = zone survente. Calculer sur 1 an ET 2 ans séparément.</t>
        </is>
      </c>
    </row>
    <row r="17" ht="28" customHeight="1">
      <c r="A17" s="23" t="inlineStr">
        <is>
          <t>RSI</t>
        </is>
      </c>
      <c r="B17" s="61" t="inlineStr">
        <is>
          <t>Calculé sur graphique</t>
        </is>
      </c>
      <c r="C17" s="27" t="inlineStr"/>
      <c r="D17" s="62" t="inlineStr">
        <is>
          <t>&lt; 30 = survente | 30–70 = neutre | &gt; 70 = surachat</t>
        </is>
      </c>
    </row>
    <row r="18" ht="28" customHeight="1">
      <c r="A18" s="23" t="inlineStr">
        <is>
          <t>MACD</t>
        </is>
      </c>
      <c r="B18" s="61" t="inlineStr">
        <is>
          <t>Calculé sur graphique</t>
        </is>
      </c>
      <c r="C18" s="27" t="inlineStr"/>
      <c r="D18" s="62" t="inlineStr">
        <is>
          <t>MACD &gt; Signal = signal haussier (survente si récemment croisé à la hausse)</t>
        </is>
      </c>
    </row>
    <row r="19" ht="28" customHeight="1">
      <c r="A19" s="23" t="inlineStr">
        <is>
          <t>Bandes de Bollinger</t>
        </is>
      </c>
      <c r="B19" s="61" t="inlineStr">
        <is>
          <t>Calculé sur graphique</t>
        </is>
      </c>
      <c r="C19" s="27" t="inlineStr"/>
      <c r="D19" s="62" t="inlineStr">
        <is>
          <t>Prix sous bande inférieure = survente | Au-dessus bande sup = surachat</t>
        </is>
      </c>
    </row>
    <row r="20" ht="28" customHeight="1">
      <c r="A20" s="23" t="inlineStr">
        <is>
          <t>PER actualisé</t>
        </is>
      </c>
      <c r="B20" s="61" t="inlineStr">
        <is>
          <t>Prix / BNPA × (1 + évol RN%)</t>
        </is>
      </c>
      <c r="C20" s="27" t="inlineStr">
        <is>
          <t>fois</t>
        </is>
      </c>
      <c r="D20" s="62" t="inlineStr">
        <is>
          <t>Intègre la dernière variation du RN pour estimer le PER forward</t>
        </is>
      </c>
    </row>
    <row r="21" ht="28" customHeight="1">
      <c r="A21" s="23" t="inlineStr">
        <is>
          <t>PCD (Prix Cible Dividendes)</t>
        </is>
      </c>
      <c r="B21" s="61" t="inlineStr">
        <is>
          <t>100 × DVD_prév / Rendement_secteur%</t>
        </is>
      </c>
      <c r="C21" s="27" t="inlineStr">
        <is>
          <t>FCFA</t>
        </is>
      </c>
      <c r="D21" s="62" t="inlineStr">
        <is>
          <t>Rendement sectoriel BRVM : 5–8%. Ne s'applique que si dividende &gt; 0.</t>
        </is>
      </c>
    </row>
    <row r="22" ht="28" customHeight="1">
      <c r="A22" s="23" t="inlineStr">
        <is>
          <t>Gordon-Shapiro</t>
        </is>
      </c>
      <c r="B22" s="61" t="inlineStr">
        <is>
          <t>P₀ = D₁ / (r − g)</t>
        </is>
      </c>
      <c r="C22" s="27" t="inlineStr">
        <is>
          <t>FCFA</t>
        </is>
      </c>
      <c r="D22" s="62" t="inlineStr">
        <is>
          <t>D₁ = dividende attendu | r = taux exigé | g = croissance dividendes</t>
        </is>
      </c>
    </row>
    <row r="23" ht="18" customHeight="1">
      <c r="A23" s="4" t="inlineStr">
        <is>
          <t>GESTION DU RISQUE</t>
        </is>
      </c>
    </row>
    <row r="24" ht="28" customHeight="1">
      <c r="A24" s="23" t="inlineStr">
        <is>
          <t>Stop-Loss (10%)</t>
        </is>
      </c>
      <c r="B24" s="61" t="inlineStr">
        <is>
          <t>Prix d'achat × 0.90</t>
        </is>
      </c>
      <c r="C24" s="27" t="inlineStr">
        <is>
          <t>FCFA</t>
        </is>
      </c>
      <c r="D24" s="62" t="inlineStr">
        <is>
          <t>Limite de perte acceptable. Adapter selon profil de risque.</t>
        </is>
      </c>
    </row>
    <row r="25" ht="28" customHeight="1">
      <c r="A25" s="23" t="inlineStr">
        <is>
          <t>Risk/Reward</t>
        </is>
      </c>
      <c r="B25" s="61" t="inlineStr">
        <is>
          <t>Gain potentiel / Perte potentielle</t>
        </is>
      </c>
      <c r="C25" s="27" t="inlineStr">
        <is>
          <t>ratio</t>
        </is>
      </c>
      <c r="D25" s="62" t="inlineStr">
        <is>
          <t>&lt; 1 = mauvais | 1–2 = acceptable | ≥ 2 = bon</t>
        </is>
      </c>
    </row>
    <row r="26" ht="28" customHeight="1">
      <c r="A26" s="23" t="inlineStr">
        <is>
          <t>CMP (Coût Moyen Pondéré)</t>
        </is>
      </c>
      <c r="B26" s="61" t="inlineStr">
        <is>
          <t>Prix × 1.014</t>
        </is>
      </c>
      <c r="C26" s="27" t="inlineStr">
        <is>
          <t>FCFA</t>
        </is>
      </c>
      <c r="D26" s="62" t="inlineStr">
        <is>
          <t>Intègre la commission d'achat BRVM de 1.4%</t>
        </is>
      </c>
    </row>
    <row r="27" ht="28" customHeight="1">
      <c r="A27" s="23" t="inlineStr">
        <is>
          <t>Taxe de cession</t>
        </is>
      </c>
      <c r="B27" s="61" t="inlineStr">
        <is>
          <t>Prix × 1.4%</t>
        </is>
      </c>
      <c r="C27" s="27" t="inlineStr">
        <is>
          <t>FCFA</t>
        </is>
      </c>
      <c r="D27" s="62" t="inlineStr">
        <is>
          <t>Taxe applicable à la vente sur BRVM.</t>
        </is>
      </c>
    </row>
  </sheetData>
  <mergeCells count="4">
    <mergeCell ref="A1:D1"/>
    <mergeCell ref="A23:D23"/>
    <mergeCell ref="A4:D4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2026-05-12T22:04:10Z</dcterms:created>
  <dcterms:modified xsi:type="dcterms:W3CDTF">2026-05-12T22:04:10Z</dcterms:modified>
</cp:coreProperties>
</file>