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UDE" sheetId="1" r:id="rId1"/>
    <sheet name="SYNTHESE" sheetId="2" r:id="rId2"/>
    <sheet name="PROFIL" sheetId="3" r:id="rId3"/>
    <sheet name="FORMULE" sheetId="4" r:id="rId4"/>
  </sheets>
  <calcPr calcId="124519" fullCalcOnLoad="1"/>
</workbook>
</file>

<file path=xl/sharedStrings.xml><?xml version="1.0" encoding="utf-8"?>
<sst xmlns="http://schemas.openxmlformats.org/spreadsheetml/2006/main" count="480" uniqueCount="380">
  <si>
    <t>A — ANALYSE FONDAMENTALE</t>
  </si>
  <si>
    <t>A1 — CHIFFRE D'AFFAIRES ou PRODUIT NET BANCAIRE (en millions FCFA)</t>
  </si>
  <si>
    <t>N-4</t>
  </si>
  <si>
    <t>N-3</t>
  </si>
  <si>
    <t>N-2</t>
  </si>
  <si>
    <t>N-1</t>
  </si>
  <si>
    <t>N (dernier)</t>
  </si>
  <si>
    <t>Croissance N/N-4 %</t>
  </si>
  <si>
    <t>TCAM 4 ans %</t>
  </si>
  <si>
    <t>CA / PNB</t>
  </si>
  <si>
    <t>A2 — RESULTAT NET (en millions FCFA)</t>
  </si>
  <si>
    <t>Resultat Net</t>
  </si>
  <si>
    <t>A3 — MARGE NETTE (RN / CA x 100) — 5 dernieres annees</t>
  </si>
  <si>
    <t>Annee</t>
  </si>
  <si>
    <t>RN (M FCFA)</t>
  </si>
  <si>
    <t>CA/PNB (M FCFA)</t>
  </si>
  <si>
    <t>Marge %</t>
  </si>
  <si>
    <t>Interpretation</t>
  </si>
  <si>
    <t>Seuil</t>
  </si>
  <si>
    <t>Moyenne 5 ans %</t>
  </si>
  <si>
    <t>&gt; 5% = bon</t>
  </si>
  <si>
    <t>N</t>
  </si>
  <si>
    <t>A4 — INDICATEURS DE VALORISATION</t>
  </si>
  <si>
    <t>Indicateur [formule]</t>
  </si>
  <si>
    <t>Valeur calculee</t>
  </si>
  <si>
    <t>Zone reference</t>
  </si>
  <si>
    <t>Signal</t>
  </si>
  <si>
    <t>Prix actuel de l'action (FCFA)</t>
  </si>
  <si>
    <t>&lt;-- Saisir le prix actuel</t>
  </si>
  <si>
    <t>BNPA — Benefice Net Par Action (FCFA)</t>
  </si>
  <si>
    <t>&lt;-- RN / Nb titres (rapport annuel)</t>
  </si>
  <si>
    <t>Capitaux Propres (FCFA)</t>
  </si>
  <si>
    <t>&lt;-- Bilan comptable</t>
  </si>
  <si>
    <t>Capitalisation boursiere (FCFA)</t>
  </si>
  <si>
    <t>&lt;-- Prix x Nb titres</t>
  </si>
  <si>
    <t>Nombre de titres en circulation</t>
  </si>
  <si>
    <t>&lt;-- Auto depuis PROFIL onglet (Capital &amp; Actionnariat)</t>
  </si>
  <si>
    <t>PER — Price Earning Ratio  [= Prix / BNPA]</t>
  </si>
  <si>
    <t>Zone : 9-15</t>
  </si>
  <si>
    <t>VMC — Valeur Mathematique Comptable  [= Capitaux Propres / Nb titres]</t>
  </si>
  <si>
    <t>Prix &lt; VMC = bon</t>
  </si>
  <si>
    <t>PBR — Price to Book Ratio  [= Capitalisation / Capitaux Propres]</t>
  </si>
  <si>
    <t>&lt; 1 = decote</t>
  </si>
  <si>
    <t>ROE — Return on Equity (%)  [= RN / Capitaux Propres x 100]</t>
  </si>
  <si>
    <t>&gt; 10% = bon</t>
  </si>
  <si>
    <t>RVC — PER x PBR (Lynch)  [= PER x PBR]</t>
  </si>
  <si>
    <t>&lt; 22 = decote</t>
  </si>
  <si>
    <t>A5 — DIVIDENDES &amp; TAUX DE DISTRIBUTION</t>
  </si>
  <si>
    <t>Dividende NET recu (FCFA)</t>
  </si>
  <si>
    <t>BNPA (FCFA)</t>
  </si>
  <si>
    <t>Taux distrib. %</t>
  </si>
  <si>
    <t>Rendement %</t>
  </si>
  <si>
    <t>Progression %</t>
  </si>
  <si>
    <t>Dividende NET = montant effectivement recu apres prelevement 15% a la source. Taux distribution = (Div NET / 0,85) / BNPA x 100  (reconstitution du brut)</t>
  </si>
  <si>
    <t>TOTAL / MOYENNE</t>
  </si>
  <si>
    <t>A6 — FONDS PROPRES (FCFA)</t>
  </si>
  <si>
    <t>Composante</t>
  </si>
  <si>
    <t>Annee N-1</t>
  </si>
  <si>
    <t>Annee N</t>
  </si>
  <si>
    <t>Variation %</t>
  </si>
  <si>
    <t>Capital souscrit</t>
  </si>
  <si>
    <t>Reserves</t>
  </si>
  <si>
    <t>Report a nouveau</t>
  </si>
  <si>
    <t>Dividendes verses</t>
  </si>
  <si>
    <t>TOTAL FONDS PROPRES</t>
  </si>
  <si>
    <t>A7 — NOTATION FINANCIERE &amp; ACTIVITES RECENTES</t>
  </si>
  <si>
    <t>Indicateur</t>
  </si>
  <si>
    <t>Valeur</t>
  </si>
  <si>
    <t>Source</t>
  </si>
  <si>
    <t>Date rapport</t>
  </si>
  <si>
    <t>Notation court terme</t>
  </si>
  <si>
    <t>A1</t>
  </si>
  <si>
    <t>Agence de notation</t>
  </si>
  <si>
    <t>Notation long terme</t>
  </si>
  <si>
    <t>A+</t>
  </si>
  <si>
    <t>Variation CA/PNB (dernier trimestre)</t>
  </si>
  <si>
    <t>RichBourse</t>
  </si>
  <si>
    <t>Variation Resultat Net (dernier trimestre)</t>
  </si>
  <si>
    <t>A8 — COMPARAISON MARCHE BOURSIER VS EPARGNE</t>
  </si>
  <si>
    <t>Parametre</t>
  </si>
  <si>
    <t>Marche Boursier</t>
  </si>
  <si>
    <t>Epargne (saisir rendement %)</t>
  </si>
  <si>
    <t>Montant investi (FCFA)</t>
  </si>
  <si>
    <t>Prix d'achat historique (FCFA)</t>
  </si>
  <si>
    <t>CMP = Prix x 1,014 (frais 1,4%)</t>
  </si>
  <si>
    <t>Nombre de titres acquis</t>
  </si>
  <si>
    <t>Prix actuel du titre (FCFA)</t>
  </si>
  <si>
    <t>Prix net apres taxe cession 1,4% (FCFA)</t>
  </si>
  <si>
    <t>Plus-value unitaire (FCFA)</t>
  </si>
  <si>
    <t>Plus-value totale (FCFA)</t>
  </si>
  <si>
    <t>Total dividendes recus par titre (FCFA)</t>
  </si>
  <si>
    <t>Rendement dividendes total (FCFA)</t>
  </si>
  <si>
    <t>RENDEMENT TOTAL (FCFA)</t>
  </si>
  <si>
    <t>PERFORMANCE (%)</t>
  </si>
  <si>
    <t>VERDICT</t>
  </si>
  <si>
    <t>&lt;-- Saisir rendement epargne % ici</t>
  </si>
  <si>
    <t>A9 — CONCLUSION ANALYSE FONDAMENTALE (texte libre)</t>
  </si>
  <si>
    <t>B — ANALYSE TECHNIQUE</t>
  </si>
  <si>
    <t>B1 — INDICATEURS TECHNIQUES (saisie depuis graphique)</t>
  </si>
  <si>
    <t>Signal observe</t>
  </si>
  <si>
    <t>Valeur / Niveau</t>
  </si>
  <si>
    <t>Score auto</t>
  </si>
  <si>
    <t>Reference</t>
  </si>
  <si>
    <t>Moyenne Mobile 20 jours (MM20)</t>
  </si>
  <si>
    <t>&lt;-- Saisir signal</t>
  </si>
  <si>
    <t>Zone de survente : cours EN DESSOUS de la MM20</t>
  </si>
  <si>
    <t>Bandes de Bollinger</t>
  </si>
  <si>
    <t>Zone de survente : cours touche la bande inferieure</t>
  </si>
  <si>
    <t>MACD</t>
  </si>
  <si>
    <t>Zone de survente : MACD croise Signal a la hausse</t>
  </si>
  <si>
    <t>RSI (saisir valeur en col C)</t>
  </si>
  <si>
    <t>&lt; 30 survente | 30-70 neutre | &gt; 70 surachat</t>
  </si>
  <si>
    <t>Volume (tendance recente)</t>
  </si>
  <si>
    <t>Volume croissant sur baisse = accumulation = survente</t>
  </si>
  <si>
    <t>SCORE TECHNIQUE (max +5 / min -5)</t>
  </si>
  <si>
    <t>B2 — PRIX MEDIANS (PM)</t>
  </si>
  <si>
    <t>Horizon</t>
  </si>
  <si>
    <t>Plus Haut (FCFA)</t>
  </si>
  <si>
    <t>Plus Bas (FCFA)</t>
  </si>
  <si>
    <t>Prix Median</t>
  </si>
  <si>
    <t>Signal (vs prix actuel B24)</t>
  </si>
  <si>
    <t>52 semaines (1 an)</t>
  </si>
  <si>
    <t>2 ans</t>
  </si>
  <si>
    <t>B3 — PER ACTUALISE (integre la derniere evolution du RN)</t>
  </si>
  <si>
    <t>Source / Formule</t>
  </si>
  <si>
    <t>Prix actuel (FCFA)</t>
  </si>
  <si>
    <t>Lie a B24</t>
  </si>
  <si>
    <t>BNPA N (FCFA)</t>
  </si>
  <si>
    <t>Lie a B25</t>
  </si>
  <si>
    <t>Evolution RN dernier trimestre (%)</t>
  </si>
  <si>
    <t>RichBourse / Rapport trimestriel</t>
  </si>
  <si>
    <t>BNPA actualise (FCFA)</t>
  </si>
  <si>
    <t>= BNPA x (1 + evol%)</t>
  </si>
  <si>
    <t>PER actualise</t>
  </si>
  <si>
    <t>= Prix / BNPA actualise</t>
  </si>
  <si>
    <t>B4 — PRIX CIBLE AUX DIVIDENDES (PCD)</t>
  </si>
  <si>
    <t>Note : Le PCD n'est pertinent que si l'entreprise verse des dividendes. Si dividende = 0, utiliser B5 (Gordon-Shapiro).</t>
  </si>
  <si>
    <t>Formule</t>
  </si>
  <si>
    <t>Evolution RN (%)</t>
  </si>
  <si>
    <t>Meme valeur qu'en B3</t>
  </si>
  <si>
    <t>Dividende brut N (FCFA)</t>
  </si>
  <si>
    <t>&lt;-- Saisir le dernier dividende verse</t>
  </si>
  <si>
    <t>Dividende previsionnel (FCFA)</t>
  </si>
  <si>
    <t>= Dividende x (1 + evol%)</t>
  </si>
  <si>
    <t>Rendement sectoriel BRVM (%)</t>
  </si>
  <si>
    <t>Reference : 5-8% (modifiable)</t>
  </si>
  <si>
    <t>PCD = 100 x DVD_prev / Rendement</t>
  </si>
  <si>
    <t>= 100 x Dprev / Rendement%</t>
  </si>
  <si>
    <t>Zone cible basse (-5%)</t>
  </si>
  <si>
    <t>= PCD x 0.95</t>
  </si>
  <si>
    <t>Zone cible haute (+5%)</t>
  </si>
  <si>
    <t>= PCD x 1.05</t>
  </si>
  <si>
    <t>Signal (prix B24 vs zone cible)</t>
  </si>
  <si>
    <t>Calcul automatique</t>
  </si>
  <si>
    <t>B5 — MODELE DE GORDON-SHAPIRO   P0 = D1 / (r - g)</t>
  </si>
  <si>
    <t>D1 = dividende attendu l'an prochain | r = taux exige | g = taux croissance dividendes</t>
  </si>
  <si>
    <t>Note</t>
  </si>
  <si>
    <t>D1 - Dividende attendu (FCFA)</t>
  </si>
  <si>
    <t>&lt;-- Hypothese ou dernier DVD x (1+g)</t>
  </si>
  <si>
    <t>r - Taux de rentabilite exige (%)</t>
  </si>
  <si>
    <t>Cout du capital / rendement cible (ex: 8%)</t>
  </si>
  <si>
    <t>g - Taux de croissance DVD (%)</t>
  </si>
  <si>
    <t>Croissance annuelle supposee (ex: 2%)</t>
  </si>
  <si>
    <t>P0 = D1 / (r - g)  [FCFA]</t>
  </si>
  <si>
    <t>Prix theorique calcule automatiquement</t>
  </si>
  <si>
    <t>Signal prix actuel vs P0</t>
  </si>
  <si>
    <t>B6 — GESTION DU RISQUE : STOP-LOSS &amp; RISK/REWARD</t>
  </si>
  <si>
    <t>Formule/Note</t>
  </si>
  <si>
    <t>Prix d'achat vise (FCFA)</t>
  </si>
  <si>
    <t>&lt;-- Saisir prix entree prevue</t>
  </si>
  <si>
    <t>Stop-Loss = Prix x 0,90 (FCFA)</t>
  </si>
  <si>
    <t>= Prix x 0.90 (perte max 10%)</t>
  </si>
  <si>
    <t>Objectif Take Profit (FCFA)</t>
  </si>
  <si>
    <t>&lt;-- Saisir objectif de prix</t>
  </si>
  <si>
    <t>Perte potentielle / titre (FCFA)</t>
  </si>
  <si>
    <t>= Prix - Stop</t>
  </si>
  <si>
    <t>Gain potentiel / titre (FCFA)</t>
  </si>
  <si>
    <t>= Objectif - Prix</t>
  </si>
  <si>
    <t>Ratio Risk / Reward</t>
  </si>
  <si>
    <t>= Gain / Perte  (objectif &gt;= 2)</t>
  </si>
  <si>
    <t>B7 — CONCLUSION ANALYSE TECHNIQUE (texte libre)</t>
  </si>
  <si>
    <t>C — ANALYSE CONTRARIAN &amp; OPPORTUNITES DE MARCHE</t>
  </si>
  <si>
    <t>C1 — NORMALISATION DU RESULTAT NET  (recurrent vs exceptionnel)</t>
  </si>
  <si>
    <t>Saisir les elements exceptionnels (positifs = booste le RN, negatifs = penalise le RN). Un mauvais RN publie mais un RN recurrent positif = opportunite contrarian.</t>
  </si>
  <si>
    <t>RN Publie (M FCFA)</t>
  </si>
  <si>
    <t>Dont Exceptionnel (M FCFA)</t>
  </si>
  <si>
    <t>RN Recurrent (M FCFA)</t>
  </si>
  <si>
    <t>Marge Recurrente %</t>
  </si>
  <si>
    <t>BNPA Recurrent N (FCFA)</t>
  </si>
  <si>
    <t>PER Normalise</t>
  </si>
  <si>
    <t>Signal Normalisation RN</t>
  </si>
  <si>
    <t>C2 — COMPARAISON SECTORIELLE BRVM</t>
  </si>
  <si>
    <t>Reference marche</t>
  </si>
  <si>
    <t>Ecart %</t>
  </si>
  <si>
    <t>PER sectoriel moyen BRVM (reference)</t>
  </si>
  <si>
    <t>&lt;-- Auto depuis PROFIL!B5 | Banque~10, Industrie~13, Distribution~14, Telecom~8</t>
  </si>
  <si>
    <t>Rendement dividende sectoriel BRVM (%)</t>
  </si>
  <si>
    <t>&lt;-- Marche BRVM: 4 - 6% en moyenne</t>
  </si>
  <si>
    <t>PER action vs sectoriel</t>
  </si>
  <si>
    <t>Rendement div. action vs sectoriel</t>
  </si>
  <si>
    <t>C3 — FIABILITE DU DIVIDENDE (5 ANS)</t>
  </si>
  <si>
    <t>Score /3</t>
  </si>
  <si>
    <t>Nb annees avec dividende verse (sur 5)</t>
  </si>
  <si>
    <t>CAGR dividende 5 ans (croissance annuelle)</t>
  </si>
  <si>
    <t>SCORE FIABILITE DIVIDENDE</t>
  </si>
  <si>
    <t>/3</t>
  </si>
  <si>
    <t>C4 — SCORE CONTRARIAN BRVM  (detecteur : fondamentaux OK + titre boude par le marche)</t>
  </si>
  <si>
    <t>Critere</t>
  </si>
  <si>
    <t>Detail</t>
  </si>
  <si>
    <t>Score</t>
  </si>
  <si>
    <t>PER action &lt; PER sectoriel (action moins chere que le marche)</t>
  </si>
  <si>
    <t>Prix actuel &lt; VMC (decote sur valeur comptable)</t>
  </si>
  <si>
    <t>ROE &gt;= 10% (rentabilite correcte malgre sentiment negatif)</t>
  </si>
  <si>
    <t>Dividende fiable &gt;= 4 ans sur 5</t>
  </si>
  <si>
    <t>Cours &lt; Prix Median 1 an (survente technique)</t>
  </si>
  <si>
    <t>Marge nette moyenne &gt; 5% (profitabilite structurelle)</t>
  </si>
  <si>
    <t>SCORE CONTRARIAN TOTAL (/10)</t>
  </si>
  <si>
    <t>/10</t>
  </si>
  <si>
    <t>VERDICT CONTRARIAN</t>
  </si>
  <si>
    <t>D — DONNEES SOCIETE  (auto depuis onglet PROFIL — saisir dans PROFIL uniquement)</t>
  </si>
  <si>
    <t>D1 — CAPITAL &amp; ACTIONNARIAT</t>
  </si>
  <si>
    <t>Champ</t>
  </si>
  <si>
    <t>Valeur (auto depuis PROFIL)</t>
  </si>
  <si>
    <t>Capital social (FCFA)</t>
  </si>
  <si>
    <t>Flottant (%)</t>
  </si>
  <si>
    <t>Principaux actionnaires</t>
  </si>
  <si>
    <t>D2 — LIQUIDITE DU TITRE  (critique sur BRVM)</t>
  </si>
  <si>
    <t>Volume moyen journalier (titres)</t>
  </si>
  <si>
    <t>Volume moyen journalier (FCFA)</t>
  </si>
  <si>
    <t>Frequence de cotation (%)</t>
  </si>
  <si>
    <t>Appreciation liquidite</t>
  </si>
  <si>
    <t>D3 — NOTATION &amp; CONFORMITE</t>
  </si>
  <si>
    <t>Note court terme</t>
  </si>
  <si>
    <t>Note long terme</t>
  </si>
  <si>
    <t>Dividende verse regulierement ?</t>
  </si>
  <si>
    <t>TABLEAU DE BORD — SYNTHESE DE L'ANALYSE</t>
  </si>
  <si>
    <t>SCORECARD FONDAMENTALE</t>
  </si>
  <si>
    <t>Valeur (auto depuis ETUDE)</t>
  </si>
  <si>
    <t>Zone normale</t>
  </si>
  <si>
    <t>Signal (auto)</t>
  </si>
  <si>
    <t>Score (0-3)</t>
  </si>
  <si>
    <t>Croissance CA (N/N-4 %)</t>
  </si>
  <si>
    <t>&gt; 10%</t>
  </si>
  <si>
    <t>Croissance RN (N/N-4 %)</t>
  </si>
  <si>
    <t>Marge nette moyenne (%)</t>
  </si>
  <si>
    <t>&gt; 5%</t>
  </si>
  <si>
    <t>PER</t>
  </si>
  <si>
    <t>9 - 15</t>
  </si>
  <si>
    <t>PBR</t>
  </si>
  <si>
    <t>&lt; 1 ideal</t>
  </si>
  <si>
    <t>ROE (%)</t>
  </si>
  <si>
    <t>Rendement dividende (%)</t>
  </si>
  <si>
    <t>&gt; 3%</t>
  </si>
  <si>
    <t>RVC (PER x PBR)</t>
  </si>
  <si>
    <t>&lt; 22</t>
  </si>
  <si>
    <t>SCORE FONDAMENTAL TOTAL (/24)</t>
  </si>
  <si>
    <t>SCORECARD TECHNIQUE</t>
  </si>
  <si>
    <t>Zone</t>
  </si>
  <si>
    <t>MM20+Bollinger+MACD+RSI+Volume (score B1)</t>
  </si>
  <si>
    <t>-5 a +5</t>
  </si>
  <si>
    <t>Prix Medians PM1 et PM2 (B2)</t>
  </si>
  <si>
    <t>&lt; PM = survente</t>
  </si>
  <si>
    <t>PER actualise (B3)</t>
  </si>
  <si>
    <t>9-15 = normal</t>
  </si>
  <si>
    <t>PCD / Gordon-Shapiro (B4/B5)</t>
  </si>
  <si>
    <t>&lt; PCD = survente</t>
  </si>
  <si>
    <t>Risk/Reward (B6)</t>
  </si>
  <si>
    <t>&gt;= 2 = bon</t>
  </si>
  <si>
    <t>SCORE TECHNIQUE TOTAL (/15)</t>
  </si>
  <si>
    <t>VERDICT GLOBAL</t>
  </si>
  <si>
    <t>Max</t>
  </si>
  <si>
    <t>% atteint</t>
  </si>
  <si>
    <t>Appreciation</t>
  </si>
  <si>
    <t>Score Fondamental</t>
  </si>
  <si>
    <t>Score Technique</t>
  </si>
  <si>
    <t>SCORE TOTAL</t>
  </si>
  <si>
    <t>C — SIGNAL CONTRARIAN BRVM  (depuis ETUDE C4)</t>
  </si>
  <si>
    <t>Score /10</t>
  </si>
  <si>
    <t>Verdict</t>
  </si>
  <si>
    <t>PER vs Sectoriel</t>
  </si>
  <si>
    <t>Decote VMC</t>
  </si>
  <si>
    <t>RECOMMANDATION FINALE (texte libre)</t>
  </si>
  <si>
    <t>PROFIL DE LA SOCIETE</t>
  </si>
  <si>
    <t>DONNEES CLES — liees automatiquement a ETUDE et SYNTHESE</t>
  </si>
  <si>
    <t>Nom de la societe</t>
  </si>
  <si>
    <t>PROFIL!B3 -&gt; titre de ETUDE et SYNTHESE</t>
  </si>
  <si>
    <t>Ticker BRVM</t>
  </si>
  <si>
    <t>ex: BIDC, ETIT, SNTS, ONTBF...</t>
  </si>
  <si>
    <t>Secteur d activite</t>
  </si>
  <si>
    <t>Banque | Assurance | Industrie | Distribution | Telecom | Autre</t>
  </si>
  <si>
    <t>Date d analyse</t>
  </si>
  <si>
    <t>ex: 14/05/2026  (texte libre)</t>
  </si>
  <si>
    <t>IDENTIFICATION COMPLETE</t>
  </si>
  <si>
    <t>Nom complet</t>
  </si>
  <si>
    <t>&lt;-- Auto depuis cellules cles ci-dessus</t>
  </si>
  <si>
    <t>Secteur d'activite</t>
  </si>
  <si>
    <t>Pays d'origine</t>
  </si>
  <si>
    <t>Date d'introduction en bourse</t>
  </si>
  <si>
    <t>CAPITAL &amp; ACTIONNARIAT</t>
  </si>
  <si>
    <t>Nombre de titres</t>
  </si>
  <si>
    <t>LIQUIDITE DU TITRE (critique sur BRVM)</t>
  </si>
  <si>
    <t>&lt;-- Source : BRVM.org</t>
  </si>
  <si>
    <t>&lt;-- % seances avec transaction</t>
  </si>
  <si>
    <t>&lt;-- Forte / Moyenne / Faible</t>
  </si>
  <si>
    <t>NOTATION &amp; CONFORMITE</t>
  </si>
  <si>
    <t>&lt;-- Oui / Non</t>
  </si>
  <si>
    <t>SOURCES D'INFORMATION</t>
  </si>
  <si>
    <t>Rapport annuel</t>
  </si>
  <si>
    <t>&lt;-- Lien ou date</t>
  </si>
  <si>
    <t>Site de la societe</t>
  </si>
  <si>
    <t>Profil RichBourse</t>
  </si>
  <si>
    <t>&lt;-- richbourse.com</t>
  </si>
  <si>
    <t>Profil BRVM</t>
  </si>
  <si>
    <t>&lt;-- brvm.org</t>
  </si>
  <si>
    <t>REFERENTIEL DES FORMULES &amp; INDICATEURS BRVM</t>
  </si>
  <si>
    <t>Expression mathematique</t>
  </si>
  <si>
    <t>Unite</t>
  </si>
  <si>
    <t>Interpretation / Seuils BRVM</t>
  </si>
  <si>
    <t>ANALYSE FONDAMENTALE</t>
  </si>
  <si>
    <t>Croissance N/N-4</t>
  </si>
  <si>
    <t>(N - N-4) / |N-4| x 100</t>
  </si>
  <si>
    <t>%</t>
  </si>
  <si>
    <t>Positif = croissance. Negatif = contraction. Seuil : &gt; 10%/an = excellent</t>
  </si>
  <si>
    <t>TCAM (CAGR)</t>
  </si>
  <si>
    <t>(N / N-4)^(1/4) - 1</t>
  </si>
  <si>
    <t>Taux de Croissance Annuel Moyen sur 4 ans</t>
  </si>
  <si>
    <t>Marge Nette</t>
  </si>
  <si>
    <t>RN / CA x 100</t>
  </si>
  <si>
    <t>&lt; 2% = faible | 2-5% = moyen | &gt; 5% = bon | &gt; 10% = tres bon</t>
  </si>
  <si>
    <t>Prix / BNPA</t>
  </si>
  <si>
    <t>fois</t>
  </si>
  <si>
    <t>Zone normale BRVM : 9-15. &gt; 15 = surevalue, &lt; 9 = sous-evalue</t>
  </si>
  <si>
    <t>VMC</t>
  </si>
  <si>
    <t>Capitaux Propres / Nb titres</t>
  </si>
  <si>
    <t>FCFA</t>
  </si>
  <si>
    <t>Prix &lt; VMC = action decotee (achat potentiellement interessant)</t>
  </si>
  <si>
    <t>Capitalisation / Capitaux Propres</t>
  </si>
  <si>
    <t>&lt; 1 = decote sur actif net | &gt; 2 = prime significative</t>
  </si>
  <si>
    <t>ROE</t>
  </si>
  <si>
    <t>RN / Capitaux Propres x 100</t>
  </si>
  <si>
    <t>&lt; 5% = faible | 5-10% = moyen | 10-15% = bon | &gt; 15% = excellent</t>
  </si>
  <si>
    <t>RVC (Lynch)</t>
  </si>
  <si>
    <t>PER x PBR</t>
  </si>
  <si>
    <t>&lt; 22 = decote globale. Indicateur de sous-valorisation composite</t>
  </si>
  <si>
    <t>Taux de distribution</t>
  </si>
  <si>
    <t>DVD / (BNPA x 0.85) x 100</t>
  </si>
  <si>
    <t>0.85 = prefcompte 15% BRVM. &gt; 100% = distribution &gt; benefice</t>
  </si>
  <si>
    <t>Rendement dividende</t>
  </si>
  <si>
    <t>Dividende / Prix x 100</t>
  </si>
  <si>
    <t>&lt; 2% = faible | 2-5% = bon | &gt; 5% = tres attractif</t>
  </si>
  <si>
    <t>ANALYSE TECHNIQUE</t>
  </si>
  <si>
    <t>Prix Median (PM)</t>
  </si>
  <si>
    <t>(Plus Haut + Plus Bas) / 2</t>
  </si>
  <si>
    <t>Prix &lt; PM = zone survente. Calculer sur 1 an ET 2 ans SEPAREMENT</t>
  </si>
  <si>
    <t>RSI</t>
  </si>
  <si>
    <t>Calcule sur graphique</t>
  </si>
  <si>
    <t>&lt; 30 = survente | 30-70 = neutre | &gt; 70 = surachat</t>
  </si>
  <si>
    <t>MACD &gt; Signal = signal haussier</t>
  </si>
  <si>
    <t>Prix / (BNPA x (1 + evol RN%))</t>
  </si>
  <si>
    <t>Integre la derniere variation du RN. Plus precis que le PER historique</t>
  </si>
  <si>
    <t>PCD</t>
  </si>
  <si>
    <t>100 x DVD_prev / Rendement_secteur%</t>
  </si>
  <si>
    <t>Rendement sectoriel BRVM : 5-8%. Applicable seulement si dividende &gt; 0</t>
  </si>
  <si>
    <t>Gordon-Shapiro</t>
  </si>
  <si>
    <t>P0 = D1 / (r - g)</t>
  </si>
  <si>
    <t>D1 = dividende attendu | r = taux exige | g = croissance dividendes</t>
  </si>
  <si>
    <t>GESTION DU RISQUE</t>
  </si>
  <si>
    <t>Stop-Loss (10%)</t>
  </si>
  <si>
    <t>Prix d'achat x 0.90</t>
  </si>
  <si>
    <t>Limite de perte acceptable. Adapter selon profil de risque</t>
  </si>
  <si>
    <t>Risk/Reward</t>
  </si>
  <si>
    <t>Gain potentiel / Perte potentielle</t>
  </si>
  <si>
    <t>ratio</t>
  </si>
  <si>
    <t>&lt; 1 = mauvais | 1-2 = acceptable | &gt;= 2 = bon</t>
  </si>
  <si>
    <t>CMP (frais achat)</t>
  </si>
  <si>
    <t>Prix x 1.014</t>
  </si>
  <si>
    <t>Integre la commission d'achat BRVM de 1.4%</t>
  </si>
  <si>
    <t>Taxe de cession</t>
  </si>
  <si>
    <t>Prix x 1.4%</t>
  </si>
  <si>
    <t>Taxe applicable a la vente sur BRVM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</si>
</sst>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"/>
    <numFmt numFmtId="166" formatCode="0.00%"/>
    <numFmt numFmtId="167" formatCode="#,##0.00"/>
    <numFmt numFmtId="168" formatCode="0.0"/>
  </numFmts>
  <fonts count="3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D1B2A"/>
      <name val="Calibri"/>
      <family val="2"/>
      <scheme val="minor"/>
    </font>
    <font>
      <sz val="11"/>
      <color rgb="FF1E293B"/>
      <name val="Calibri"/>
      <family val="2"/>
      <scheme val="minor"/>
    </font>
    <font>
      <b/>
      <sz val="10"/>
      <color rgb="FFD97706"/>
      <name val="Calibri"/>
      <family val="2"/>
      <scheme val="minor"/>
    </font>
    <font>
      <i/>
      <sz val="8"/>
      <color rgb="FF808080"/>
      <name val="Calibri"/>
      <family val="2"/>
      <scheme val="minor"/>
    </font>
    <font>
      <i/>
      <sz val="10"/>
      <color rgb="FF0D1B2A"/>
      <name val="Calibri"/>
      <family val="2"/>
      <scheme val="minor"/>
    </font>
    <font>
      <b/>
      <sz val="11"/>
      <color rgb="FF1E293B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0"/>
      <color rgb="FF1F3864"/>
      <name val="Calibri"/>
      <family val="2"/>
      <scheme val="minor"/>
    </font>
    <font>
      <i/>
      <sz val="8"/>
      <color rgb="FF606060"/>
      <name val="Calibri"/>
      <family val="2"/>
      <scheme val="minor"/>
    </font>
    <font>
      <b/>
      <sz val="11"/>
      <color rgb="FF1F3864"/>
      <name val="Calibri"/>
      <family val="2"/>
      <scheme val="minor"/>
    </font>
    <font>
      <i/>
      <sz val="8"/>
      <color rgb="FFD97706"/>
      <name val="Calibri"/>
      <family val="2"/>
      <scheme val="minor"/>
    </font>
    <font>
      <i/>
      <sz val="11"/>
      <color rgb="FF1F3864"/>
      <name val="Calibri"/>
      <family val="2"/>
      <scheme val="minor"/>
    </font>
    <font>
      <i/>
      <sz val="11"/>
      <color rgb="FF0D1B2A"/>
      <name val="Calibri"/>
      <family val="2"/>
      <scheme val="minor"/>
    </font>
    <font>
      <b/>
      <sz val="10"/>
      <color rgb="FF1E293B"/>
      <name val="Calibri"/>
      <family val="2"/>
      <scheme val="minor"/>
    </font>
    <font>
      <b/>
      <sz val="12"/>
      <color rgb="FF0D1B2A"/>
      <name val="Calibri"/>
      <family val="2"/>
      <scheme val="minor"/>
    </font>
    <font>
      <b/>
      <sz val="11"/>
      <color rgb="FFECFDF5"/>
      <name val="Calibri"/>
      <family val="2"/>
      <scheme val="minor"/>
    </font>
    <font>
      <sz val="11"/>
      <color rgb="FF1F3864"/>
      <name val="Calibri"/>
      <family val="2"/>
      <scheme val="minor"/>
    </font>
    <font>
      <i/>
      <sz val="11"/>
      <color rgb="FF404040"/>
      <name val="Calibri"/>
      <family val="2"/>
      <scheme val="minor"/>
    </font>
    <font>
      <sz val="11"/>
      <color rgb="FF1E3A5F"/>
      <name val="Calibri"/>
      <family val="2"/>
      <scheme val="minor"/>
    </font>
    <font>
      <b/>
      <sz val="10"/>
      <color rgb="FF404040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rgb="FF40404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4"/>
      <color rgb="FF0D1B2A"/>
      <name val="Calibri"/>
      <family val="2"/>
      <scheme val="minor"/>
    </font>
    <font>
      <b/>
      <sz val="10"/>
      <color rgb="FF0D1B2A"/>
      <name val="Calibri"/>
      <family val="2"/>
      <scheme val="minor"/>
    </font>
    <font>
      <sz val="10"/>
      <color rgb="FF0D1B2A"/>
      <name val="Calibri"/>
      <family val="2"/>
      <scheme val="minor"/>
    </font>
    <font>
      <b/>
      <sz val="12"/>
      <color rgb="FF1E293B"/>
      <name val="Calibri"/>
      <family val="2"/>
      <scheme val="minor"/>
    </font>
    <font>
      <i/>
      <sz val="10"/>
      <color rgb="FF6B728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D1B2A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DCE8F5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64E3B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3864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 applyProtection="1">
      <alignment horizontal="right" vertical="center"/>
      <protection locked="0"/>
    </xf>
    <xf numFmtId="165" fontId="5" fillId="7" borderId="2" xfId="0" applyNumberFormat="1" applyFont="1" applyFill="1" applyBorder="1" applyAlignment="1">
      <alignment horizontal="right" vertical="center"/>
    </xf>
    <xf numFmtId="166" fontId="5" fillId="7" borderId="2" xfId="0" applyNumberFormat="1" applyFont="1" applyFill="1" applyBorder="1" applyAlignment="1">
      <alignment horizontal="right" vertical="center"/>
    </xf>
    <xf numFmtId="164" fontId="5" fillId="7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 applyProtection="1">
      <alignment horizontal="center" vertical="center"/>
      <protection locked="0"/>
    </xf>
    <xf numFmtId="0" fontId="5" fillId="8" borderId="2" xfId="0" applyFont="1" applyFill="1" applyBorder="1" applyAlignment="1">
      <alignment horizontal="left" vertical="center"/>
    </xf>
    <xf numFmtId="164" fontId="6" fillId="6" borderId="2" xfId="0" applyNumberFormat="1" applyFont="1" applyFill="1" applyBorder="1" applyAlignment="1" applyProtection="1">
      <alignment horizontal="right" vertical="center"/>
      <protection locked="0"/>
    </xf>
    <xf numFmtId="0" fontId="7" fillId="8" borderId="2" xfId="0" applyFont="1" applyFill="1" applyBorder="1" applyAlignment="1">
      <alignment horizontal="left" vertical="center"/>
    </xf>
    <xf numFmtId="167" fontId="6" fillId="6" borderId="2" xfId="0" applyNumberFormat="1" applyFont="1" applyFill="1" applyBorder="1" applyAlignment="1" applyProtection="1">
      <alignment horizontal="right" vertical="center"/>
      <protection locked="0"/>
    </xf>
    <xf numFmtId="167" fontId="5" fillId="7" borderId="2" xfId="0" applyNumberFormat="1" applyFont="1" applyFill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 wrapText="1"/>
    </xf>
    <xf numFmtId="167" fontId="5" fillId="6" borderId="2" xfId="0" applyNumberFormat="1" applyFont="1" applyFill="1" applyBorder="1" applyAlignment="1" applyProtection="1">
      <alignment horizontal="right" vertical="center"/>
      <protection locked="0"/>
    </xf>
    <xf numFmtId="0" fontId="9" fillId="5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 applyProtection="1">
      <alignment horizontal="right" vertical="center"/>
      <protection locked="0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right" vertical="center"/>
    </xf>
    <xf numFmtId="167" fontId="10" fillId="10" borderId="2" xfId="0" applyNumberFormat="1" applyFont="1" applyFill="1" applyBorder="1" applyAlignment="1">
      <alignment horizontal="right" vertical="center"/>
    </xf>
    <xf numFmtId="164" fontId="10" fillId="10" borderId="2" xfId="0" applyNumberFormat="1" applyFont="1" applyFill="1" applyBorder="1" applyAlignment="1">
      <alignment horizontal="right" vertical="center"/>
    </xf>
    <xf numFmtId="165" fontId="10" fillId="10" borderId="2" xfId="0" applyNumberFormat="1" applyFont="1" applyFill="1" applyBorder="1" applyAlignment="1">
      <alignment horizontal="right" vertical="center"/>
    </xf>
    <xf numFmtId="0" fontId="11" fillId="10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 applyProtection="1">
      <alignment horizontal="left" vertical="top" wrapText="1"/>
      <protection locked="0"/>
    </xf>
    <xf numFmtId="1" fontId="10" fillId="10" borderId="2" xfId="0" applyNumberFormat="1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left" vertical="center" wrapText="1"/>
    </xf>
    <xf numFmtId="1" fontId="11" fillId="10" borderId="2" xfId="0" applyNumberFormat="1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 applyProtection="1">
      <alignment horizontal="right" vertical="center"/>
      <protection locked="0"/>
    </xf>
    <xf numFmtId="0" fontId="14" fillId="6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/>
    </xf>
    <xf numFmtId="167" fontId="11" fillId="10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 vertical="center" wrapText="1"/>
    </xf>
    <xf numFmtId="165" fontId="6" fillId="6" borderId="2" xfId="0" applyNumberFormat="1" applyFont="1" applyFill="1" applyBorder="1" applyAlignment="1" applyProtection="1">
      <alignment horizontal="right" vertical="center"/>
      <protection locked="0"/>
    </xf>
    <xf numFmtId="0" fontId="5" fillId="7" borderId="2" xfId="0" applyFont="1" applyFill="1" applyBorder="1" applyAlignment="1">
      <alignment horizontal="right" vertical="center"/>
    </xf>
    <xf numFmtId="1" fontId="17" fillId="7" borderId="2" xfId="0" applyNumberFormat="1" applyFont="1" applyFill="1" applyBorder="1" applyAlignment="1">
      <alignment horizontal="center" vertical="center"/>
    </xf>
    <xf numFmtId="1" fontId="18" fillId="7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165" fontId="20" fillId="13" borderId="2" xfId="0" applyNumberFormat="1" applyFont="1" applyFill="1" applyBorder="1" applyAlignment="1">
      <alignment horizontal="right" vertical="center"/>
    </xf>
    <xf numFmtId="0" fontId="21" fillId="13" borderId="2" xfId="0" applyFont="1" applyFill="1" applyBorder="1" applyAlignment="1">
      <alignment horizontal="center" vertical="center"/>
    </xf>
    <xf numFmtId="1" fontId="10" fillId="14" borderId="2" xfId="0" applyNumberFormat="1" applyFont="1" applyFill="1" applyBorder="1" applyAlignment="1" applyProtection="1">
      <alignment horizontal="center" vertical="center"/>
      <protection locked="0"/>
    </xf>
    <xf numFmtId="0" fontId="5" fillId="15" borderId="2" xfId="0" applyFont="1" applyFill="1" applyBorder="1" applyAlignment="1">
      <alignment horizontal="left" vertical="center"/>
    </xf>
    <xf numFmtId="1" fontId="13" fillId="10" borderId="2" xfId="0" applyNumberFormat="1" applyFont="1" applyFill="1" applyBorder="1" applyAlignment="1">
      <alignment horizontal="center" vertical="center"/>
    </xf>
    <xf numFmtId="0" fontId="22" fillId="13" borderId="2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1" fontId="23" fillId="10" borderId="2" xfId="0" applyNumberFormat="1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168" fontId="10" fillId="10" borderId="2" xfId="0" applyNumberFormat="1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center" vertical="center"/>
    </xf>
    <xf numFmtId="1" fontId="24" fillId="10" borderId="2" xfId="0" applyNumberFormat="1" applyFont="1" applyFill="1" applyBorder="1" applyAlignment="1">
      <alignment horizontal="center" vertical="center"/>
    </xf>
    <xf numFmtId="0" fontId="25" fillId="15" borderId="2" xfId="0" applyFont="1" applyFill="1" applyBorder="1" applyAlignment="1">
      <alignment horizontal="center" vertical="center"/>
    </xf>
    <xf numFmtId="0" fontId="26" fillId="10" borderId="2" xfId="0" applyFont="1" applyFill="1" applyBorder="1" applyAlignment="1">
      <alignment horizontal="center" vertical="center"/>
    </xf>
    <xf numFmtId="1" fontId="27" fillId="13" borderId="3" xfId="0" applyNumberFormat="1" applyFont="1" applyFill="1" applyBorder="1" applyAlignment="1">
      <alignment horizontal="center" vertical="center"/>
    </xf>
    <xf numFmtId="0" fontId="28" fillId="13" borderId="3" xfId="0" applyFont="1" applyFill="1" applyBorder="1" applyAlignment="1" applyProtection="1">
      <alignment horizontal="center" vertical="center" wrapText="1"/>
      <protection locked="0"/>
    </xf>
    <xf numFmtId="165" fontId="29" fillId="13" borderId="2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0" fillId="6" borderId="3" xfId="0" applyFont="1" applyFill="1" applyBorder="1" applyAlignment="1" applyProtection="1">
      <alignment horizontal="left" vertical="center"/>
      <protection locked="0"/>
    </xf>
    <xf numFmtId="0" fontId="31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 applyProtection="1">
      <alignment horizontal="left" vertical="center"/>
      <protection locked="0"/>
    </xf>
    <xf numFmtId="0" fontId="5" fillId="6" borderId="2" xfId="0" applyFont="1" applyFill="1" applyBorder="1" applyAlignment="1" applyProtection="1">
      <alignment horizontal="left" vertical="center"/>
      <protection locked="0"/>
    </xf>
    <xf numFmtId="0" fontId="13" fillId="9" borderId="2" xfId="0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6">
    <dxf>
      <font>
        <color rgb="FF065F46"/>
      </font>
      <fill>
        <patternFill>
          <bgColor rgb="FFD1FA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91B1B"/>
      </font>
      <fill>
        <patternFill>
          <bgColor rgb="FFFEE2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2400E"/>
      </font>
      <fill>
        <patternFill>
          <bgColor rgb="FFFEF3C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65F46"/>
      </font>
      <fill>
        <patternFill>
          <bgColor rgb="FFD1FAE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91B1B"/>
      </font>
      <fill>
        <patternFill>
          <bgColor rgb="FFFEE2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2400E"/>
      </font>
      <fill>
        <patternFill>
          <bgColor rgb="FFFEF3C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EA5E9"/>
  </sheetPr>
  <dimension ref="A1:H20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4" width="13.7109375" customWidth="1"/>
    <col min="5" max="5" width="22.7109375" customWidth="1"/>
    <col min="6" max="6" width="11.7109375" customWidth="1"/>
    <col min="7" max="7" width="18.7109375" customWidth="1"/>
    <col min="8" max="8" width="13.7109375" customWidth="1"/>
  </cols>
  <sheetData>
    <row r="1" spans="1:8" ht="26" customHeight="1">
      <c r="A1" s="1">
        <f>IFERROR("FICHE D'ANALYSE BRVM — "&amp;PROFIL!B3&amp;"   ("&amp;PROFIL!B4&amp;")   |   "&amp;PROFIL!B5&amp;"   |   "&amp;TEXT(PROFIL!B6,"dd/mm/yyyy"),"FICHE D'ANALYSE BRVM — [Completer onglet PROFIL]")</f>
        <v>0</v>
      </c>
      <c r="B1" s="1"/>
      <c r="C1" s="1"/>
      <c r="D1" s="1"/>
      <c r="E1" s="1"/>
      <c r="F1" s="1"/>
      <c r="G1" s="1"/>
      <c r="H1" s="1"/>
    </row>
    <row r="2" spans="1:8">
      <c r="A2" s="2">
        <f>IFERROR("Nom : "&amp;PROFIL!B3&amp;"  |  Ticker : "&amp;PROFIL!B4&amp;"  |  Secteur : "&amp;PROFIL!B5&amp;"  |  Date analyse : "&amp;TEXT(PROFIL!B6,"dd/mm/yyyy"),"Completer le PROFIL : nom, ticker, secteur, date")</f>
        <v>0</v>
      </c>
      <c r="B2" s="2"/>
      <c r="C2" s="2"/>
      <c r="D2" s="2"/>
      <c r="E2" s="2"/>
      <c r="F2" s="2"/>
      <c r="G2" s="2"/>
      <c r="H2" s="2"/>
    </row>
    <row r="3" spans="1:8" ht="5" customHeight="1"/>
    <row r="4" spans="1:8" ht="22" customHeight="1">
      <c r="A4" s="1" t="s">
        <v>0</v>
      </c>
      <c r="B4" s="1"/>
      <c r="C4" s="1"/>
      <c r="D4" s="1"/>
      <c r="E4" s="1"/>
      <c r="F4" s="1"/>
      <c r="G4" s="1"/>
      <c r="H4" s="1"/>
    </row>
    <row r="5" spans="1:8" ht="5" customHeight="1"/>
    <row r="6" spans="1:8" ht="20" customHeight="1">
      <c r="A6" s="3" t="s">
        <v>1</v>
      </c>
      <c r="B6" s="3"/>
      <c r="C6" s="3"/>
      <c r="D6" s="3"/>
      <c r="E6" s="3"/>
      <c r="F6" s="3"/>
      <c r="G6" s="3"/>
      <c r="H6" s="3"/>
    </row>
    <row r="7" spans="1:8">
      <c r="A7" s="4"/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</row>
    <row r="8" spans="1:8">
      <c r="A8" s="5" t="s">
        <v>9</v>
      </c>
      <c r="B8" s="6"/>
      <c r="C8" s="6"/>
      <c r="D8" s="6"/>
      <c r="E8" s="6"/>
      <c r="F8" s="6"/>
      <c r="G8" s="7">
        <f>IF(B8=0,"",((F8-B8)/B8)*100)</f>
        <v>0</v>
      </c>
      <c r="H8" s="8">
        <f>IF(OR(B8=0,F8=0),"",(F8/B8)^(1/4)-1)</f>
        <v>0</v>
      </c>
    </row>
    <row r="9" spans="1:8" ht="5" customHeight="1"/>
    <row r="10" spans="1:8" ht="20" customHeight="1">
      <c r="A10" s="3" t="s">
        <v>10</v>
      </c>
      <c r="B10" s="3"/>
      <c r="C10" s="3"/>
      <c r="D10" s="3"/>
      <c r="E10" s="3"/>
      <c r="F10" s="3"/>
      <c r="G10" s="3"/>
      <c r="H10" s="3"/>
    </row>
    <row r="11" spans="1:8">
      <c r="A11" s="4"/>
      <c r="B11" s="4" t="s">
        <v>2</v>
      </c>
      <c r="C11" s="4" t="s">
        <v>3</v>
      </c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</row>
    <row r="12" spans="1:8">
      <c r="A12" s="5" t="s">
        <v>11</v>
      </c>
      <c r="B12" s="6"/>
      <c r="C12" s="6"/>
      <c r="D12" s="6"/>
      <c r="E12" s="6"/>
      <c r="F12" s="6"/>
      <c r="G12" s="7">
        <f>IF(B12=0,"",((F12-B12)/ABS(B12))*100)</f>
        <v>0</v>
      </c>
      <c r="H12" s="8">
        <f>IF(OR(B12=0,F12/B12&lt;0),"N/A",(F12/B12)^(1/4)-1)</f>
        <v>0</v>
      </c>
    </row>
    <row r="13" spans="1:8" ht="5" customHeight="1"/>
    <row r="14" spans="1:8" ht="20" customHeight="1">
      <c r="A14" s="3" t="s">
        <v>12</v>
      </c>
      <c r="B14" s="3"/>
      <c r="C14" s="3"/>
      <c r="D14" s="3"/>
      <c r="E14" s="3"/>
      <c r="F14" s="3"/>
      <c r="G14" s="3"/>
      <c r="H14" s="3"/>
    </row>
    <row r="15" spans="1:8">
      <c r="A15" s="4" t="s">
        <v>13</v>
      </c>
      <c r="B15" s="4" t="s">
        <v>14</v>
      </c>
      <c r="C15" s="4" t="s">
        <v>15</v>
      </c>
      <c r="D15" s="4" t="s">
        <v>16</v>
      </c>
      <c r="E15" s="4" t="s">
        <v>17</v>
      </c>
      <c r="F15" s="4" t="s">
        <v>18</v>
      </c>
      <c r="G15" s="4" t="s">
        <v>19</v>
      </c>
    </row>
    <row r="16" spans="1:8">
      <c r="A16" s="5" t="s">
        <v>2</v>
      </c>
      <c r="B16" s="9">
        <f>B12</f>
        <v>0</v>
      </c>
      <c r="C16" s="9">
        <f>B8</f>
        <v>0</v>
      </c>
      <c r="D16" s="7">
        <f>IFERROR(B16/C16*100,"")</f>
        <v>0</v>
      </c>
      <c r="E16" s="10">
        <f>IFERROR(IF(D16&gt;=10,"Tres rentable",IF(D16&gt;=5,"Rentable",IF(D16&gt;=2,"Faiblement rentable","Tres faible"))),"-")</f>
        <v>0</v>
      </c>
      <c r="F16" s="11" t="s">
        <v>20</v>
      </c>
      <c r="G16" s="7">
        <f>IFERROR(AVERAGE(D16:D20),"")</f>
        <v>0</v>
      </c>
    </row>
    <row r="17" spans="1:8">
      <c r="A17" s="5" t="s">
        <v>3</v>
      </c>
      <c r="B17" s="9">
        <f>C12</f>
        <v>0</v>
      </c>
      <c r="C17" s="9">
        <f>C8</f>
        <v>0</v>
      </c>
      <c r="D17" s="7">
        <f>IFERROR(B17/C17*100,"")</f>
        <v>0</v>
      </c>
      <c r="E17" s="10">
        <f>IFERROR(IF(D17&gt;=10,"Tres rentable",IF(D17&gt;=5,"Rentable",IF(D17&gt;=2,"Faiblement rentable","Tres faible"))),"-")</f>
        <v>0</v>
      </c>
      <c r="F17" s="12"/>
      <c r="G17" s="12"/>
    </row>
    <row r="18" spans="1:8">
      <c r="A18" s="5" t="s">
        <v>4</v>
      </c>
      <c r="B18" s="9">
        <f>D12</f>
        <v>0</v>
      </c>
      <c r="C18" s="9">
        <f>D8</f>
        <v>0</v>
      </c>
      <c r="D18" s="7">
        <f>IFERROR(B18/C18*100,"")</f>
        <v>0</v>
      </c>
      <c r="E18" s="10">
        <f>IFERROR(IF(D18&gt;=10,"Tres rentable",IF(D18&gt;=5,"Rentable",IF(D18&gt;=2,"Faiblement rentable","Tres faible"))),"-")</f>
        <v>0</v>
      </c>
      <c r="F18" s="12"/>
      <c r="G18" s="12"/>
    </row>
    <row r="19" spans="1:8">
      <c r="A19" s="5" t="s">
        <v>5</v>
      </c>
      <c r="B19" s="9">
        <f>E12</f>
        <v>0</v>
      </c>
      <c r="C19" s="9">
        <f>E8</f>
        <v>0</v>
      </c>
      <c r="D19" s="7">
        <f>IFERROR(B19/C19*100,"")</f>
        <v>0</v>
      </c>
      <c r="E19" s="10">
        <f>IFERROR(IF(D19&gt;=10,"Tres rentable",IF(D19&gt;=5,"Rentable",IF(D19&gt;=2,"Faiblement rentable","Tres faible"))),"-")</f>
        <v>0</v>
      </c>
      <c r="F19" s="12"/>
      <c r="G19" s="12"/>
    </row>
    <row r="20" spans="1:8">
      <c r="A20" s="5" t="s">
        <v>21</v>
      </c>
      <c r="B20" s="9">
        <f>F12</f>
        <v>0</v>
      </c>
      <c r="C20" s="9">
        <f>F8</f>
        <v>0</v>
      </c>
      <c r="D20" s="7">
        <f>IFERROR(B20/C20*100,"")</f>
        <v>0</v>
      </c>
      <c r="E20" s="10">
        <f>IFERROR(IF(D20&gt;=10,"Tres rentable",IF(D20&gt;=5,"Rentable",IF(D20&gt;=2,"Faiblement rentable","Tres faible"))),"-")</f>
        <v>0</v>
      </c>
      <c r="F20" s="12"/>
      <c r="G20" s="12"/>
    </row>
    <row r="21" spans="1:8" ht="5" customHeight="1"/>
    <row r="22" spans="1:8" ht="20" customHeight="1">
      <c r="A22" s="3" t="s">
        <v>22</v>
      </c>
      <c r="B22" s="3"/>
      <c r="C22" s="3"/>
      <c r="D22" s="3"/>
      <c r="E22" s="3"/>
      <c r="F22" s="3"/>
      <c r="G22" s="3"/>
      <c r="H22" s="3"/>
    </row>
    <row r="23" spans="1:8">
      <c r="A23" s="4" t="s">
        <v>23</v>
      </c>
      <c r="B23" s="4" t="s">
        <v>24</v>
      </c>
      <c r="C23" s="4" t="s">
        <v>25</v>
      </c>
      <c r="D23" s="4" t="s">
        <v>26</v>
      </c>
      <c r="E23" s="4"/>
      <c r="F23" s="4"/>
      <c r="G23" s="4"/>
      <c r="H23" s="4"/>
    </row>
    <row r="24" spans="1:8">
      <c r="A24" s="5" t="s">
        <v>27</v>
      </c>
      <c r="B24" s="13"/>
      <c r="C24" s="14" t="s">
        <v>28</v>
      </c>
      <c r="D24" s="14"/>
      <c r="E24" s="14"/>
      <c r="F24" s="14"/>
      <c r="G24" s="14"/>
    </row>
    <row r="25" spans="1:8">
      <c r="A25" s="5" t="s">
        <v>29</v>
      </c>
      <c r="B25" s="15"/>
      <c r="C25" s="14" t="s">
        <v>30</v>
      </c>
      <c r="D25" s="14"/>
      <c r="E25" s="14"/>
      <c r="F25" s="14"/>
      <c r="G25" s="14"/>
    </row>
    <row r="26" spans="1:8">
      <c r="A26" s="5" t="s">
        <v>31</v>
      </c>
      <c r="B26" s="13"/>
      <c r="C26" s="14" t="s">
        <v>32</v>
      </c>
      <c r="D26" s="14"/>
      <c r="E26" s="14"/>
      <c r="F26" s="14"/>
      <c r="G26" s="14"/>
    </row>
    <row r="27" spans="1:8">
      <c r="A27" s="5" t="s">
        <v>33</v>
      </c>
      <c r="B27" s="13"/>
      <c r="C27" s="14" t="s">
        <v>34</v>
      </c>
      <c r="D27" s="14"/>
      <c r="E27" s="14"/>
      <c r="F27" s="14"/>
      <c r="G27" s="14"/>
    </row>
    <row r="28" spans="1:8">
      <c r="A28" s="5" t="s">
        <v>35</v>
      </c>
      <c r="B28" s="9">
        <f>IFERROR(PROFIL!B17,"")</f>
        <v>0</v>
      </c>
      <c r="C28" s="14" t="s">
        <v>36</v>
      </c>
      <c r="D28" s="14"/>
      <c r="E28" s="14"/>
      <c r="F28" s="14"/>
      <c r="G28" s="14"/>
    </row>
    <row r="29" spans="1:8" ht="5" customHeight="1"/>
    <row r="30" spans="1:8">
      <c r="A30" s="5" t="s">
        <v>37</v>
      </c>
      <c r="B30" s="7">
        <f>IFERROR(B24/B25,"")</f>
        <v>0</v>
      </c>
      <c r="C30" s="11" t="s">
        <v>38</v>
      </c>
      <c r="D30" s="10">
        <f>IFERROR(IF(B30&gt;15,"Surevalue",IF(B30&lt;9,"Sous-evalue","Zone normale (9-15)")),"-")</f>
        <v>0</v>
      </c>
    </row>
    <row r="31" spans="1:8">
      <c r="A31" s="5" t="s">
        <v>39</v>
      </c>
      <c r="B31" s="16">
        <f>IFERROR(B26/B28,"")</f>
        <v>0</v>
      </c>
      <c r="C31" s="11" t="s">
        <v>40</v>
      </c>
      <c r="D31" s="10">
        <f>IFERROR(IF(B24&gt;B31,"Action surevaluee vs VMC","Action sous-evaluee vs VMC"),"-")</f>
        <v>0</v>
      </c>
    </row>
    <row r="32" spans="1:8">
      <c r="A32" s="5" t="s">
        <v>41</v>
      </c>
      <c r="B32" s="7">
        <f>IFERROR(B27/B26,"")</f>
        <v>0</v>
      </c>
      <c r="C32" s="11" t="s">
        <v>42</v>
      </c>
      <c r="D32" s="10">
        <f>IFERROR(IF(B32&lt;1,"Decote comptable",IF(B32&lt;2,"Normal","Prime elevee")),"-")</f>
        <v>0</v>
      </c>
    </row>
    <row r="33" spans="1:8">
      <c r="A33" s="5" t="s">
        <v>43</v>
      </c>
      <c r="B33" s="7">
        <f>IFERROR(F12*1000000/B26*100,"")</f>
        <v>0</v>
      </c>
      <c r="C33" s="11" t="s">
        <v>44</v>
      </c>
      <c r="D33" s="10">
        <f>IFERROR(IF(B33&gt;=15,"Excellent",IF(B33&gt;=10,"Bon",IF(B33&gt;=5,"Moyen","Faible"))),"-")</f>
        <v>0</v>
      </c>
    </row>
    <row r="34" spans="1:8">
      <c r="A34" s="5" t="s">
        <v>45</v>
      </c>
      <c r="B34" s="7">
        <f>IFERROR(B30*B32,"")</f>
        <v>0</v>
      </c>
      <c r="C34" s="11" t="s">
        <v>46</v>
      </c>
      <c r="D34" s="10">
        <f>IFERROR(IF(B34&lt;22,"Decote globale (achat possible)","Surevaluation"),"-")</f>
        <v>0</v>
      </c>
    </row>
    <row r="35" spans="1:8" ht="5" customHeight="1"/>
    <row r="36" spans="1:8" ht="20" customHeight="1">
      <c r="A36" s="3" t="s">
        <v>47</v>
      </c>
      <c r="B36" s="3"/>
      <c r="C36" s="3"/>
      <c r="D36" s="3"/>
      <c r="E36" s="3"/>
      <c r="F36" s="3"/>
      <c r="G36" s="3"/>
      <c r="H36" s="3"/>
    </row>
    <row r="37" spans="1:8">
      <c r="A37" s="4" t="s">
        <v>13</v>
      </c>
      <c r="B37" s="4" t="s">
        <v>48</v>
      </c>
      <c r="C37" s="4" t="s">
        <v>49</v>
      </c>
      <c r="D37" s="4" t="s">
        <v>50</v>
      </c>
      <c r="E37" s="4" t="s">
        <v>51</v>
      </c>
      <c r="F37" s="4" t="s">
        <v>52</v>
      </c>
    </row>
    <row r="38" spans="1:8" ht="25" customHeight="1">
      <c r="A38" s="17" t="s">
        <v>53</v>
      </c>
      <c r="B38" s="17"/>
      <c r="C38" s="17"/>
      <c r="D38" s="17"/>
      <c r="E38" s="17"/>
      <c r="F38" s="17"/>
    </row>
    <row r="39" spans="1:8">
      <c r="A39" s="5" t="s">
        <v>2</v>
      </c>
      <c r="B39" s="18"/>
      <c r="C39" s="18"/>
      <c r="D39" s="7">
        <f>IFERROR((B39/0.85)/C39*100,"")</f>
        <v>0</v>
      </c>
      <c r="E39" s="7">
        <f>IFERROR(B39/B24*100,"")</f>
        <v>0</v>
      </c>
      <c r="F39" s="12"/>
    </row>
    <row r="40" spans="1:8">
      <c r="A40" s="5" t="s">
        <v>3</v>
      </c>
      <c r="B40" s="18"/>
      <c r="C40" s="18"/>
      <c r="D40" s="7">
        <f>IFERROR((B40/0.85)/C40*100,"")</f>
        <v>0</v>
      </c>
      <c r="E40" s="7">
        <f>IFERROR(B40/B24*100,"")</f>
        <v>0</v>
      </c>
      <c r="F40" s="7">
        <f>IFERROR((B40-B39)/ABS(B39)*100,"")</f>
        <v>0</v>
      </c>
    </row>
    <row r="41" spans="1:8">
      <c r="A41" s="5" t="s">
        <v>4</v>
      </c>
      <c r="B41" s="18"/>
      <c r="C41" s="18"/>
      <c r="D41" s="7">
        <f>IFERROR((B41/0.85)/C41*100,"")</f>
        <v>0</v>
      </c>
      <c r="E41" s="7">
        <f>IFERROR(B41/B24*100,"")</f>
        <v>0</v>
      </c>
      <c r="F41" s="7">
        <f>IFERROR((B41-B40)/ABS(B40)*100,"")</f>
        <v>0</v>
      </c>
    </row>
    <row r="42" spans="1:8">
      <c r="A42" s="5" t="s">
        <v>5</v>
      </c>
      <c r="B42" s="18"/>
      <c r="C42" s="18"/>
      <c r="D42" s="7">
        <f>IFERROR((B42/0.85)/C42*100,"")</f>
        <v>0</v>
      </c>
      <c r="E42" s="7">
        <f>IFERROR(B42/B24*100,"")</f>
        <v>0</v>
      </c>
      <c r="F42" s="7">
        <f>IFERROR((B42-B41)/ABS(B41)*100,"")</f>
        <v>0</v>
      </c>
    </row>
    <row r="43" spans="1:8">
      <c r="A43" s="5" t="s">
        <v>21</v>
      </c>
      <c r="B43" s="18"/>
      <c r="C43" s="18"/>
      <c r="D43" s="7">
        <f>IFERROR((B43/0.85)/C43*100,"")</f>
        <v>0</v>
      </c>
      <c r="E43" s="7">
        <f>IFERROR(B43/B24*100,"")</f>
        <v>0</v>
      </c>
      <c r="F43" s="7">
        <f>IFERROR((B43-B42)/ABS(B42)*100,"")</f>
        <v>0</v>
      </c>
    </row>
    <row r="44" spans="1:8">
      <c r="A44" s="19" t="s">
        <v>54</v>
      </c>
      <c r="B44" s="16">
        <f>SUM(B39:B43)</f>
        <v>0</v>
      </c>
      <c r="C44" s="12"/>
      <c r="D44" s="7">
        <f>IFERROR(AVERAGE(D39:D43),"")</f>
        <v>0</v>
      </c>
      <c r="E44" s="7">
        <f>IFERROR(AVERAGE(E39:E43),"")</f>
        <v>0</v>
      </c>
      <c r="F44" s="12"/>
    </row>
    <row r="45" spans="1:8" ht="20" customHeight="1">
      <c r="A45" s="3" t="s">
        <v>55</v>
      </c>
      <c r="B45" s="3"/>
      <c r="C45" s="3"/>
      <c r="D45" s="3"/>
      <c r="E45" s="3"/>
      <c r="F45" s="3"/>
      <c r="G45" s="3"/>
      <c r="H45" s="3"/>
    </row>
    <row r="46" spans="1:8">
      <c r="A46" s="4" t="s">
        <v>56</v>
      </c>
      <c r="B46" s="4" t="s">
        <v>57</v>
      </c>
      <c r="C46" s="4" t="s">
        <v>58</v>
      </c>
      <c r="D46" s="4" t="s">
        <v>59</v>
      </c>
    </row>
    <row r="47" spans="1:8">
      <c r="A47" s="5" t="s">
        <v>60</v>
      </c>
      <c r="B47" s="6"/>
      <c r="C47" s="6"/>
      <c r="D47" s="7">
        <f>IFERROR((C47-B47)/ABS(B47)*100,"")</f>
        <v>0</v>
      </c>
    </row>
    <row r="48" spans="1:8">
      <c r="A48" s="5" t="s">
        <v>61</v>
      </c>
      <c r="B48" s="6"/>
      <c r="C48" s="6"/>
      <c r="D48" s="7">
        <f>IFERROR((C48-B48)/ABS(B48)*100,"")</f>
        <v>0</v>
      </c>
    </row>
    <row r="49" spans="1:8">
      <c r="A49" s="5" t="s">
        <v>62</v>
      </c>
      <c r="B49" s="6"/>
      <c r="C49" s="6"/>
      <c r="D49" s="7">
        <f>IFERROR((C49-B49)/ABS(B49)*100,"")</f>
        <v>0</v>
      </c>
    </row>
    <row r="50" spans="1:8">
      <c r="A50" s="5" t="s">
        <v>11</v>
      </c>
      <c r="B50" s="6"/>
      <c r="C50" s="6"/>
      <c r="D50" s="7">
        <f>IFERROR((C50-B50)/ABS(B50)*100,"")</f>
        <v>0</v>
      </c>
    </row>
    <row r="51" spans="1:8">
      <c r="A51" s="5" t="s">
        <v>63</v>
      </c>
      <c r="B51" s="6"/>
      <c r="C51" s="6"/>
      <c r="D51" s="7">
        <f>IFERROR((C51-B51)/ABS(B51)*100,"")</f>
        <v>0</v>
      </c>
    </row>
    <row r="52" spans="1:8">
      <c r="A52" s="19" t="s">
        <v>64</v>
      </c>
      <c r="B52" s="9">
        <f>SUM(B47:B51)</f>
        <v>0</v>
      </c>
      <c r="C52" s="9">
        <f>SUM(C47:C51)</f>
        <v>0</v>
      </c>
      <c r="D52" s="7">
        <f>IFERROR((C52-B52)/ABS(B52)*100,"")</f>
        <v>0</v>
      </c>
    </row>
    <row r="53" spans="1:8" ht="5" customHeight="1"/>
    <row r="54" spans="1:8" ht="20" customHeight="1">
      <c r="A54" s="3" t="s">
        <v>65</v>
      </c>
      <c r="B54" s="3"/>
      <c r="C54" s="3"/>
      <c r="D54" s="3"/>
      <c r="E54" s="3"/>
      <c r="F54" s="3"/>
      <c r="G54" s="3"/>
      <c r="H54" s="3"/>
    </row>
    <row r="55" spans="1:8">
      <c r="A55" s="4" t="s">
        <v>66</v>
      </c>
      <c r="B55" s="4" t="s">
        <v>67</v>
      </c>
      <c r="C55" s="4" t="s">
        <v>68</v>
      </c>
      <c r="D55" s="4" t="s">
        <v>69</v>
      </c>
    </row>
    <row r="56" spans="1:8">
      <c r="A56" s="5" t="s">
        <v>70</v>
      </c>
      <c r="B56" s="20" t="s">
        <v>71</v>
      </c>
      <c r="C56" s="21" t="s">
        <v>72</v>
      </c>
      <c r="D56" s="21"/>
    </row>
    <row r="57" spans="1:8">
      <c r="A57" s="5" t="s">
        <v>73</v>
      </c>
      <c r="B57" s="20" t="s">
        <v>74</v>
      </c>
      <c r="C57" s="21" t="s">
        <v>72</v>
      </c>
      <c r="D57" s="21"/>
    </row>
    <row r="58" spans="1:8">
      <c r="A58" s="5" t="s">
        <v>75</v>
      </c>
      <c r="B58" s="20"/>
      <c r="C58" s="21" t="s">
        <v>76</v>
      </c>
      <c r="D58" s="21"/>
    </row>
    <row r="59" spans="1:8">
      <c r="A59" s="5" t="s">
        <v>77</v>
      </c>
      <c r="B59" s="20"/>
      <c r="C59" s="21" t="s">
        <v>76</v>
      </c>
      <c r="D59" s="21"/>
    </row>
    <row r="60" spans="1:8" ht="5" customHeight="1"/>
    <row r="61" spans="1:8" ht="20" customHeight="1">
      <c r="A61" s="3" t="s">
        <v>78</v>
      </c>
      <c r="B61" s="3"/>
      <c r="C61" s="3"/>
      <c r="D61" s="3"/>
      <c r="E61" s="3"/>
      <c r="F61" s="3"/>
      <c r="G61" s="3"/>
      <c r="H61" s="3"/>
    </row>
    <row r="62" spans="1:8">
      <c r="A62" s="4" t="s">
        <v>79</v>
      </c>
      <c r="B62" s="4" t="s">
        <v>80</v>
      </c>
      <c r="C62" s="4" t="s">
        <v>81</v>
      </c>
      <c r="D62" s="4"/>
    </row>
    <row r="63" spans="1:8">
      <c r="A63" s="5" t="s">
        <v>82</v>
      </c>
      <c r="B63" s="6"/>
      <c r="C63" s="22"/>
      <c r="D63" s="12"/>
    </row>
    <row r="64" spans="1:8">
      <c r="A64" s="5" t="s">
        <v>83</v>
      </c>
      <c r="B64" s="6"/>
      <c r="C64" s="22"/>
      <c r="D64" s="12"/>
    </row>
    <row r="65" spans="1:8">
      <c r="A65" s="5" t="s">
        <v>84</v>
      </c>
      <c r="B65" s="23">
        <f>IFERROR(B64*1.014,"")</f>
        <v>0</v>
      </c>
      <c r="C65" s="22"/>
      <c r="D65" s="12"/>
    </row>
    <row r="66" spans="1:8">
      <c r="A66" s="5" t="s">
        <v>85</v>
      </c>
      <c r="B66" s="23">
        <f>IFERROR(B63/B65,"")</f>
        <v>0</v>
      </c>
      <c r="C66" s="22"/>
      <c r="D66" s="12"/>
    </row>
    <row r="67" spans="1:8">
      <c r="A67" s="5" t="s">
        <v>86</v>
      </c>
      <c r="B67" s="24">
        <f>IFERROR(B24,"")</f>
        <v>0</v>
      </c>
      <c r="C67" s="22"/>
      <c r="D67" s="12"/>
    </row>
    <row r="68" spans="1:8">
      <c r="A68" s="5" t="s">
        <v>87</v>
      </c>
      <c r="B68" s="23">
        <f>IFERROR(B67-(B67*0.014),"")</f>
        <v>0</v>
      </c>
      <c r="C68" s="22"/>
      <c r="D68" s="12"/>
    </row>
    <row r="69" spans="1:8">
      <c r="A69" s="5" t="s">
        <v>88</v>
      </c>
      <c r="B69" s="23">
        <f>IFERROR(B68-B65,"")</f>
        <v>0</v>
      </c>
      <c r="C69" s="22"/>
      <c r="D69" s="12"/>
    </row>
    <row r="70" spans="1:8">
      <c r="A70" s="5" t="s">
        <v>89</v>
      </c>
      <c r="B70" s="24">
        <f>IFERROR(B69*B66,"")</f>
        <v>0</v>
      </c>
      <c r="C70" s="22"/>
      <c r="D70" s="12"/>
    </row>
    <row r="71" spans="1:8">
      <c r="A71" s="5" t="s">
        <v>90</v>
      </c>
      <c r="B71" s="18"/>
      <c r="C71" s="22"/>
      <c r="D71" s="12"/>
    </row>
    <row r="72" spans="1:8">
      <c r="A72" s="5" t="s">
        <v>91</v>
      </c>
      <c r="B72" s="24">
        <f>IFERROR(B71*B66,"")</f>
        <v>0</v>
      </c>
      <c r="C72" s="22"/>
      <c r="D72" s="12"/>
    </row>
    <row r="73" spans="1:8">
      <c r="A73" s="19" t="s">
        <v>92</v>
      </c>
      <c r="B73" s="24">
        <f>IFERROR(B70+B72,"")</f>
        <v>0</v>
      </c>
      <c r="C73" s="22"/>
      <c r="D73" s="12"/>
    </row>
    <row r="74" spans="1:8">
      <c r="A74" s="19" t="s">
        <v>93</v>
      </c>
      <c r="B74" s="25">
        <f>IFERROR(B73/B63*100,"")</f>
        <v>0</v>
      </c>
      <c r="C74" s="22"/>
      <c r="D74" s="12"/>
    </row>
    <row r="75" spans="1:8">
      <c r="A75" s="19" t="s">
        <v>94</v>
      </c>
      <c r="B75" s="26">
        <f>IFERROR(IF(B74&gt;C74,"MARCHE BOURSIER","EPARGNE"),"Saisir les donnees")</f>
        <v>0</v>
      </c>
      <c r="C75" s="14" t="s">
        <v>95</v>
      </c>
      <c r="D75" s="12"/>
    </row>
    <row r="76" spans="1:8" ht="5" customHeight="1"/>
    <row r="77" spans="1:8" ht="20" customHeight="1">
      <c r="A77" s="3" t="s">
        <v>96</v>
      </c>
      <c r="B77" s="3"/>
      <c r="C77" s="3"/>
      <c r="D77" s="3"/>
      <c r="E77" s="3"/>
      <c r="F77" s="3"/>
      <c r="G77" s="3"/>
      <c r="H77" s="3"/>
    </row>
    <row r="78" spans="1:8" ht="40" customHeight="1">
      <c r="A78" s="27"/>
      <c r="B78" s="27"/>
      <c r="C78" s="27"/>
      <c r="D78" s="27"/>
      <c r="E78" s="27"/>
      <c r="F78" s="27"/>
      <c r="G78" s="27"/>
      <c r="H78" s="27"/>
    </row>
    <row r="79" spans="1:8">
      <c r="A79" s="27"/>
      <c r="B79" s="27"/>
      <c r="C79" s="27"/>
      <c r="D79" s="27"/>
      <c r="E79" s="27"/>
      <c r="F79" s="27"/>
      <c r="G79" s="27"/>
      <c r="H79" s="27"/>
    </row>
    <row r="80" spans="1:8">
      <c r="A80" s="27"/>
      <c r="B80" s="27"/>
      <c r="C80" s="27"/>
      <c r="D80" s="27"/>
      <c r="E80" s="27"/>
      <c r="F80" s="27"/>
      <c r="G80" s="27"/>
      <c r="H80" s="27"/>
    </row>
    <row r="81" spans="1:8" ht="22" customHeight="1">
      <c r="A81" s="1" t="s">
        <v>97</v>
      </c>
      <c r="B81" s="1"/>
      <c r="C81" s="1"/>
      <c r="D81" s="1"/>
      <c r="E81" s="1"/>
      <c r="F81" s="1"/>
      <c r="G81" s="1"/>
      <c r="H81" s="1"/>
    </row>
    <row r="83" spans="1:8" ht="5" customHeight="1"/>
    <row r="84" spans="1:8" ht="20" customHeight="1">
      <c r="A84" s="3" t="s">
        <v>98</v>
      </c>
      <c r="B84" s="3"/>
      <c r="C84" s="3"/>
      <c r="D84" s="3"/>
      <c r="E84" s="3"/>
      <c r="F84" s="3"/>
      <c r="G84" s="3"/>
      <c r="H84" s="3"/>
    </row>
    <row r="85" spans="1:8">
      <c r="A85" s="4" t="s">
        <v>66</v>
      </c>
      <c r="B85" s="4" t="s">
        <v>99</v>
      </c>
      <c r="C85" s="4" t="s">
        <v>100</v>
      </c>
      <c r="D85" s="4" t="s">
        <v>101</v>
      </c>
      <c r="E85" s="4" t="s">
        <v>102</v>
      </c>
    </row>
    <row r="86" spans="1:8">
      <c r="A86" s="5" t="s">
        <v>103</v>
      </c>
      <c r="B86" s="14" t="s">
        <v>104</v>
      </c>
      <c r="C86" s="22"/>
      <c r="D86" s="28">
        <f>IFERROR(IF(ISNUMBER(SEARCH("survente",B86)),1,IF(ISNUMBER(SEARCH("surachat",B86)),-1,0)),0)</f>
        <v>0</v>
      </c>
      <c r="E86" s="29" t="s">
        <v>105</v>
      </c>
    </row>
    <row r="87" spans="1:8">
      <c r="A87" s="5" t="s">
        <v>106</v>
      </c>
      <c r="B87" s="14" t="s">
        <v>104</v>
      </c>
      <c r="C87" s="22"/>
      <c r="D87" s="28">
        <f>IFERROR(IF(ISNUMBER(SEARCH("survente",B87)),1,IF(ISNUMBER(SEARCH("surachat",B87)),-1,0)),0)</f>
        <v>0</v>
      </c>
      <c r="E87" s="29" t="s">
        <v>107</v>
      </c>
    </row>
    <row r="88" spans="1:8">
      <c r="A88" s="5" t="s">
        <v>108</v>
      </c>
      <c r="B88" s="14" t="s">
        <v>104</v>
      </c>
      <c r="C88" s="22"/>
      <c r="D88" s="28">
        <f>IFERROR(IF(ISNUMBER(SEARCH("survente",B88)),1,IF(ISNUMBER(SEARCH("surachat",B88)),-1,0)),0)</f>
        <v>0</v>
      </c>
      <c r="E88" s="29" t="s">
        <v>109</v>
      </c>
    </row>
    <row r="89" spans="1:8">
      <c r="A89" s="5" t="s">
        <v>110</v>
      </c>
      <c r="B89" s="14" t="s">
        <v>104</v>
      </c>
      <c r="C89" s="22"/>
      <c r="D89" s="28">
        <f>IFERROR(IF(ISNUMBER(SEARCH("survente",B89)),1,IF(ISNUMBER(SEARCH("surachat",B89)),-1,0)),0)</f>
        <v>0</v>
      </c>
      <c r="E89" s="29" t="s">
        <v>111</v>
      </c>
    </row>
    <row r="90" spans="1:8">
      <c r="A90" s="5" t="s">
        <v>112</v>
      </c>
      <c r="B90" s="14" t="s">
        <v>104</v>
      </c>
      <c r="C90" s="22"/>
      <c r="D90" s="28">
        <f>IFERROR(IF(ISNUMBER(SEARCH("survente",B90)),1,IF(ISNUMBER(SEARCH("surachat",B90)),-1,0)),0)</f>
        <v>0</v>
      </c>
      <c r="E90" s="29" t="s">
        <v>113</v>
      </c>
    </row>
    <row r="91" spans="1:8">
      <c r="A91" s="19" t="s">
        <v>114</v>
      </c>
      <c r="B91" s="12"/>
      <c r="C91" s="12"/>
      <c r="D91" s="30">
        <f>SUM(D86:D90)</f>
        <v>0</v>
      </c>
      <c r="E91" s="31">
        <f>IFERROR(IF(D91&gt;0,"Zone SURVENTE - Achat possible",IF(D91&lt;0,"Zone SURACHAT - Vente possible","NEUTRE")),"-")</f>
        <v>0</v>
      </c>
    </row>
    <row r="92" spans="1:8" ht="5" customHeight="1"/>
    <row r="93" spans="1:8" ht="20" customHeight="1">
      <c r="A93" s="3" t="s">
        <v>115</v>
      </c>
      <c r="B93" s="3"/>
      <c r="C93" s="3"/>
      <c r="D93" s="3"/>
      <c r="E93" s="3"/>
      <c r="F93" s="3"/>
      <c r="G93" s="3"/>
      <c r="H93" s="3"/>
    </row>
    <row r="94" spans="1:8">
      <c r="A94" s="4" t="s">
        <v>116</v>
      </c>
      <c r="B94" s="4" t="s">
        <v>117</v>
      </c>
      <c r="C94" s="4" t="s">
        <v>118</v>
      </c>
      <c r="D94" s="4" t="s">
        <v>119</v>
      </c>
      <c r="E94" s="4" t="s">
        <v>120</v>
      </c>
    </row>
    <row r="95" spans="1:8">
      <c r="A95" s="5" t="s">
        <v>121</v>
      </c>
      <c r="B95" s="6"/>
      <c r="C95" s="6"/>
      <c r="D95" s="16">
        <f>IFERROR((B95+C95)/2,"")</f>
        <v>0</v>
      </c>
      <c r="E95" s="10">
        <f>IFERROR(IF(B24&lt;D95,"EN DESSOUS du PM - Survente","AU-DESSUS du PM - Surachat"),"-")</f>
        <v>0</v>
      </c>
    </row>
    <row r="96" spans="1:8">
      <c r="A96" s="5" t="s">
        <v>122</v>
      </c>
      <c r="B96" s="6"/>
      <c r="C96" s="6"/>
      <c r="D96" s="16">
        <f>IFERROR((B96+C96)/2,"")</f>
        <v>0</v>
      </c>
      <c r="E96" s="10">
        <f>IFERROR(IF(B24&lt;D96,"EN DESSOUS du PM - Survente","AU-DESSUS du PM - Surachat"),"-")</f>
        <v>0</v>
      </c>
    </row>
    <row r="97" spans="1:8" ht="5" customHeight="1"/>
    <row r="98" spans="1:8" ht="20" customHeight="1">
      <c r="A98" s="3" t="s">
        <v>123</v>
      </c>
      <c r="B98" s="3"/>
      <c r="C98" s="3"/>
      <c r="D98" s="3"/>
      <c r="E98" s="3"/>
      <c r="F98" s="3"/>
      <c r="G98" s="3"/>
      <c r="H98" s="3"/>
    </row>
    <row r="99" spans="1:8">
      <c r="A99" s="4" t="s">
        <v>79</v>
      </c>
      <c r="B99" s="4" t="s">
        <v>67</v>
      </c>
      <c r="C99" s="4" t="s">
        <v>124</v>
      </c>
      <c r="D99" s="4" t="s">
        <v>26</v>
      </c>
    </row>
    <row r="100" spans="1:8">
      <c r="A100" s="5" t="s">
        <v>125</v>
      </c>
      <c r="B100" s="24">
        <f>B24</f>
        <v>0</v>
      </c>
      <c r="C100" s="21" t="s">
        <v>126</v>
      </c>
      <c r="D100" s="12"/>
    </row>
    <row r="101" spans="1:8">
      <c r="A101" s="5" t="s">
        <v>127</v>
      </c>
      <c r="B101" s="23">
        <f>B25</f>
        <v>0</v>
      </c>
      <c r="C101" s="21" t="s">
        <v>128</v>
      </c>
      <c r="D101" s="12"/>
    </row>
    <row r="102" spans="1:8">
      <c r="A102" s="5" t="s">
        <v>129</v>
      </c>
      <c r="B102" s="32"/>
      <c r="C102" s="21" t="s">
        <v>130</v>
      </c>
      <c r="D102" s="12"/>
    </row>
    <row r="103" spans="1:8">
      <c r="A103" s="5" t="s">
        <v>131</v>
      </c>
      <c r="B103" s="23">
        <f>IFERROR(B25*(1+B102/100),"")</f>
        <v>0</v>
      </c>
      <c r="C103" s="21" t="s">
        <v>132</v>
      </c>
      <c r="D103" s="12"/>
    </row>
    <row r="104" spans="1:8">
      <c r="A104" s="5" t="s">
        <v>133</v>
      </c>
      <c r="B104" s="25">
        <f>IFERROR(B24/B103,"")</f>
        <v>0</v>
      </c>
      <c r="C104" s="21" t="s">
        <v>134</v>
      </c>
      <c r="D104" s="10">
        <f>IFERROR(IF(B104&gt;15,"Surevalue - Surachat",IF(B104&lt;9,"Sous-evalue - Survente","Normal (9-15)")),"-")</f>
        <v>0</v>
      </c>
    </row>
    <row r="105" spans="1:8" ht="5" customHeight="1"/>
    <row r="106" spans="1:8" ht="20" customHeight="1">
      <c r="A106" s="3" t="s">
        <v>135</v>
      </c>
      <c r="B106" s="3"/>
      <c r="C106" s="3"/>
      <c r="D106" s="3"/>
      <c r="E106" s="3"/>
      <c r="F106" s="3"/>
      <c r="G106" s="3"/>
      <c r="H106" s="3"/>
    </row>
    <row r="107" spans="1:8" ht="25" customHeight="1">
      <c r="A107" s="33" t="s">
        <v>136</v>
      </c>
      <c r="B107" s="33"/>
      <c r="C107" s="33"/>
      <c r="D107" s="33"/>
      <c r="E107" s="33"/>
      <c r="F107" s="33"/>
      <c r="G107" s="33"/>
      <c r="H107" s="33"/>
    </row>
    <row r="108" spans="1:8">
      <c r="A108" s="4" t="s">
        <v>79</v>
      </c>
      <c r="B108" s="4" t="s">
        <v>67</v>
      </c>
      <c r="C108" s="4" t="s">
        <v>137</v>
      </c>
      <c r="D108" s="4" t="s">
        <v>26</v>
      </c>
    </row>
    <row r="109" spans="1:8">
      <c r="A109" s="5" t="s">
        <v>138</v>
      </c>
      <c r="B109" s="32"/>
      <c r="C109" s="21" t="s">
        <v>139</v>
      </c>
      <c r="D109" s="12"/>
    </row>
    <row r="110" spans="1:8">
      <c r="A110" s="5" t="s">
        <v>140</v>
      </c>
      <c r="B110" s="18"/>
      <c r="C110" s="21" t="s">
        <v>141</v>
      </c>
      <c r="D110" s="12"/>
    </row>
    <row r="111" spans="1:8">
      <c r="A111" s="5" t="s">
        <v>142</v>
      </c>
      <c r="B111" s="23">
        <f>IFERROR(IF(B110=0,"Aucun dividende",B110*(1+B109/100)),"")</f>
        <v>0</v>
      </c>
      <c r="C111" s="21" t="s">
        <v>143</v>
      </c>
      <c r="D111" s="12"/>
    </row>
    <row r="112" spans="1:8">
      <c r="A112" s="5" t="s">
        <v>144</v>
      </c>
      <c r="B112" s="32">
        <v>6.5</v>
      </c>
      <c r="C112" s="21" t="s">
        <v>145</v>
      </c>
      <c r="D112" s="12"/>
    </row>
    <row r="113" spans="1:8">
      <c r="A113" s="5" t="s">
        <v>146</v>
      </c>
      <c r="B113" s="23">
        <f>IFERROR(IF(B110=0,"N/A",100*B111/B112),"")</f>
        <v>0</v>
      </c>
      <c r="C113" s="21" t="s">
        <v>147</v>
      </c>
      <c r="D113" s="12"/>
    </row>
    <row r="114" spans="1:8">
      <c r="A114" s="5" t="s">
        <v>148</v>
      </c>
      <c r="B114" s="23">
        <f>IFERROR(IF(ISNUMBER(B113),B113*0.95,"N/A"),"")</f>
        <v>0</v>
      </c>
      <c r="C114" s="21" t="s">
        <v>149</v>
      </c>
      <c r="D114" s="12"/>
    </row>
    <row r="115" spans="1:8">
      <c r="A115" s="5" t="s">
        <v>150</v>
      </c>
      <c r="B115" s="23">
        <f>IFERROR(IF(ISNUMBER(B113),B113*1.05,"N/A"),"")</f>
        <v>0</v>
      </c>
      <c r="C115" s="21" t="s">
        <v>151</v>
      </c>
      <c r="D115" s="12"/>
    </row>
    <row r="116" spans="1:8">
      <c r="A116" s="5" t="s">
        <v>152</v>
      </c>
      <c r="B116" s="31">
        <f>IFERROR(IF(NOT(ISNUMBER(B113)),"PCD N/A - pas de dividende",IF(B24&lt;B114,"EN DESSOUS zone cible - Survente",IF(B24&gt;B115,"AU-DESSUS zone cible - Surachat","DANS LA ZONE CIBLE"))),"")</f>
        <v>0</v>
      </c>
      <c r="C116" s="21" t="s">
        <v>153</v>
      </c>
      <c r="D116" s="12"/>
    </row>
    <row r="117" spans="1:8" ht="5" customHeight="1"/>
    <row r="118" spans="1:8" ht="20" customHeight="1">
      <c r="A118" s="3" t="s">
        <v>154</v>
      </c>
      <c r="B118" s="3"/>
      <c r="C118" s="3"/>
      <c r="D118" s="3"/>
      <c r="E118" s="3"/>
      <c r="F118" s="3"/>
      <c r="G118" s="3"/>
      <c r="H118" s="3"/>
    </row>
    <row r="119" spans="1:8">
      <c r="A119" s="34" t="s">
        <v>155</v>
      </c>
      <c r="B119" s="34"/>
      <c r="C119" s="34"/>
      <c r="D119" s="34"/>
      <c r="E119" s="34"/>
      <c r="F119" s="34"/>
      <c r="G119" s="34"/>
      <c r="H119" s="34"/>
    </row>
    <row r="120" spans="1:8">
      <c r="A120" s="4" t="s">
        <v>79</v>
      </c>
      <c r="B120" s="4" t="s">
        <v>67</v>
      </c>
      <c r="C120" s="4" t="s">
        <v>156</v>
      </c>
      <c r="D120" s="4" t="s">
        <v>26</v>
      </c>
    </row>
    <row r="121" spans="1:8">
      <c r="A121" s="5" t="s">
        <v>157</v>
      </c>
      <c r="B121" s="18"/>
      <c r="C121" s="21" t="s">
        <v>158</v>
      </c>
      <c r="D121" s="12"/>
    </row>
    <row r="122" spans="1:8">
      <c r="A122" s="5" t="s">
        <v>159</v>
      </c>
      <c r="B122" s="32">
        <v>8</v>
      </c>
      <c r="C122" s="21" t="s">
        <v>160</v>
      </c>
      <c r="D122" s="12"/>
    </row>
    <row r="123" spans="1:8">
      <c r="A123" s="5" t="s">
        <v>161</v>
      </c>
      <c r="B123" s="32">
        <v>2</v>
      </c>
      <c r="C123" s="21" t="s">
        <v>162</v>
      </c>
      <c r="D123" s="12"/>
    </row>
    <row r="124" spans="1:8">
      <c r="A124" s="5" t="s">
        <v>163</v>
      </c>
      <c r="B124" s="35">
        <f>IFERROR(IF(B121=0,"Saisir D1",B121/((B122/100)-(B123/100))),"")</f>
        <v>0</v>
      </c>
      <c r="C124" s="21" t="s">
        <v>164</v>
      </c>
      <c r="D124" s="12"/>
    </row>
    <row r="125" spans="1:8">
      <c r="A125" s="5" t="s">
        <v>165</v>
      </c>
      <c r="B125" s="31">
        <f>IFERROR(IF(NOT(ISNUMBER(B124)),"Saisir D1",IF(B24&lt;B124*0.95,"Prix SOUS P0 - Opportunite achat",IF(B24&gt;B124*1.05,"Prix SUR P0 - Surevalue","Dans la zone P0"))),"")</f>
        <v>0</v>
      </c>
      <c r="C125" s="21" t="s">
        <v>153</v>
      </c>
      <c r="D125" s="12"/>
    </row>
    <row r="127" spans="1:8" ht="5" customHeight="1"/>
    <row r="128" spans="1:8" ht="20" customHeight="1">
      <c r="A128" s="3" t="s">
        <v>166</v>
      </c>
      <c r="B128" s="3"/>
      <c r="C128" s="3"/>
      <c r="D128" s="3"/>
      <c r="E128" s="3"/>
      <c r="F128" s="3"/>
      <c r="G128" s="3"/>
      <c r="H128" s="3"/>
    </row>
    <row r="129" spans="1:8">
      <c r="A129" s="4" t="s">
        <v>79</v>
      </c>
      <c r="B129" s="4" t="s">
        <v>67</v>
      </c>
      <c r="C129" s="4" t="s">
        <v>167</v>
      </c>
      <c r="D129" s="4" t="s">
        <v>26</v>
      </c>
    </row>
    <row r="130" spans="1:8">
      <c r="A130" s="5" t="s">
        <v>168</v>
      </c>
      <c r="B130" s="6"/>
      <c r="C130" s="21" t="s">
        <v>169</v>
      </c>
      <c r="D130" s="12"/>
    </row>
    <row r="131" spans="1:8">
      <c r="A131" s="5" t="s">
        <v>170</v>
      </c>
      <c r="B131" s="23">
        <f>IFERROR(B130*0.90,"")</f>
        <v>0</v>
      </c>
      <c r="C131" s="21" t="s">
        <v>171</v>
      </c>
      <c r="D131" s="12"/>
    </row>
    <row r="132" spans="1:8">
      <c r="A132" s="5" t="s">
        <v>172</v>
      </c>
      <c r="B132" s="6"/>
      <c r="C132" s="21" t="s">
        <v>173</v>
      </c>
      <c r="D132" s="12"/>
    </row>
    <row r="133" spans="1:8">
      <c r="A133" s="5" t="s">
        <v>174</v>
      </c>
      <c r="B133" s="23">
        <f>IFERROR(B130-B131,"")</f>
        <v>0</v>
      </c>
      <c r="C133" s="21" t="s">
        <v>175</v>
      </c>
      <c r="D133" s="12"/>
    </row>
    <row r="134" spans="1:8">
      <c r="A134" s="5" t="s">
        <v>176</v>
      </c>
      <c r="B134" s="23">
        <f>IFERROR(B132-B130,"")</f>
        <v>0</v>
      </c>
      <c r="C134" s="21" t="s">
        <v>177</v>
      </c>
      <c r="D134" s="12"/>
    </row>
    <row r="135" spans="1:8">
      <c r="A135" s="5" t="s">
        <v>178</v>
      </c>
      <c r="B135" s="25">
        <f>IFERROR(B134/B133,"")</f>
        <v>0</v>
      </c>
      <c r="C135" s="21" t="s">
        <v>179</v>
      </c>
      <c r="D135" s="10">
        <f>IFERROR(IF(B135&gt;=2,"Bon (&gt;= 2:1)",IF(B135&gt;=1,"Acceptable (1:1)","Mauvais")),"")</f>
        <v>0</v>
      </c>
    </row>
    <row r="136" spans="1:8" ht="5" customHeight="1"/>
    <row r="137" spans="1:8" ht="20" customHeight="1">
      <c r="A137" s="3" t="s">
        <v>180</v>
      </c>
      <c r="B137" s="3"/>
      <c r="C137" s="3"/>
      <c r="D137" s="3"/>
      <c r="E137" s="3"/>
      <c r="F137" s="3"/>
      <c r="G137" s="3"/>
      <c r="H137" s="3"/>
    </row>
    <row r="138" spans="1:8" ht="40" customHeight="1">
      <c r="A138" s="27"/>
      <c r="B138" s="27"/>
      <c r="C138" s="27"/>
      <c r="D138" s="27"/>
      <c r="E138" s="27"/>
      <c r="F138" s="27"/>
      <c r="G138" s="27"/>
      <c r="H138" s="27"/>
    </row>
    <row r="139" spans="1:8">
      <c r="A139" s="27"/>
      <c r="B139" s="27"/>
      <c r="C139" s="27"/>
      <c r="D139" s="27"/>
      <c r="E139" s="27"/>
      <c r="F139" s="27"/>
      <c r="G139" s="27"/>
      <c r="H139" s="27"/>
    </row>
    <row r="140" spans="1:8">
      <c r="A140" s="27"/>
      <c r="B140" s="27"/>
      <c r="C140" s="27"/>
      <c r="D140" s="27"/>
      <c r="E140" s="27"/>
      <c r="F140" s="27"/>
      <c r="G140" s="27"/>
      <c r="H140" s="27"/>
    </row>
    <row r="141" spans="1:8" ht="26" customHeight="1">
      <c r="A141" s="1" t="s">
        <v>181</v>
      </c>
      <c r="B141" s="1"/>
      <c r="C141" s="1"/>
      <c r="D141" s="1"/>
      <c r="E141" s="1"/>
      <c r="F141" s="1"/>
      <c r="G141" s="1"/>
      <c r="H141" s="1"/>
    </row>
    <row r="143" spans="1:8" ht="5" customHeight="1"/>
    <row r="144" spans="1:8" ht="20" customHeight="1">
      <c r="A144" s="3" t="s">
        <v>182</v>
      </c>
      <c r="B144" s="3"/>
      <c r="C144" s="3"/>
      <c r="D144" s="3"/>
      <c r="E144" s="3"/>
      <c r="F144" s="3"/>
      <c r="G144" s="3"/>
      <c r="H144" s="3"/>
    </row>
    <row r="145" spans="1:8" ht="30" customHeight="1">
      <c r="A145" s="36" t="s">
        <v>183</v>
      </c>
      <c r="B145" s="36"/>
      <c r="C145" s="36"/>
      <c r="D145" s="36"/>
      <c r="E145" s="36"/>
      <c r="F145" s="36"/>
      <c r="G145" s="36"/>
      <c r="H145" s="36"/>
    </row>
    <row r="146" spans="1:8">
      <c r="A146" s="4" t="s">
        <v>13</v>
      </c>
      <c r="B146" s="4" t="s">
        <v>184</v>
      </c>
      <c r="C146" s="4" t="s">
        <v>185</v>
      </c>
      <c r="D146" s="4" t="s">
        <v>186</v>
      </c>
      <c r="E146" s="4" t="s">
        <v>187</v>
      </c>
    </row>
    <row r="147" spans="1:8">
      <c r="A147" s="5" t="s">
        <v>2</v>
      </c>
      <c r="B147" s="9">
        <f>B12</f>
        <v>0</v>
      </c>
      <c r="C147" s="6"/>
      <c r="D147" s="9">
        <f>IFERROR(B147-C147,"")</f>
        <v>0</v>
      </c>
      <c r="E147" s="7">
        <f>IFERROR(D147/B8*100,"")</f>
        <v>0</v>
      </c>
    </row>
    <row r="148" spans="1:8">
      <c r="A148" s="5" t="s">
        <v>3</v>
      </c>
      <c r="B148" s="9">
        <f>C12</f>
        <v>0</v>
      </c>
      <c r="C148" s="6"/>
      <c r="D148" s="9">
        <f>IFERROR(B148-C148,"")</f>
        <v>0</v>
      </c>
      <c r="E148" s="7">
        <f>IFERROR(D148/C8*100,"")</f>
        <v>0</v>
      </c>
    </row>
    <row r="149" spans="1:8">
      <c r="A149" s="5" t="s">
        <v>4</v>
      </c>
      <c r="B149" s="9">
        <f>D12</f>
        <v>0</v>
      </c>
      <c r="C149" s="6"/>
      <c r="D149" s="9">
        <f>IFERROR(B149-C149,"")</f>
        <v>0</v>
      </c>
      <c r="E149" s="7">
        <f>IFERROR(D149/D8*100,"")</f>
        <v>0</v>
      </c>
    </row>
    <row r="150" spans="1:8">
      <c r="A150" s="5" t="s">
        <v>5</v>
      </c>
      <c r="B150" s="9">
        <f>E12</f>
        <v>0</v>
      </c>
      <c r="C150" s="6"/>
      <c r="D150" s="9">
        <f>IFERROR(B150-C150,"")</f>
        <v>0</v>
      </c>
      <c r="E150" s="7">
        <f>IFERROR(D150/E8*100,"")</f>
        <v>0</v>
      </c>
    </row>
    <row r="151" spans="1:8">
      <c r="A151" s="5" t="s">
        <v>21</v>
      </c>
      <c r="B151" s="9">
        <f>F12</f>
        <v>0</v>
      </c>
      <c r="C151" s="6"/>
      <c r="D151" s="9">
        <f>IFERROR(B151-C151,"")</f>
        <v>0</v>
      </c>
      <c r="E151" s="7">
        <f>IFERROR(D151/F8*100,"")</f>
        <v>0</v>
      </c>
    </row>
    <row r="152" spans="1:8" ht="5" customHeight="1"/>
    <row r="153" spans="1:8">
      <c r="A153" s="5" t="s">
        <v>188</v>
      </c>
      <c r="B153" s="16">
        <f>IFERROR(D151*1000000/B28,"")</f>
        <v>0</v>
      </c>
      <c r="C153" s="5" t="s">
        <v>189</v>
      </c>
      <c r="D153" s="7">
        <f>IFERROR(B24/B153,"")</f>
        <v>0</v>
      </c>
      <c r="E153" s="10">
        <f>IFERROR(IF(D153&gt;15,"PER normalise eleve",IF(D153&lt;9,"Sous-evalue normalise","Normal (9-15)")),"-")</f>
        <v>0</v>
      </c>
    </row>
    <row r="154" spans="1:8">
      <c r="A154" s="5" t="s">
        <v>190</v>
      </c>
      <c r="B154" s="10">
        <f>IFERROR(IF(C151&lt;0,"Mauvais resultat PONCTUEL — RN recurrent &gt; RN publie — opportunite contrarian potentielle",IF(C151&gt;0,"Resultat FLATTE par elements exceptionnels — prudence sur la valorisation","Pas d'element exceptionnel detecte — RN publie = RN recurrent")),"-")</f>
        <v>0</v>
      </c>
    </row>
    <row r="155" spans="1:8" ht="5" customHeight="1"/>
    <row r="156" spans="1:8" ht="20" customHeight="1">
      <c r="A156" s="3" t="s">
        <v>191</v>
      </c>
      <c r="B156" s="3"/>
      <c r="C156" s="3"/>
      <c r="D156" s="3"/>
      <c r="E156" s="3"/>
      <c r="F156" s="3"/>
      <c r="G156" s="3"/>
      <c r="H156" s="3"/>
    </row>
    <row r="157" spans="1:8">
      <c r="A157" s="4" t="s">
        <v>79</v>
      </c>
      <c r="B157" s="4" t="s">
        <v>67</v>
      </c>
      <c r="C157" s="4" t="s">
        <v>192</v>
      </c>
      <c r="D157" s="4" t="s">
        <v>193</v>
      </c>
      <c r="E157" s="4" t="s">
        <v>26</v>
      </c>
    </row>
    <row r="158" spans="1:8">
      <c r="A158" s="5" t="s">
        <v>194</v>
      </c>
      <c r="B158" s="7">
        <f>IFERROR(CHOOSE(MATCH(PROFIL!B5,{"Banque","Assurance","Industrie","Distribution","Telecom","Autre"},0),10,12,13,14,8,12),12)</f>
        <v>0</v>
      </c>
      <c r="C158" s="14" t="s">
        <v>195</v>
      </c>
      <c r="D158" s="14"/>
      <c r="E158" s="14"/>
      <c r="F158" s="14"/>
      <c r="G158" s="14"/>
    </row>
    <row r="159" spans="1:8">
      <c r="A159" s="5" t="s">
        <v>196</v>
      </c>
      <c r="B159" s="37">
        <v>5</v>
      </c>
      <c r="C159" s="14" t="s">
        <v>197</v>
      </c>
      <c r="D159" s="14"/>
      <c r="E159" s="14"/>
      <c r="F159" s="14"/>
      <c r="G159" s="14"/>
    </row>
    <row r="160" spans="1:8" ht="5" customHeight="1"/>
    <row r="161" spans="1:8">
      <c r="A161" s="5" t="s">
        <v>198</v>
      </c>
      <c r="B161" s="7">
        <f>IFERROR(B30,"")</f>
        <v>0</v>
      </c>
      <c r="C161" s="22">
        <f>B158</f>
        <v>0</v>
      </c>
      <c r="D161" s="7">
        <f>IFERROR((B30/B158-1)*100,"")</f>
        <v>0</v>
      </c>
      <c r="E161" s="10">
        <f>IFERROR(IF((B30/B158-1)*100&lt;=-20,"Forte decote sectorielle — opportunite",IF((B30/B158-1)*100&lt;=-5,"Legere decote sectorielle",IF((B30/B158-1)*100&lt;=15,"Dans la norme sectorielle","Prime elevee vs secteur — prudence"))),"-")</f>
        <v>0</v>
      </c>
    </row>
    <row r="162" spans="1:8">
      <c r="A162" s="5" t="s">
        <v>199</v>
      </c>
      <c r="B162" s="7">
        <f>IFERROR(AVERAGE(E39:E43),"")</f>
        <v>0</v>
      </c>
      <c r="C162" s="22">
        <f>B159</f>
        <v>0</v>
      </c>
      <c r="D162" s="7">
        <f>IFERROR((AVERAGE(E39:E43)/B159-1)*100,"")</f>
        <v>0</v>
      </c>
      <c r="E162" s="10">
        <f>IFERROR(IF(AVERAGE(E39:E43)&gt;=B159*1.2,"Rendement superieur au marche — attractif",IF(AVERAGE(E39:E43)&gt;=B159,"Dans la moyenne du marche","Rendement inferieur au marche")),"-")</f>
        <v>0</v>
      </c>
    </row>
    <row r="163" spans="1:8" ht="5" customHeight="1"/>
    <row r="164" spans="1:8" ht="20" customHeight="1">
      <c r="A164" s="3" t="s">
        <v>200</v>
      </c>
      <c r="B164" s="3"/>
      <c r="C164" s="3"/>
      <c r="D164" s="3"/>
      <c r="E164" s="3"/>
      <c r="F164" s="3"/>
      <c r="G164" s="3"/>
      <c r="H164" s="3"/>
    </row>
    <row r="165" spans="1:8">
      <c r="A165" s="4" t="s">
        <v>66</v>
      </c>
      <c r="B165" s="4" t="s">
        <v>67</v>
      </c>
      <c r="C165" s="4" t="s">
        <v>17</v>
      </c>
      <c r="D165" s="4" t="s">
        <v>201</v>
      </c>
    </row>
    <row r="166" spans="1:8">
      <c r="A166" s="5" t="s">
        <v>202</v>
      </c>
      <c r="B166" s="38">
        <f>COUNTIF(B39:B43,"&gt;0")</f>
        <v>0</v>
      </c>
      <c r="C166" s="10">
        <f>IFERROR(IF(B166=5,"Regulier 5/5 — fiable",IF(B166&gt;=4,"Quasi-regulier 4/5",IF(B166&gt;=3,"Irregulier 3/5","Tres irregulier — risque dividende"))),"-")</f>
        <v>0</v>
      </c>
      <c r="D166" s="38">
        <f>IF(B166=5,2,IF(B166&gt;=4,1,0))</f>
        <v>0</v>
      </c>
    </row>
    <row r="167" spans="1:8">
      <c r="A167" s="5" t="s">
        <v>203</v>
      </c>
      <c r="B167" s="8">
        <f>IFERROR(IF(OR(B39&lt;=0,B43&lt;=0),"N/A",(B43/B39)^(1/4)-1),"N/A")</f>
        <v>0</v>
      </c>
      <c r="C167" s="10">
        <f>IFERROR(IF(NOT(ISNUMBER(B167)),"Dividende absent",IF(B167&gt;0.05,"Forte croissance dividende",IF(B167&gt;0,"Croissance modeste","Dividende en baisse"))),"-")</f>
        <v>0</v>
      </c>
      <c r="D167" s="38">
        <f>IFERROR(IF(ISNUMBER(B167),IF(B167&gt;0,1,0),0),0)</f>
        <v>0</v>
      </c>
    </row>
    <row r="168" spans="1:8">
      <c r="A168" s="19" t="s">
        <v>204</v>
      </c>
      <c r="B168" s="39">
        <f>IFERROR(D166+D167,0)</f>
        <v>0</v>
      </c>
      <c r="C168" s="10">
        <f>IFERROR(IF(D166+D167&gt;=3,"Dividende tres fiable",IF(D166+D167&gt;=2,"Dividende assez fiable","Dividende peu fiable — risque")),"-")</f>
        <v>0</v>
      </c>
      <c r="D168" s="21" t="s">
        <v>205</v>
      </c>
    </row>
    <row r="169" spans="1:8" ht="5" customHeight="1"/>
    <row r="170" spans="1:8" ht="20" customHeight="1">
      <c r="A170" s="3" t="s">
        <v>206</v>
      </c>
      <c r="B170" s="3"/>
      <c r="C170" s="3"/>
      <c r="D170" s="3"/>
      <c r="E170" s="3"/>
      <c r="F170" s="3"/>
      <c r="G170" s="3"/>
      <c r="H170" s="3"/>
    </row>
    <row r="171" spans="1:8">
      <c r="A171" s="4" t="s">
        <v>207</v>
      </c>
      <c r="B171" s="4" t="s">
        <v>26</v>
      </c>
      <c r="C171" s="4" t="s">
        <v>208</v>
      </c>
      <c r="D171" s="4" t="s">
        <v>209</v>
      </c>
    </row>
    <row r="172" spans="1:8">
      <c r="A172" s="5" t="s">
        <v>210</v>
      </c>
      <c r="B172" s="10">
        <f>IFERROR(IF(B30&lt;B158,"OUI","NON"),"-")</f>
        <v>0</v>
      </c>
      <c r="C172" s="10">
        <f>IFERROR("PER="&amp;ROUND(B30,1)&amp;" vs sectoriel="&amp;B158,"-")</f>
        <v>0</v>
      </c>
      <c r="D172" s="38">
        <f>IFERROR(IF(B30&lt;B158*0.85,2,IF(B30&lt;B158,1,0)),0)</f>
        <v>0</v>
      </c>
    </row>
    <row r="173" spans="1:8">
      <c r="A173" s="5" t="s">
        <v>211</v>
      </c>
      <c r="B173" s="10">
        <f>IFERROR(IF(B24&lt;B31,"OUI — decote comptable","NON"),"-")</f>
        <v>0</v>
      </c>
      <c r="C173" s="10">
        <f>IFERROR("Prix="&amp;B24&amp;" FCFA  vs VMC="&amp;ROUND(B31,0)&amp;" FCFA","-")</f>
        <v>0</v>
      </c>
      <c r="D173" s="38">
        <f>IFERROR(IF(B24&lt;B31*0.85,2,IF(B24&lt;B31,1,0)),0)</f>
        <v>0</v>
      </c>
    </row>
    <row r="174" spans="1:8">
      <c r="A174" s="5" t="s">
        <v>212</v>
      </c>
      <c r="B174" s="10">
        <f>IFERROR(IF(B33&gt;=10,"OUI","NON"),"-")</f>
        <v>0</v>
      </c>
      <c r="C174" s="10">
        <f>IFERROR("ROE="&amp;ROUND(B33,1)&amp;"%","-")</f>
        <v>0</v>
      </c>
      <c r="D174" s="38">
        <f>IFERROR(IF(B33&gt;=15,2,IF(B33&gt;=10,1,0)),0)</f>
        <v>0</v>
      </c>
    </row>
    <row r="175" spans="1:8">
      <c r="A175" s="5" t="s">
        <v>213</v>
      </c>
      <c r="B175" s="10">
        <f>IFERROR(IF(B168&gt;=2,"OUI","NON"),"-")</f>
        <v>0</v>
      </c>
      <c r="C175" s="10">
        <f>IFERROR(C168,"-")</f>
        <v>0</v>
      </c>
      <c r="D175" s="38">
        <f>IFERROR(MIN(B168,2),0)</f>
        <v>0</v>
      </c>
    </row>
    <row r="176" spans="1:8">
      <c r="A176" s="5" t="s">
        <v>214</v>
      </c>
      <c r="B176" s="10">
        <f>IFERROR(IF(B24&lt;D95,"OUI — survente","NON"),"-")</f>
        <v>0</v>
      </c>
      <c r="C176" s="10">
        <f>IFERROR("Prix="&amp;B24&amp;" FCFA  vs PM1an="&amp;ROUND(D95,0)&amp;" FCFA","-")</f>
        <v>0</v>
      </c>
      <c r="D176" s="38">
        <f>IFERROR(IF(B24&lt;D95,1,0),0)</f>
        <v>0</v>
      </c>
    </row>
    <row r="177" spans="1:8">
      <c r="A177" s="5" t="s">
        <v>215</v>
      </c>
      <c r="B177" s="10">
        <f>IFERROR(IF(G16&gt;=5,"OUI","NON"),"-")</f>
        <v>0</v>
      </c>
      <c r="C177" s="10">
        <f>IFERROR("Marge moy="&amp;ROUND(G16,1)&amp;"%","-")</f>
        <v>0</v>
      </c>
      <c r="D177" s="38">
        <f>IFERROR(IF(G16&gt;=10,2,IF(G16&gt;=5,1,0)),0)</f>
        <v>0</v>
      </c>
    </row>
    <row r="178" spans="1:8">
      <c r="A178" s="19" t="s">
        <v>216</v>
      </c>
      <c r="B178" s="12"/>
      <c r="C178" s="21" t="s">
        <v>217</v>
      </c>
      <c r="D178" s="40">
        <f>IFERROR(SUM(D172:D177),0)</f>
        <v>0</v>
      </c>
    </row>
    <row r="179" spans="1:8" ht="30" customHeight="1">
      <c r="A179" s="41" t="s">
        <v>218</v>
      </c>
      <c r="B179" s="41"/>
      <c r="C179" s="41"/>
      <c r="D179" s="41"/>
      <c r="E179" s="42">
        <f>IFERROR(IF(D178&gt;=7,"FORTE OPPORTUNITE CONTRARIAN — fondamentaux sains, titre boude",IF(D178&gt;=5,"A SURVEILLER — signaux contrarians partiels","PAS DE SIGNAL CONTRARIAN — attendre")),"-")</f>
        <v>0</v>
      </c>
      <c r="F179" s="42"/>
      <c r="G179" s="42"/>
      <c r="H179" s="42"/>
    </row>
    <row r="180" spans="1:8" ht="5" customHeight="1"/>
    <row r="181" spans="1:8" ht="5" customHeight="1"/>
    <row r="182" spans="1:8" ht="22" customHeight="1">
      <c r="A182" s="1" t="s">
        <v>219</v>
      </c>
      <c r="B182" s="1"/>
      <c r="C182" s="1"/>
      <c r="D182" s="1"/>
      <c r="E182" s="1"/>
      <c r="F182" s="1"/>
      <c r="G182" s="1"/>
      <c r="H182" s="1"/>
    </row>
    <row r="183" spans="1:8" ht="5" customHeight="1"/>
    <row r="184" spans="1:8" ht="20" customHeight="1">
      <c r="A184" s="3" t="s">
        <v>220</v>
      </c>
      <c r="B184" s="3"/>
      <c r="C184" s="3"/>
      <c r="D184" s="3"/>
      <c r="E184" s="3"/>
      <c r="F184" s="3"/>
      <c r="G184" s="3"/>
      <c r="H184" s="3"/>
    </row>
    <row r="185" spans="1:8">
      <c r="A185" s="4" t="s">
        <v>221</v>
      </c>
      <c r="B185" s="4" t="s">
        <v>222</v>
      </c>
      <c r="C185" s="4"/>
      <c r="D185" s="4"/>
      <c r="E185" s="4"/>
      <c r="F185" s="4"/>
      <c r="G185" s="4"/>
      <c r="H185" s="4"/>
    </row>
    <row r="186" spans="1:8">
      <c r="A186" s="5" t="s">
        <v>223</v>
      </c>
      <c r="B186" s="9">
        <f>IFERROR(PROFIL!B16,"")</f>
        <v>0</v>
      </c>
      <c r="C186" s="12"/>
      <c r="D186" s="12"/>
      <c r="E186" s="12"/>
      <c r="F186" s="12"/>
      <c r="G186" s="12"/>
      <c r="H186" s="12"/>
    </row>
    <row r="187" spans="1:8">
      <c r="A187" s="5" t="s">
        <v>35</v>
      </c>
      <c r="B187" s="9">
        <f>IFERROR(PROFIL!B17,"")</f>
        <v>0</v>
      </c>
      <c r="C187" s="12"/>
      <c r="D187" s="12"/>
      <c r="E187" s="12"/>
      <c r="F187" s="12"/>
      <c r="G187" s="12"/>
      <c r="H187" s="12"/>
    </row>
    <row r="188" spans="1:8">
      <c r="A188" s="5" t="s">
        <v>224</v>
      </c>
      <c r="B188" s="43">
        <f>IFERROR(PROFIL!B18,"")</f>
        <v>0</v>
      </c>
      <c r="C188" s="12"/>
      <c r="D188" s="12"/>
      <c r="E188" s="12"/>
      <c r="F188" s="12"/>
      <c r="G188" s="12"/>
      <c r="H188" s="12"/>
    </row>
    <row r="189" spans="1:8">
      <c r="A189" s="5" t="s">
        <v>225</v>
      </c>
      <c r="B189" s="43">
        <f>IFERROR(PROFIL!B19,"")</f>
        <v>0</v>
      </c>
      <c r="C189" s="12"/>
      <c r="D189" s="12"/>
      <c r="E189" s="12"/>
      <c r="F189" s="12"/>
      <c r="G189" s="12"/>
      <c r="H189" s="12"/>
    </row>
    <row r="190" spans="1:8" ht="5" customHeight="1"/>
    <row r="191" spans="1:8" ht="20" customHeight="1">
      <c r="A191" s="3" t="s">
        <v>226</v>
      </c>
      <c r="B191" s="3"/>
      <c r="C191" s="3"/>
      <c r="D191" s="3"/>
      <c r="E191" s="3"/>
      <c r="F191" s="3"/>
      <c r="G191" s="3"/>
      <c r="H191" s="3"/>
    </row>
    <row r="192" spans="1:8">
      <c r="A192" s="4" t="s">
        <v>221</v>
      </c>
      <c r="B192" s="4" t="s">
        <v>222</v>
      </c>
      <c r="C192" s="4"/>
      <c r="D192" s="4"/>
      <c r="E192" s="4"/>
      <c r="F192" s="4"/>
      <c r="G192" s="4"/>
      <c r="H192" s="4"/>
    </row>
    <row r="193" spans="1:8">
      <c r="A193" s="5" t="s">
        <v>227</v>
      </c>
      <c r="B193" s="9">
        <f>IFERROR(PROFIL!B22,"")</f>
        <v>0</v>
      </c>
      <c r="C193" s="12"/>
      <c r="D193" s="12"/>
      <c r="E193" s="12"/>
      <c r="F193" s="12"/>
      <c r="G193" s="12"/>
      <c r="H193" s="12"/>
    </row>
    <row r="194" spans="1:8">
      <c r="A194" s="5" t="s">
        <v>228</v>
      </c>
      <c r="B194" s="9">
        <f>IFERROR(PROFIL!B23,"")</f>
        <v>0</v>
      </c>
      <c r="C194" s="12"/>
      <c r="D194" s="12"/>
      <c r="E194" s="12"/>
      <c r="F194" s="12"/>
      <c r="G194" s="12"/>
      <c r="H194" s="12"/>
    </row>
    <row r="195" spans="1:8">
      <c r="A195" s="5" t="s">
        <v>229</v>
      </c>
      <c r="B195" s="43">
        <f>IFERROR(PROFIL!B24,"")</f>
        <v>0</v>
      </c>
      <c r="C195" s="12"/>
      <c r="D195" s="12"/>
      <c r="E195" s="12"/>
      <c r="F195" s="12"/>
      <c r="G195" s="12"/>
      <c r="H195" s="12"/>
    </row>
    <row r="196" spans="1:8">
      <c r="A196" s="5" t="s">
        <v>230</v>
      </c>
      <c r="B196" s="43">
        <f>IFERROR(PROFIL!B25,"")</f>
        <v>0</v>
      </c>
      <c r="C196" s="12"/>
      <c r="D196" s="12"/>
      <c r="E196" s="12"/>
      <c r="F196" s="12"/>
      <c r="G196" s="12"/>
      <c r="H196" s="12"/>
    </row>
    <row r="197" spans="1:8" ht="5" customHeight="1"/>
    <row r="198" spans="1:8" ht="20" customHeight="1">
      <c r="A198" s="3" t="s">
        <v>231</v>
      </c>
      <c r="B198" s="3"/>
      <c r="C198" s="3"/>
      <c r="D198" s="3"/>
      <c r="E198" s="3"/>
      <c r="F198" s="3"/>
      <c r="G198" s="3"/>
      <c r="H198" s="3"/>
    </row>
    <row r="199" spans="1:8">
      <c r="A199" s="4" t="s">
        <v>221</v>
      </c>
      <c r="B199" s="4" t="s">
        <v>222</v>
      </c>
      <c r="C199" s="4"/>
      <c r="D199" s="4"/>
      <c r="E199" s="4"/>
      <c r="F199" s="4"/>
      <c r="G199" s="4"/>
      <c r="H199" s="4"/>
    </row>
    <row r="200" spans="1:8">
      <c r="A200" s="5" t="s">
        <v>72</v>
      </c>
      <c r="B200" s="43">
        <f>IFERROR(PROFIL!B28,"")</f>
        <v>0</v>
      </c>
      <c r="C200" s="12"/>
      <c r="D200" s="12"/>
      <c r="E200" s="12"/>
      <c r="F200" s="12"/>
      <c r="G200" s="12"/>
      <c r="H200" s="12"/>
    </row>
    <row r="201" spans="1:8">
      <c r="A201" s="5" t="s">
        <v>232</v>
      </c>
      <c r="B201" s="43">
        <f>IFERROR(PROFIL!B29,"")</f>
        <v>0</v>
      </c>
      <c r="C201" s="12"/>
      <c r="D201" s="12"/>
      <c r="E201" s="12"/>
      <c r="F201" s="12"/>
      <c r="G201" s="12"/>
      <c r="H201" s="12"/>
    </row>
    <row r="202" spans="1:8">
      <c r="A202" s="5" t="s">
        <v>233</v>
      </c>
      <c r="B202" s="43">
        <f>IFERROR(PROFIL!B30,"")</f>
        <v>0</v>
      </c>
      <c r="C202" s="12"/>
      <c r="D202" s="12"/>
      <c r="E202" s="12"/>
      <c r="F202" s="12"/>
      <c r="G202" s="12"/>
      <c r="H202" s="12"/>
    </row>
    <row r="203" spans="1:8">
      <c r="A203" s="5" t="s">
        <v>234</v>
      </c>
      <c r="B203" s="43">
        <f>IFERROR(PROFIL!B31,"")</f>
        <v>0</v>
      </c>
      <c r="C203" s="12"/>
      <c r="D203" s="12"/>
      <c r="E203" s="12"/>
      <c r="F203" s="12"/>
      <c r="G203" s="12"/>
      <c r="H203" s="12"/>
    </row>
    <row r="204" spans="1:8" ht="5" customHeight="1"/>
  </sheetData>
  <mergeCells count="44">
    <mergeCell ref="A1:H1"/>
    <mergeCell ref="A2:H2"/>
    <mergeCell ref="A4:H4"/>
    <mergeCell ref="A6:H6"/>
    <mergeCell ref="A10:H10"/>
    <mergeCell ref="A14:H14"/>
    <mergeCell ref="A22:H22"/>
    <mergeCell ref="C24:G24"/>
    <mergeCell ref="C25:G25"/>
    <mergeCell ref="C26:G26"/>
    <mergeCell ref="C27:G27"/>
    <mergeCell ref="C28:G28"/>
    <mergeCell ref="A36:H36"/>
    <mergeCell ref="A38:F38"/>
    <mergeCell ref="A45:H45"/>
    <mergeCell ref="A54:H54"/>
    <mergeCell ref="A61:H61"/>
    <mergeCell ref="A77:H77"/>
    <mergeCell ref="A78:H80"/>
    <mergeCell ref="A81:H81"/>
    <mergeCell ref="A84:H84"/>
    <mergeCell ref="A93:H93"/>
    <mergeCell ref="A98:H98"/>
    <mergeCell ref="A106:H106"/>
    <mergeCell ref="A107:H107"/>
    <mergeCell ref="A118:H118"/>
    <mergeCell ref="A119:H119"/>
    <mergeCell ref="A128:H128"/>
    <mergeCell ref="A137:H137"/>
    <mergeCell ref="A138:H140"/>
    <mergeCell ref="A141:H141"/>
    <mergeCell ref="A144:H144"/>
    <mergeCell ref="A145:H145"/>
    <mergeCell ref="A156:H156"/>
    <mergeCell ref="C158:G158"/>
    <mergeCell ref="C159:G159"/>
    <mergeCell ref="A164:H164"/>
    <mergeCell ref="A170:H170"/>
    <mergeCell ref="A179:D179"/>
    <mergeCell ref="E179:H179"/>
    <mergeCell ref="A182:H182"/>
    <mergeCell ref="A184:H184"/>
    <mergeCell ref="A191:H191"/>
    <mergeCell ref="A198:H198"/>
  </mergeCells>
  <conditionalFormatting sqref="B172:B177">
    <cfRule type="containsText" dxfId="0" priority="14" operator="containsText" text="OUI">
      <formula>NOT(ISERROR(SEARCH("OUI",B172)))</formula>
    </cfRule>
    <cfRule type="containsText" dxfId="1" priority="15" operator="containsText" text="NON">
      <formula>NOT(ISERROR(SEARCH("NON",B172)))</formula>
    </cfRule>
  </conditionalFormatting>
  <conditionalFormatting sqref="D30:D34">
    <cfRule type="containsText" dxfId="0" priority="1" operator="containsText" text="Sous-evalue">
      <formula>NOT(ISERROR(SEARCH("Sous-evalue",D30)))</formula>
    </cfRule>
    <cfRule type="containsText" dxfId="0" priority="2" operator="containsText" text="sous-evaluee">
      <formula>NOT(ISERROR(SEARCH("sous-evaluee",D30)))</formula>
    </cfRule>
    <cfRule type="containsText" dxfId="0" priority="3" operator="containsText" text="Decote">
      <formula>NOT(ISERROR(SEARCH("Decote",D30)))</formula>
    </cfRule>
    <cfRule type="containsText" dxfId="0" priority="4" operator="containsText" text="Excellent">
      <formula>NOT(ISERROR(SEARCH("Excellent",D30)))</formula>
    </cfRule>
    <cfRule type="containsText" dxfId="0" priority="5" operator="containsText" text="Bon">
      <formula>NOT(ISERROR(SEARCH("Bon",D30)))</formula>
    </cfRule>
    <cfRule type="containsText" dxfId="0" priority="6" operator="containsText" text="SURVENTE">
      <formula>NOT(ISERROR(SEARCH("SURVENTE",D30)))</formula>
    </cfRule>
    <cfRule type="containsText" dxfId="1" priority="7" operator="containsText" text="Surevalue">
      <formula>NOT(ISERROR(SEARCH("Surevalue",D30)))</formula>
    </cfRule>
    <cfRule type="containsText" dxfId="1" priority="8" operator="containsText" text="surevaluee">
      <formula>NOT(ISERROR(SEARCH("surevaluee",D30)))</formula>
    </cfRule>
    <cfRule type="containsText" dxfId="1" priority="9" operator="containsText" text="Prime">
      <formula>NOT(ISERROR(SEARCH("Prime",D30)))</formula>
    </cfRule>
    <cfRule type="containsText" dxfId="1" priority="10" operator="containsText" text="Faible">
      <formula>NOT(ISERROR(SEARCH("Faible",D30)))</formula>
    </cfRule>
    <cfRule type="containsText" dxfId="1" priority="11" operator="containsText" text="SURACHAT">
      <formula>NOT(ISERROR(SEARCH("SURACHAT",D30)))</formula>
    </cfRule>
    <cfRule type="containsText" dxfId="2" priority="12" operator="containsText" text="Normal">
      <formula>NOT(ISERROR(SEARCH("Normal",D30)))</formula>
    </cfRule>
    <cfRule type="containsText" dxfId="2" priority="13" operator="containsText" text="Moyen">
      <formula>NOT(ISERROR(SEARCH("Moyen",D30)))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E3A5F"/>
  </sheetPr>
  <dimension ref="A1:E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3" width="20.7109375" customWidth="1"/>
    <col min="4" max="4" width="16.7109375" customWidth="1"/>
    <col min="5" max="5" width="20.7109375" customWidth="1"/>
  </cols>
  <sheetData>
    <row r="1" spans="1:5" ht="22" customHeight="1">
      <c r="A1" s="1" t="s">
        <v>235</v>
      </c>
      <c r="B1" s="1"/>
      <c r="C1" s="1"/>
      <c r="D1" s="1"/>
      <c r="E1" s="1"/>
    </row>
    <row r="2" spans="1:5" ht="16" customHeight="1">
      <c r="A2" s="2">
        <f>IFERROR(PROFIL!B3&amp;"  ("&amp;PROFIL!B4&amp;")  |  "&amp;PROFIL!B5&amp;"  |  Prix : "&amp;TEXT(ETUDE!B24,"#,##0")&amp;" FCFA  |  Date : "&amp;TEXT(PROFIL!B6,"dd/mm/yyyy"),"Completer le PROFIL")</f>
        <v>0</v>
      </c>
      <c r="B2" s="2"/>
      <c r="C2" s="2"/>
      <c r="D2" s="2"/>
      <c r="E2" s="2"/>
    </row>
    <row r="3" spans="1:5" ht="5" customHeight="1"/>
    <row r="4" spans="1:5" ht="18" customHeight="1">
      <c r="A4" s="44" t="s">
        <v>236</v>
      </c>
      <c r="B4" s="44"/>
      <c r="C4" s="44"/>
      <c r="D4" s="44"/>
      <c r="E4" s="44"/>
    </row>
    <row r="5" spans="1:5">
      <c r="A5" s="4" t="s">
        <v>207</v>
      </c>
      <c r="B5" s="4" t="s">
        <v>237</v>
      </c>
      <c r="C5" s="4" t="s">
        <v>238</v>
      </c>
      <c r="D5" s="4" t="s">
        <v>239</v>
      </c>
      <c r="E5" s="4" t="s">
        <v>240</v>
      </c>
    </row>
    <row r="6" spans="1:5">
      <c r="A6" s="5" t="s">
        <v>241</v>
      </c>
      <c r="B6" s="45">
        <f>IFERROR(ETUDE!G8,"")</f>
        <v>0</v>
      </c>
      <c r="C6" s="11" t="s">
        <v>242</v>
      </c>
      <c r="D6" s="46">
        <f>IFERROR(IF(ETUDE!G8&gt;=10,"Bon (&gt;=10%)",IF(ETUDE!G8&gt;=0,"Faible (&lt;10%)","Negatif")),"-")</f>
        <v>0</v>
      </c>
      <c r="E6" s="47"/>
    </row>
    <row r="7" spans="1:5">
      <c r="A7" s="5" t="s">
        <v>243</v>
      </c>
      <c r="B7" s="45">
        <f>IFERROR(ETUDE!G12,"")</f>
        <v>0</v>
      </c>
      <c r="C7" s="11" t="s">
        <v>242</v>
      </c>
      <c r="D7" s="46">
        <f>IFERROR(IF(ETUDE!G12&gt;=10,"Bon (&gt;=10%)",IF(ETUDE!G12&gt;=0,"Faible (&lt;10%)","Negatif")),"-")</f>
        <v>0</v>
      </c>
      <c r="E7" s="47"/>
    </row>
    <row r="8" spans="1:5">
      <c r="A8" s="5" t="s">
        <v>244</v>
      </c>
      <c r="B8" s="45">
        <f>IFERROR(ETUDE!G16,"")</f>
        <v>0</v>
      </c>
      <c r="C8" s="11" t="s">
        <v>245</v>
      </c>
      <c r="D8" s="46">
        <f>IFERROR(IF(ETUDE!G16&gt;=10,"Tres rentable",IF(ETUDE!G16&gt;=5,"Rentable",IF(ETUDE!G16&gt;=2,"Faiblement rentable","Faible"))),"-")</f>
        <v>0</v>
      </c>
      <c r="E8" s="47"/>
    </row>
    <row r="9" spans="1:5">
      <c r="A9" s="5" t="s">
        <v>246</v>
      </c>
      <c r="B9" s="45">
        <f>IFERROR(ETUDE!B30,"")</f>
        <v>0</v>
      </c>
      <c r="C9" s="11" t="s">
        <v>247</v>
      </c>
      <c r="D9" s="46">
        <f>IFERROR(ETUDE!D30,"-")</f>
        <v>0</v>
      </c>
      <c r="E9" s="47"/>
    </row>
    <row r="10" spans="1:5">
      <c r="A10" s="5" t="s">
        <v>248</v>
      </c>
      <c r="B10" s="45">
        <f>IFERROR(ETUDE!B32,"")</f>
        <v>0</v>
      </c>
      <c r="C10" s="11" t="s">
        <v>249</v>
      </c>
      <c r="D10" s="46">
        <f>IFERROR(ETUDE!D32,"-")</f>
        <v>0</v>
      </c>
      <c r="E10" s="47"/>
    </row>
    <row r="11" spans="1:5">
      <c r="A11" s="5" t="s">
        <v>250</v>
      </c>
      <c r="B11" s="45">
        <f>IFERROR(ETUDE!B33,"")</f>
        <v>0</v>
      </c>
      <c r="C11" s="11" t="s">
        <v>242</v>
      </c>
      <c r="D11" s="46">
        <f>IFERROR(ETUDE!D33,"-")</f>
        <v>0</v>
      </c>
      <c r="E11" s="47"/>
    </row>
    <row r="12" spans="1:5">
      <c r="A12" s="5" t="s">
        <v>251</v>
      </c>
      <c r="B12" s="45">
        <f>IFERROR(AVERAGE(ETUDE!E39:ETUDE!E43),"")</f>
        <v>0</v>
      </c>
      <c r="C12" s="11" t="s">
        <v>252</v>
      </c>
      <c r="D12" s="46">
        <f>IFERROR(IF(AVERAGE(ETUDE!E39:ETUDE!E43)&gt;=3,"Bon (&gt;=3%)","Faible (&lt;3%)"),"-")</f>
        <v>0</v>
      </c>
      <c r="E12" s="47"/>
    </row>
    <row r="13" spans="1:5">
      <c r="A13" s="5" t="s">
        <v>253</v>
      </c>
      <c r="B13" s="45">
        <f>IFERROR(ETUDE!B34,"")</f>
        <v>0</v>
      </c>
      <c r="C13" s="11" t="s">
        <v>254</v>
      </c>
      <c r="D13" s="46">
        <f>IFERROR(ETUDE!D34,"-")</f>
        <v>0</v>
      </c>
      <c r="E13" s="47"/>
    </row>
    <row r="14" spans="1:5">
      <c r="A14" s="19" t="s">
        <v>255</v>
      </c>
      <c r="B14" s="48"/>
      <c r="C14" s="48"/>
      <c r="D14" s="48"/>
      <c r="E14" s="49">
        <f>SUM(E6:E13)</f>
        <v>0</v>
      </c>
    </row>
    <row r="15" spans="1:5" ht="5" customHeight="1"/>
    <row r="16" spans="1:5" ht="18" customHeight="1">
      <c r="A16" s="44" t="s">
        <v>256</v>
      </c>
      <c r="B16" s="44"/>
      <c r="C16" s="44"/>
      <c r="D16" s="44"/>
      <c r="E16" s="44"/>
    </row>
    <row r="17" spans="1:5">
      <c r="A17" s="4" t="s">
        <v>207</v>
      </c>
      <c r="B17" s="4" t="s">
        <v>99</v>
      </c>
      <c r="C17" s="4" t="s">
        <v>257</v>
      </c>
      <c r="D17" s="4" t="s">
        <v>17</v>
      </c>
      <c r="E17" s="4" t="s">
        <v>209</v>
      </c>
    </row>
    <row r="18" spans="1:5">
      <c r="A18" s="5" t="s">
        <v>258</v>
      </c>
      <c r="B18" s="50">
        <f>IFERROR(ETUDE!D91,"")</f>
        <v>0</v>
      </c>
      <c r="C18" s="11" t="s">
        <v>259</v>
      </c>
      <c r="D18" s="46">
        <f>IFERROR(ETUDE!E91,"-")</f>
        <v>0</v>
      </c>
      <c r="E18" s="47"/>
    </row>
    <row r="19" spans="1:5">
      <c r="A19" s="5" t="s">
        <v>260</v>
      </c>
      <c r="B19" s="50">
        <f>IFERROR(ETUDE!E95,"")</f>
        <v>0</v>
      </c>
      <c r="C19" s="11" t="s">
        <v>261</v>
      </c>
      <c r="D19" s="46">
        <f>IFERROR(ETUDE!E96,"-")</f>
        <v>0</v>
      </c>
      <c r="E19" s="47"/>
    </row>
    <row r="20" spans="1:5">
      <c r="A20" s="5" t="s">
        <v>262</v>
      </c>
      <c r="B20" s="50">
        <f>IFERROR(ETUDE!B104,"")</f>
        <v>0</v>
      </c>
      <c r="C20" s="11" t="s">
        <v>263</v>
      </c>
      <c r="D20" s="46">
        <f>IFERROR(ETUDE!D104,"-")</f>
        <v>0</v>
      </c>
      <c r="E20" s="47"/>
    </row>
    <row r="21" spans="1:5">
      <c r="A21" s="5" t="s">
        <v>264</v>
      </c>
      <c r="B21" s="50">
        <f>IFERROR(ETUDE!B116,"")</f>
        <v>0</v>
      </c>
      <c r="C21" s="11" t="s">
        <v>265</v>
      </c>
      <c r="D21" s="46">
        <f>IFERROR(ETUDE!B125,"-")</f>
        <v>0</v>
      </c>
      <c r="E21" s="47"/>
    </row>
    <row r="22" spans="1:5">
      <c r="A22" s="5" t="s">
        <v>266</v>
      </c>
      <c r="B22" s="50">
        <f>IFERROR(ETUDE!B135,"")</f>
        <v>0</v>
      </c>
      <c r="C22" s="11" t="s">
        <v>267</v>
      </c>
      <c r="D22" s="46">
        <f>IFERROR(ETUDE!D135,"-")</f>
        <v>0</v>
      </c>
      <c r="E22" s="47"/>
    </row>
    <row r="23" spans="1:5">
      <c r="A23" s="19" t="s">
        <v>268</v>
      </c>
      <c r="B23" s="48"/>
      <c r="C23" s="48"/>
      <c r="D23" s="48"/>
      <c r="E23" s="49">
        <f>SUM(E18:E22)</f>
        <v>0</v>
      </c>
    </row>
    <row r="24" spans="1:5" ht="5" customHeight="1"/>
    <row r="25" spans="1:5" ht="18" customHeight="1">
      <c r="A25" s="51" t="s">
        <v>269</v>
      </c>
      <c r="B25" s="51"/>
      <c r="C25" s="51"/>
      <c r="D25" s="51"/>
      <c r="E25" s="51"/>
    </row>
    <row r="26" spans="1:5">
      <c r="A26" s="4" t="s">
        <v>56</v>
      </c>
      <c r="B26" s="4" t="s">
        <v>209</v>
      </c>
      <c r="C26" s="4" t="s">
        <v>270</v>
      </c>
      <c r="D26" s="4" t="s">
        <v>271</v>
      </c>
      <c r="E26" s="4" t="s">
        <v>272</v>
      </c>
    </row>
    <row r="27" spans="1:5">
      <c r="A27" s="5" t="s">
        <v>273</v>
      </c>
      <c r="B27" s="52">
        <f>E14</f>
        <v>0</v>
      </c>
      <c r="C27" s="53">
        <v>24</v>
      </c>
      <c r="D27" s="54">
        <f>IFERROR(E14/24*100,"")</f>
        <v>0</v>
      </c>
      <c r="E27" s="55">
        <f>IFERROR(IF(E14/24&gt;=0.7,"Solide",IF(E14/24&gt;=0.5,"Moyen","Faible")),"-")</f>
        <v>0</v>
      </c>
    </row>
    <row r="28" spans="1:5">
      <c r="A28" s="5" t="s">
        <v>274</v>
      </c>
      <c r="B28" s="52">
        <f>E23</f>
        <v>0</v>
      </c>
      <c r="C28" s="53">
        <v>15</v>
      </c>
      <c r="D28" s="54">
        <f>IFERROR(E23/15*100,"")</f>
        <v>0</v>
      </c>
      <c r="E28" s="55">
        <f>IFERROR(IF(E23/15&gt;=0.7,"Solide",IF(E23/15&gt;=0.5,"Moyen","Faible")),"-")</f>
        <v>0</v>
      </c>
    </row>
    <row r="29" spans="1:5">
      <c r="A29" s="19" t="s">
        <v>275</v>
      </c>
      <c r="B29" s="56">
        <f>IFERROR(E14+E23,"")</f>
        <v>0</v>
      </c>
      <c r="C29" s="57">
        <v>39</v>
      </c>
      <c r="D29" s="54">
        <f>IFERROR(B29/39*100,"")</f>
        <v>0</v>
      </c>
      <c r="E29" s="58">
        <f>IFERROR(IF(B29/39&gt;=0.7,"ACHETER",IF(B29/39&gt;=0.5,"SURVEILLER","EVITER")),"-")</f>
        <v>0</v>
      </c>
    </row>
    <row r="30" spans="1:5" ht="5" customHeight="1"/>
    <row r="31" spans="1:5" ht="18" customHeight="1">
      <c r="A31" s="44" t="s">
        <v>276</v>
      </c>
      <c r="B31" s="44"/>
      <c r="C31" s="44"/>
      <c r="D31" s="44"/>
      <c r="E31" s="44"/>
    </row>
    <row r="32" spans="1:5">
      <c r="A32" s="4" t="s">
        <v>277</v>
      </c>
      <c r="B32" s="4" t="s">
        <v>278</v>
      </c>
      <c r="C32" s="4" t="s">
        <v>189</v>
      </c>
      <c r="D32" s="4" t="s">
        <v>279</v>
      </c>
      <c r="E32" s="4" t="s">
        <v>280</v>
      </c>
    </row>
    <row r="33" spans="1:5" ht="30" customHeight="1">
      <c r="A33" s="59">
        <f>IFERROR(ETUDE!D178,"")</f>
        <v>0</v>
      </c>
      <c r="B33" s="60">
        <f>IFERROR(ETUDE!E179,"-")</f>
        <v>0</v>
      </c>
      <c r="C33" s="61">
        <f>IFERROR(ETUDE!D153,"")</f>
        <v>0</v>
      </c>
      <c r="D33" s="61">
        <f>IFERROR(ETUDE!D161,"")</f>
        <v>0</v>
      </c>
      <c r="E33" s="62">
        <f>IFERROR(IF(ETUDE!B24&lt;ETUDE!B31,"Prix &lt; VMC","Prix &gt; VMC"),"-")</f>
        <v>0</v>
      </c>
    </row>
    <row r="34" spans="1:5" ht="5" customHeight="1"/>
    <row r="35" spans="1:5" ht="18" customHeight="1">
      <c r="A35" s="44" t="s">
        <v>281</v>
      </c>
      <c r="B35" s="44"/>
      <c r="C35" s="44"/>
      <c r="D35" s="44"/>
      <c r="E35" s="44"/>
    </row>
    <row r="36" spans="1:5" ht="50" customHeight="1">
      <c r="A36" s="27"/>
      <c r="B36" s="27"/>
      <c r="C36" s="27"/>
      <c r="D36" s="27"/>
      <c r="E36" s="27"/>
    </row>
    <row r="37" spans="1:5">
      <c r="A37" s="27"/>
      <c r="B37" s="27"/>
      <c r="C37" s="27"/>
      <c r="D37" s="27"/>
      <c r="E37" s="27"/>
    </row>
    <row r="38" spans="1:5">
      <c r="A38" s="27"/>
      <c r="B38" s="27"/>
      <c r="C38" s="27"/>
      <c r="D38" s="27"/>
      <c r="E38" s="27"/>
    </row>
    <row r="39" spans="1:5">
      <c r="A39" s="27"/>
      <c r="B39" s="27"/>
      <c r="C39" s="27"/>
      <c r="D39" s="27"/>
      <c r="E39" s="27"/>
    </row>
    <row r="40" spans="1:5">
      <c r="A40" s="27"/>
      <c r="B40" s="27"/>
      <c r="C40" s="27"/>
      <c r="D40" s="27"/>
      <c r="E40" s="27"/>
    </row>
  </sheetData>
  <mergeCells count="8">
    <mergeCell ref="A1:E1"/>
    <mergeCell ref="A2:E2"/>
    <mergeCell ref="A4:E4"/>
    <mergeCell ref="A16:E16"/>
    <mergeCell ref="A25:E25"/>
    <mergeCell ref="A31:E31"/>
    <mergeCell ref="A35:E35"/>
    <mergeCell ref="A36:E40"/>
  </mergeCells>
  <conditionalFormatting sqref="D18:D22">
    <cfRule type="containsText" dxfId="3" priority="2" operator="containsText" text="Bon">
      <formula>NOT(ISERROR(SEARCH("Bon",D18)))</formula>
    </cfRule>
    <cfRule type="containsText" dxfId="3" priority="4" operator="containsText" text="rentable">
      <formula>NOT(ISERROR(SEARCH("rentable",D18)))</formula>
    </cfRule>
    <cfRule type="containsText" dxfId="3" priority="6" operator="containsText" text="Sous-evalue">
      <formula>NOT(ISERROR(SEARCH("Sous-evalue",D18)))</formula>
    </cfRule>
    <cfRule type="containsText" dxfId="3" priority="8" operator="containsText" text="Decote">
      <formula>NOT(ISERROR(SEARCH("Decote",D18)))</formula>
    </cfRule>
    <cfRule type="containsText" dxfId="3" priority="10" operator="containsText" text="Opportunite">
      <formula>NOT(ISERROR(SEARCH("Opportunite",D18)))</formula>
    </cfRule>
    <cfRule type="containsText" dxfId="3" priority="12" operator="containsText" text="SURVENTE">
      <formula>NOT(ISERROR(SEARCH("SURVENTE",D18)))</formula>
    </cfRule>
    <cfRule type="containsText" dxfId="3" priority="14" operator="containsText" text="ACHETER">
      <formula>NOT(ISERROR(SEARCH("ACHETER",D18)))</formula>
    </cfRule>
    <cfRule type="containsText" dxfId="4" priority="16" operator="containsText" text="Surevalue">
      <formula>NOT(ISERROR(SEARCH("Surevalue",D18)))</formula>
    </cfRule>
    <cfRule type="containsText" dxfId="4" priority="18" operator="containsText" text="SURACHAT">
      <formula>NOT(ISERROR(SEARCH("SURACHAT",D18)))</formula>
    </cfRule>
    <cfRule type="containsText" dxfId="4" priority="20" operator="containsText" text="Prime">
      <formula>NOT(ISERROR(SEARCH("Prime",D18)))</formula>
    </cfRule>
    <cfRule type="containsText" dxfId="4" priority="22" operator="containsText" text="Negatif">
      <formula>NOT(ISERROR(SEARCH("Negatif",D18)))</formula>
    </cfRule>
    <cfRule type="containsText" dxfId="5" priority="24" operator="containsText" text="Normal">
      <formula>NOT(ISERROR(SEARCH("Normal",D18)))</formula>
    </cfRule>
    <cfRule type="containsText" dxfId="5" priority="26" operator="containsText" text="Faible">
      <formula>NOT(ISERROR(SEARCH("Faible",D18)))</formula>
    </cfRule>
    <cfRule type="containsText" dxfId="5" priority="28" operator="containsText" text="Moyen">
      <formula>NOT(ISERROR(SEARCH("Moyen",D18)))</formula>
    </cfRule>
    <cfRule type="containsText" dxfId="5" priority="30" operator="containsText" text="NEUTRE">
      <formula>NOT(ISERROR(SEARCH("NEUTRE",D18)))</formula>
    </cfRule>
  </conditionalFormatting>
  <conditionalFormatting sqref="D6:D13">
    <cfRule type="containsText" dxfId="3" priority="1" operator="containsText" text="Bon">
      <formula>NOT(ISERROR(SEARCH("Bon",D6)))</formula>
    </cfRule>
    <cfRule type="containsText" dxfId="3" priority="3" operator="containsText" text="rentable">
      <formula>NOT(ISERROR(SEARCH("rentable",D6)))</formula>
    </cfRule>
    <cfRule type="containsText" dxfId="3" priority="5" operator="containsText" text="Sous-evalue">
      <formula>NOT(ISERROR(SEARCH("Sous-evalue",D6)))</formula>
    </cfRule>
    <cfRule type="containsText" dxfId="3" priority="7" operator="containsText" text="Decote">
      <formula>NOT(ISERROR(SEARCH("Decote",D6)))</formula>
    </cfRule>
    <cfRule type="containsText" dxfId="3" priority="9" operator="containsText" text="Opportunite">
      <formula>NOT(ISERROR(SEARCH("Opportunite",D6)))</formula>
    </cfRule>
    <cfRule type="containsText" dxfId="3" priority="11" operator="containsText" text="SURVENTE">
      <formula>NOT(ISERROR(SEARCH("SURVENTE",D6)))</formula>
    </cfRule>
    <cfRule type="containsText" dxfId="3" priority="13" operator="containsText" text="ACHETER">
      <formula>NOT(ISERROR(SEARCH("ACHETER",D6)))</formula>
    </cfRule>
    <cfRule type="containsText" dxfId="4" priority="15" operator="containsText" text="Surevalue">
      <formula>NOT(ISERROR(SEARCH("Surevalue",D6)))</formula>
    </cfRule>
    <cfRule type="containsText" dxfId="4" priority="17" operator="containsText" text="SURACHAT">
      <formula>NOT(ISERROR(SEARCH("SURACHAT",D6)))</formula>
    </cfRule>
    <cfRule type="containsText" dxfId="4" priority="19" operator="containsText" text="Prime">
      <formula>NOT(ISERROR(SEARCH("Prime",D6)))</formula>
    </cfRule>
    <cfRule type="containsText" dxfId="4" priority="21" operator="containsText" text="Negatif">
      <formula>NOT(ISERROR(SEARCH("Negatif",D6)))</formula>
    </cfRule>
    <cfRule type="containsText" dxfId="5" priority="23" operator="containsText" text="Normal">
      <formula>NOT(ISERROR(SEARCH("Normal",D6)))</formula>
    </cfRule>
    <cfRule type="containsText" dxfId="5" priority="25" operator="containsText" text="Faible">
      <formula>NOT(ISERROR(SEARCH("Faible",D6)))</formula>
    </cfRule>
    <cfRule type="containsText" dxfId="5" priority="27" operator="containsText" text="Moyen">
      <formula>NOT(ISERROR(SEARCH("Moyen",D6)))</formula>
    </cfRule>
    <cfRule type="containsText" dxfId="5" priority="29" operator="containsText" text="NEUTRE">
      <formula>NOT(ISERROR(SEARCH("NEUTRE",D6)))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B7280"/>
  </sheetPr>
  <dimension ref="A1:D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28.7109375" customWidth="1"/>
    <col min="3" max="3" width="32.7109375" customWidth="1"/>
    <col min="4" max="4" width="20.7109375" customWidth="1"/>
  </cols>
  <sheetData>
    <row r="1" spans="1:4" ht="22" customHeight="1">
      <c r="A1" s="1" t="s">
        <v>282</v>
      </c>
      <c r="B1" s="1"/>
      <c r="C1" s="1"/>
      <c r="D1" s="1"/>
    </row>
    <row r="2" spans="1:4" ht="20" customHeight="1">
      <c r="A2" s="3" t="s">
        <v>283</v>
      </c>
      <c r="B2" s="3"/>
      <c r="C2" s="3"/>
      <c r="D2" s="3"/>
    </row>
    <row r="3" spans="1:4" ht="22" customHeight="1">
      <c r="A3" s="63" t="s">
        <v>284</v>
      </c>
      <c r="B3" s="64"/>
      <c r="C3" s="64"/>
      <c r="D3" s="65" t="s">
        <v>285</v>
      </c>
    </row>
    <row r="4" spans="1:4" ht="22" customHeight="1">
      <c r="A4" s="63" t="s">
        <v>286</v>
      </c>
      <c r="B4" s="64"/>
      <c r="C4" s="64"/>
      <c r="D4" s="65" t="s">
        <v>287</v>
      </c>
    </row>
    <row r="5" spans="1:4" ht="22" customHeight="1">
      <c r="A5" s="63" t="s">
        <v>288</v>
      </c>
      <c r="B5" s="64"/>
      <c r="C5" s="64"/>
      <c r="D5" s="65" t="s">
        <v>289</v>
      </c>
    </row>
    <row r="6" spans="1:4" ht="22" customHeight="1">
      <c r="A6" s="63" t="s">
        <v>290</v>
      </c>
      <c r="B6" s="64"/>
      <c r="C6" s="64"/>
      <c r="D6" s="65" t="s">
        <v>291</v>
      </c>
    </row>
    <row r="7" spans="1:4" ht="8" customHeight="1"/>
    <row r="8" spans="1:4" ht="20" customHeight="1">
      <c r="A8" s="3" t="s">
        <v>292</v>
      </c>
      <c r="B8" s="3"/>
      <c r="C8" s="3"/>
      <c r="D8" s="3"/>
    </row>
    <row r="9" spans="1:4">
      <c r="A9" s="5" t="s">
        <v>293</v>
      </c>
      <c r="B9" s="43">
        <f>B3</f>
        <v>0</v>
      </c>
      <c r="C9" s="14" t="s">
        <v>294</v>
      </c>
      <c r="D9" s="66"/>
    </row>
    <row r="10" spans="1:4">
      <c r="A10" s="5" t="s">
        <v>286</v>
      </c>
      <c r="B10" s="43">
        <f>B4</f>
        <v>0</v>
      </c>
      <c r="C10" s="14" t="s">
        <v>294</v>
      </c>
      <c r="D10" s="66"/>
    </row>
    <row r="11" spans="1:4">
      <c r="A11" s="5" t="s">
        <v>295</v>
      </c>
      <c r="B11" s="43">
        <f>B5</f>
        <v>0</v>
      </c>
      <c r="C11" s="14" t="s">
        <v>294</v>
      </c>
      <c r="D11" s="66"/>
    </row>
    <row r="12" spans="1:4">
      <c r="A12" s="5" t="s">
        <v>296</v>
      </c>
      <c r="B12" s="67"/>
      <c r="C12" s="66"/>
      <c r="D12" s="66"/>
    </row>
    <row r="13" spans="1:4">
      <c r="A13" s="5" t="s">
        <v>297</v>
      </c>
      <c r="B13" s="67"/>
      <c r="C13" s="66"/>
      <c r="D13" s="66"/>
    </row>
    <row r="14" spans="1:4" ht="5" customHeight="1"/>
    <row r="15" spans="1:4" ht="20" customHeight="1">
      <c r="A15" s="3" t="s">
        <v>298</v>
      </c>
      <c r="B15" s="3"/>
      <c r="C15" s="3"/>
      <c r="D15" s="3"/>
    </row>
    <row r="16" spans="1:4">
      <c r="A16" s="5" t="s">
        <v>223</v>
      </c>
      <c r="B16" s="67"/>
      <c r="C16" s="66"/>
      <c r="D16" s="66"/>
    </row>
    <row r="17" spans="1:4">
      <c r="A17" s="5" t="s">
        <v>299</v>
      </c>
      <c r="B17" s="67"/>
      <c r="C17" s="66"/>
      <c r="D17" s="66"/>
    </row>
    <row r="18" spans="1:4">
      <c r="A18" s="5" t="s">
        <v>224</v>
      </c>
      <c r="B18" s="67"/>
      <c r="C18" s="66"/>
      <c r="D18" s="66"/>
    </row>
    <row r="19" spans="1:4">
      <c r="A19" s="5" t="s">
        <v>225</v>
      </c>
      <c r="B19" s="67"/>
      <c r="C19" s="66"/>
      <c r="D19" s="66"/>
    </row>
    <row r="20" spans="1:4" ht="5" customHeight="1"/>
    <row r="21" spans="1:4" ht="20" customHeight="1">
      <c r="A21" s="3" t="s">
        <v>300</v>
      </c>
      <c r="B21" s="3"/>
      <c r="C21" s="3"/>
      <c r="D21" s="3"/>
    </row>
    <row r="22" spans="1:4">
      <c r="A22" s="5" t="s">
        <v>227</v>
      </c>
      <c r="B22" s="14" t="s">
        <v>301</v>
      </c>
      <c r="C22" s="66"/>
      <c r="D22" s="66"/>
    </row>
    <row r="23" spans="1:4">
      <c r="A23" s="5" t="s">
        <v>228</v>
      </c>
      <c r="B23" s="67"/>
      <c r="C23" s="66"/>
      <c r="D23" s="66"/>
    </row>
    <row r="24" spans="1:4">
      <c r="A24" s="5" t="s">
        <v>229</v>
      </c>
      <c r="B24" s="14" t="s">
        <v>302</v>
      </c>
      <c r="C24" s="66"/>
      <c r="D24" s="66"/>
    </row>
    <row r="25" spans="1:4">
      <c r="A25" s="5" t="s">
        <v>230</v>
      </c>
      <c r="B25" s="14" t="s">
        <v>303</v>
      </c>
      <c r="C25" s="66"/>
      <c r="D25" s="66"/>
    </row>
    <row r="26" spans="1:4" ht="5" customHeight="1"/>
    <row r="27" spans="1:4" ht="20" customHeight="1">
      <c r="A27" s="3" t="s">
        <v>304</v>
      </c>
      <c r="B27" s="3"/>
      <c r="C27" s="3"/>
      <c r="D27" s="3"/>
    </row>
    <row r="28" spans="1:4">
      <c r="A28" s="5" t="s">
        <v>72</v>
      </c>
      <c r="B28" s="67"/>
      <c r="C28" s="66"/>
      <c r="D28" s="66"/>
    </row>
    <row r="29" spans="1:4">
      <c r="A29" s="5" t="s">
        <v>232</v>
      </c>
      <c r="B29" s="67"/>
      <c r="C29" s="66"/>
      <c r="D29" s="66"/>
    </row>
    <row r="30" spans="1:4">
      <c r="A30" s="5" t="s">
        <v>233</v>
      </c>
      <c r="B30" s="67"/>
      <c r="C30" s="66"/>
      <c r="D30" s="66"/>
    </row>
    <row r="31" spans="1:4">
      <c r="A31" s="5" t="s">
        <v>234</v>
      </c>
      <c r="B31" s="14" t="s">
        <v>305</v>
      </c>
      <c r="C31" s="66"/>
      <c r="D31" s="66"/>
    </row>
    <row r="32" spans="1:4" ht="5" customHeight="1"/>
    <row r="33" spans="1:4" ht="20" customHeight="1">
      <c r="A33" s="3" t="s">
        <v>306</v>
      </c>
      <c r="B33" s="3"/>
      <c r="C33" s="3"/>
      <c r="D33" s="3"/>
    </row>
    <row r="34" spans="1:4">
      <c r="A34" s="5" t="s">
        <v>307</v>
      </c>
      <c r="B34" s="14" t="s">
        <v>308</v>
      </c>
      <c r="C34" s="66"/>
      <c r="D34" s="66"/>
    </row>
    <row r="35" spans="1:4">
      <c r="A35" s="5" t="s">
        <v>309</v>
      </c>
      <c r="B35" s="67"/>
      <c r="C35" s="66"/>
      <c r="D35" s="66"/>
    </row>
    <row r="36" spans="1:4">
      <c r="A36" s="5" t="s">
        <v>310</v>
      </c>
      <c r="B36" s="14" t="s">
        <v>311</v>
      </c>
      <c r="C36" s="66"/>
      <c r="D36" s="66"/>
    </row>
    <row r="37" spans="1:4">
      <c r="A37" s="5" t="s">
        <v>312</v>
      </c>
      <c r="B37" s="14" t="s">
        <v>313</v>
      </c>
      <c r="C37" s="66"/>
      <c r="D37" s="66"/>
    </row>
    <row r="38" spans="1:4" ht="5" customHeight="1"/>
  </sheetData>
  <mergeCells count="11">
    <mergeCell ref="A1:D1"/>
    <mergeCell ref="A2:D2"/>
    <mergeCell ref="B3:C3"/>
    <mergeCell ref="B4:C4"/>
    <mergeCell ref="B5:C5"/>
    <mergeCell ref="B6:C6"/>
    <mergeCell ref="A8:D8"/>
    <mergeCell ref="A15:D15"/>
    <mergeCell ref="A21:D21"/>
    <mergeCell ref="A27:D27"/>
    <mergeCell ref="A33:D3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74151"/>
  </sheetPr>
  <dimension ref="A1:D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4.7109375" customWidth="1"/>
    <col min="3" max="3" width="12.7109375" customWidth="1"/>
    <col min="4" max="4" width="44.7109375" customWidth="1"/>
  </cols>
  <sheetData>
    <row r="1" spans="1:4" ht="22" customHeight="1">
      <c r="A1" s="1" t="s">
        <v>314</v>
      </c>
      <c r="B1" s="1"/>
      <c r="C1" s="1"/>
      <c r="D1" s="1"/>
    </row>
    <row r="2" spans="1:4">
      <c r="A2" s="68" t="s">
        <v>66</v>
      </c>
      <c r="B2" s="68" t="s">
        <v>315</v>
      </c>
      <c r="C2" s="68" t="s">
        <v>316</v>
      </c>
      <c r="D2" s="68" t="s">
        <v>317</v>
      </c>
    </row>
    <row r="3" spans="1:4" ht="18" customHeight="1">
      <c r="A3" s="44" t="s">
        <v>318</v>
      </c>
      <c r="B3" s="44"/>
      <c r="C3" s="44"/>
      <c r="D3" s="44"/>
    </row>
    <row r="4" spans="1:4" ht="28" customHeight="1">
      <c r="A4" s="19" t="s">
        <v>319</v>
      </c>
      <c r="B4" s="69" t="s">
        <v>320</v>
      </c>
      <c r="C4" s="53" t="s">
        <v>321</v>
      </c>
      <c r="D4" s="70" t="s">
        <v>322</v>
      </c>
    </row>
    <row r="5" spans="1:4" ht="28" customHeight="1">
      <c r="A5" s="19" t="s">
        <v>323</v>
      </c>
      <c r="B5" s="69" t="s">
        <v>324</v>
      </c>
      <c r="C5" s="53" t="s">
        <v>321</v>
      </c>
      <c r="D5" s="70" t="s">
        <v>325</v>
      </c>
    </row>
    <row r="6" spans="1:4" ht="28" customHeight="1">
      <c r="A6" s="19" t="s">
        <v>326</v>
      </c>
      <c r="B6" s="69" t="s">
        <v>327</v>
      </c>
      <c r="C6" s="53" t="s">
        <v>321</v>
      </c>
      <c r="D6" s="70" t="s">
        <v>328</v>
      </c>
    </row>
    <row r="7" spans="1:4" ht="28" customHeight="1">
      <c r="A7" s="19" t="s">
        <v>246</v>
      </c>
      <c r="B7" s="69" t="s">
        <v>329</v>
      </c>
      <c r="C7" s="53" t="s">
        <v>330</v>
      </c>
      <c r="D7" s="70" t="s">
        <v>331</v>
      </c>
    </row>
    <row r="8" spans="1:4" ht="28" customHeight="1">
      <c r="A8" s="19" t="s">
        <v>332</v>
      </c>
      <c r="B8" s="69" t="s">
        <v>333</v>
      </c>
      <c r="C8" s="53" t="s">
        <v>334</v>
      </c>
      <c r="D8" s="70" t="s">
        <v>335</v>
      </c>
    </row>
    <row r="9" spans="1:4" ht="28" customHeight="1">
      <c r="A9" s="19" t="s">
        <v>248</v>
      </c>
      <c r="B9" s="69" t="s">
        <v>336</v>
      </c>
      <c r="C9" s="53" t="s">
        <v>330</v>
      </c>
      <c r="D9" s="70" t="s">
        <v>337</v>
      </c>
    </row>
    <row r="10" spans="1:4" ht="28" customHeight="1">
      <c r="A10" s="19" t="s">
        <v>338</v>
      </c>
      <c r="B10" s="69" t="s">
        <v>339</v>
      </c>
      <c r="C10" s="53" t="s">
        <v>321</v>
      </c>
      <c r="D10" s="70" t="s">
        <v>340</v>
      </c>
    </row>
    <row r="11" spans="1:4" ht="28" customHeight="1">
      <c r="A11" s="19" t="s">
        <v>341</v>
      </c>
      <c r="B11" s="69" t="s">
        <v>342</v>
      </c>
      <c r="C11" s="53"/>
      <c r="D11" s="70" t="s">
        <v>343</v>
      </c>
    </row>
    <row r="12" spans="1:4" ht="28" customHeight="1">
      <c r="A12" s="19" t="s">
        <v>344</v>
      </c>
      <c r="B12" s="69" t="s">
        <v>345</v>
      </c>
      <c r="C12" s="53" t="s">
        <v>321</v>
      </c>
      <c r="D12" s="70" t="s">
        <v>346</v>
      </c>
    </row>
    <row r="13" spans="1:4" ht="28" customHeight="1">
      <c r="A13" s="19" t="s">
        <v>347</v>
      </c>
      <c r="B13" s="69" t="s">
        <v>348</v>
      </c>
      <c r="C13" s="53" t="s">
        <v>321</v>
      </c>
      <c r="D13" s="70" t="s">
        <v>349</v>
      </c>
    </row>
    <row r="14" spans="1:4" ht="18" customHeight="1">
      <c r="A14" s="44" t="s">
        <v>350</v>
      </c>
      <c r="B14" s="44"/>
      <c r="C14" s="44"/>
      <c r="D14" s="44"/>
    </row>
    <row r="15" spans="1:4" ht="28" customHeight="1">
      <c r="A15" s="19" t="s">
        <v>351</v>
      </c>
      <c r="B15" s="69" t="s">
        <v>352</v>
      </c>
      <c r="C15" s="53" t="s">
        <v>334</v>
      </c>
      <c r="D15" s="70" t="s">
        <v>353</v>
      </c>
    </row>
    <row r="16" spans="1:4" ht="28" customHeight="1">
      <c r="A16" s="19" t="s">
        <v>354</v>
      </c>
      <c r="B16" s="69" t="s">
        <v>355</v>
      </c>
      <c r="C16" s="53"/>
      <c r="D16" s="70" t="s">
        <v>356</v>
      </c>
    </row>
    <row r="17" spans="1:4" ht="28" customHeight="1">
      <c r="A17" s="19" t="s">
        <v>108</v>
      </c>
      <c r="B17" s="69" t="s">
        <v>355</v>
      </c>
      <c r="C17" s="53"/>
      <c r="D17" s="70" t="s">
        <v>357</v>
      </c>
    </row>
    <row r="18" spans="1:4" ht="28" customHeight="1">
      <c r="A18" s="19" t="s">
        <v>133</v>
      </c>
      <c r="B18" s="69" t="s">
        <v>358</v>
      </c>
      <c r="C18" s="53" t="s">
        <v>330</v>
      </c>
      <c r="D18" s="70" t="s">
        <v>359</v>
      </c>
    </row>
    <row r="19" spans="1:4" ht="28" customHeight="1">
      <c r="A19" s="19" t="s">
        <v>360</v>
      </c>
      <c r="B19" s="69" t="s">
        <v>361</v>
      </c>
      <c r="C19" s="53" t="s">
        <v>334</v>
      </c>
      <c r="D19" s="70" t="s">
        <v>362</v>
      </c>
    </row>
    <row r="20" spans="1:4" ht="28" customHeight="1">
      <c r="A20" s="19" t="s">
        <v>363</v>
      </c>
      <c r="B20" s="69" t="s">
        <v>364</v>
      </c>
      <c r="C20" s="53" t="s">
        <v>334</v>
      </c>
      <c r="D20" s="70" t="s">
        <v>365</v>
      </c>
    </row>
    <row r="21" spans="1:4" ht="18" customHeight="1">
      <c r="A21" s="44" t="s">
        <v>366</v>
      </c>
      <c r="B21" s="44"/>
      <c r="C21" s="44"/>
      <c r="D21" s="44"/>
    </row>
    <row r="22" spans="1:4" ht="28" customHeight="1">
      <c r="A22" s="19" t="s">
        <v>367</v>
      </c>
      <c r="B22" s="69" t="s">
        <v>368</v>
      </c>
      <c r="C22" s="53" t="s">
        <v>334</v>
      </c>
      <c r="D22" s="70" t="s">
        <v>369</v>
      </c>
    </row>
    <row r="23" spans="1:4" ht="28" customHeight="1">
      <c r="A23" s="19" t="s">
        <v>370</v>
      </c>
      <c r="B23" s="69" t="s">
        <v>371</v>
      </c>
      <c r="C23" s="53" t="s">
        <v>372</v>
      </c>
      <c r="D23" s="70" t="s">
        <v>373</v>
      </c>
    </row>
    <row r="24" spans="1:4" ht="28" customHeight="1">
      <c r="A24" s="19" t="s">
        <v>374</v>
      </c>
      <c r="B24" s="69" t="s">
        <v>375</v>
      </c>
      <c r="C24" s="53" t="s">
        <v>334</v>
      </c>
      <c r="D24" s="70" t="s">
        <v>376</v>
      </c>
    </row>
    <row r="25" spans="1:4" ht="28" customHeight="1">
      <c r="A25" s="19" t="s">
        <v>377</v>
      </c>
      <c r="B25" s="69" t="s">
        <v>378</v>
      </c>
      <c r="C25" s="53" t="s">
        <v>334</v>
      </c>
      <c r="D25" s="70" t="s">
        <v>379</v>
      </c>
    </row>
  </sheetData>
  <mergeCells count="4">
    <mergeCell ref="A1:D1"/>
    <mergeCell ref="A3:D3"/>
    <mergeCell ref="A14:D14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ETUDE</vt:lpstr>
      <vt:lpstr>SYNTHESE</vt:lpstr>
      <vt:lpstr>PROFIL</vt:lpstr>
      <vt:lpstr>FORMULE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2026-05-14T10:03:57Z</dcterms:created>
  <dcterms:modified xsi:type="dcterms:W3CDTF">2026-05-14T10:03:57Z</dcterms:modified>
</cp:coreProperties>
</file>