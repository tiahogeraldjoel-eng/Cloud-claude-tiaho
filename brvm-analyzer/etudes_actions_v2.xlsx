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PORTEFEUILLE" sheetId="4" r:id="rId4"/>
    <sheet name="FORMULE" sheetId="5" r:id="rId5"/>
  </sheets>
  <calcPr calcId="124519" fullCalcOnLoad="1"/>
</workbook>
</file>

<file path=xl/sharedStrings.xml><?xml version="1.0" encoding="utf-8"?>
<sst xmlns="http://schemas.openxmlformats.org/spreadsheetml/2006/main" count="608" uniqueCount="486">
  <si>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</si>
  <si>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</si>
  <si>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</si>
  <si>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</si>
  <si>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</si>
  <si>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</si>
  <si>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</si>
  <si>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</si>
  <si>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</si>
  <si>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</si>
  <si>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</si>
  <si>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</si>
  <si>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</si>
  <si>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</si>
  <si>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</si>
  <si>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</si>
  <si>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</si>
  <si>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</si>
  <si>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</si>
  <si>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</si>
  <si>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</si>
  <si>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</si>
  <si>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</si>
  <si>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</si>
  <si>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</si>
  <si>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</si>
  <si>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</si>
  <si>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</si>
  <si>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</si>
  <si>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</si>
  <si>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</si>
  <si>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</si>
  <si>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</si>
  <si>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</si>
  <si>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</si>
  <si>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</si>
  <si>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Auto depuis PROFIL onglet (Capital &amp; Actionnariat)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</si>
  <si>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</si>
  <si>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</si>
  <si>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</si>
  <si>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</si>
  <si>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</si>
  <si>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</si>
  <si>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</si>
  <si>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</si>
  <si>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</si>
  <si>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</si>
  <si>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</si>
  <si>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NET recu (FCFA)</t>
  </si>
  <si>
    <t>BNPA (FCFA)</t>
  </si>
  <si>
    <t>Taux distrib. %</t>
  </si>
  <si>
    <t>Rendement %</t>
  </si>
  <si>
    <t>Progression %</t>
  </si>
  <si>
    <t>Dividende NET = montant effectivement recu apres prelevement 15% a la source. Taux distribution = (Div NET / 0,85) / BNPA x 100  (reconstitution du brut)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</si>
  <si>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</si>
  <si>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</si>
  <si>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</si>
  <si>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</si>
  <si>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</si>
  <si>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</si>
  <si>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</si>
  <si>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</si>
  <si>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</si>
  <si>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</si>
  <si>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</si>
  <si>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</si>
  <si>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</si>
  <si>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</si>
  <si>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</si>
  <si>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</si>
  <si>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</si>
  <si>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</si>
  <si>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</si>
  <si>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</si>
  <si>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</si>
  <si>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</si>
  <si>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</si>
  <si>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</si>
  <si>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</si>
  <si>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</si>
  <si>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</si>
  <si>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</si>
  <si>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</si>
  <si>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</si>
  <si>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</si>
  <si>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</si>
  <si>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</si>
  <si>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</si>
  <si>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</si>
  <si>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</si>
  <si>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</si>
  <si>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</si>
  <si>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</si>
  <si>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</si>
  <si>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</si>
  <si>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</si>
  <si>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</si>
  <si>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</si>
  <si>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</si>
  <si>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</si>
  <si>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</si>
  <si>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</si>
  <si>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</si>
  <si>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</si>
  <si>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</si>
  <si>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</si>
  <si>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</si>
  <si>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</si>
  <si>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</si>
  <si>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</si>
  <si>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</si>
  <si>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</si>
  <si>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</si>
  <si>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</si>
  <si>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</si>
  <si>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</si>
  <si>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</si>
  <si>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</si>
  <si>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</si>
  <si>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</si>
  <si>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</si>
  <si>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</si>
  <si>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</si>
  <si>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</si>
  <si>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</si>
  <si>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</si>
  <si>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</si>
  <si>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</si>
  <si>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</si>
  <si>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</si>
  <si>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</si>
  <si>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</si>
  <si>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</si>
  <si>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</si>
  <si>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</si>
  <si>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</si>
  <si>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</si>
  <si>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</si>
  <si>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</si>
  <si>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</si>
  <si>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</si>
  <si>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</si>
  <si>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</si>
  <si>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</si>
  <si>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</si>
  <si>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</si>
  <si>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</si>
  <si>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</si>
  <si>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</si>
  <si>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</si>
  <si>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</si>
  <si>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</si>
  <si>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</si>
  <si>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</si>
  <si>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</si>
  <si>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</si>
  <si>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</si>
  <si>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</si>
  <si>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</si>
  <si>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</si>
  <si>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</si>
  <si>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</si>
  <si>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</si>
  <si>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</si>
  <si>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</si>
  <si>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</si>
  <si>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</si>
  <si>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</si>
  <si>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</si>
  <si>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</si>
  <si>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</si>
  <si>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</si>
  <si>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</si>
  <si>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</si>
  <si>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</si>
  <si>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</si>
  <si>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</si>
  <si>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</si>
  <si>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</si>
  <si>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</si>
  <si>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</si>
  <si>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C — ANALYSE CONTRARIAN &amp; OPPORTUNITES DE MARCHE</t>
  </si>
  <si>
    <t>C1 — NORMALISATION DU RESULTAT NET  (recurrent vs exceptionnel)</t>
  </si>
  <si>
    <t>Saisir les elements exceptionnels (positifs = booste le RN, negatifs = penalise le RN). Un mauvais RN publie mais un RN recurrent positif = opportunite contrarian.</t>
  </si>
  <si>
    <t>RN Publie (M FCFA)</t>
  </si>
  <si>
    <t>Dont Exceptionnel (M FCFA)</t>
  </si>
  <si>
    <t>RN Recurrent (M FCFA)</t>
  </si>
  <si>
    <t>Marge Recurrente %</t>
  </si>
  <si>
    <t>BNPA Recurrent N (FCFA)</t>
  </si>
  <si>
    <t>PER Normalise</t>
  </si>
  <si>
    <t>Signal Normalisation RN</t>
  </si>
  <si>
    <t>C2 — COMPARAISON SECTORIELLE BRVM</t>
  </si>
  <si>
    <t>Reference marche</t>
  </si>
  <si>
    <t>Ecart %</t>
  </si>
  <si>
    <t>PER sectoriel moyen BRVM (reference)</t>
  </si>
  <si>
    <t>&lt;-- Auto depuis PROFIL!B5 | Banque~10, Industrie~13, Distribution~14, Telecom~8</t>
  </si>
  <si>
    <t>Rendement dividende sectoriel BRVM (%)</t>
  </si>
  <si>
    <t>&lt;-- Marche BRVM: 4 - 6% en moyenne</t>
  </si>
  <si>
    <t>PER action vs sectoriel</t>
  </si>
  <si>
    <t>Rendement div. action vs sectoriel</t>
  </si>
  <si>
    <t>C3 — FIABILITE DU DIVIDENDE (5 ANS)</t>
  </si>
  <si>
    <t>Score /3</t>
  </si>
  <si>
    <t>Nb annees avec dividende verse (sur 5)</t>
  </si>
  <si>
    <t>CAGR dividende 5 ans (croissance annuelle)</t>
  </si>
  <si>
    <t>SCORE FIABILITE DIVIDENDE</t>
  </si>
  <si>
    <t>/3</t>
  </si>
  <si>
    <t>C4 — SCORE CONTRARIAN BRVM  (detecteur : fondamentaux OK + titre boude par le marche)</t>
  </si>
  <si>
    <t>Critere</t>
  </si>
  <si>
    <t>Detail</t>
  </si>
  <si>
    <t>Score</t>
  </si>
  <si>
    <t>PER action &lt; PER sectoriel (action moins chere que le marche)</t>
  </si>
  <si>
    <t>Prix actuel &lt; VMC (decote sur valeur comptable)</t>
  </si>
  <si>
    <t>ROE &gt;= 10% (rentabilite correcte malgre sentiment negatif)</t>
  </si>
  <si>
    <t>Dividende fiable &gt;= 4 ans sur 5</t>
  </si>
  <si>
    <t>Cours &lt; Prix Median 1 an (survente technique)</t>
  </si>
  <si>
    <t>Marge nette moyenne &gt; 5% (profitabilite structurelle)</t>
  </si>
  <si>
    <t>SCORE CONTRARIAN TOTAL (/10)</t>
  </si>
  <si>
    <t>/10</t>
  </si>
  <si>
    <t>VERDICT CONTRARIAN</t>
  </si>
  <si>
    <t>D — DONNEES SOCIETE  (auto depuis onglet PROFIL — saisir dans PROFIL uniquement)</t>
  </si>
  <si>
    <t>D1 — CAPITAL &amp; ACTIONNARIAT</t>
  </si>
  <si>
    <t>Champ</t>
  </si>
  <si>
    <t>Valeur (auto depuis PROFIL)</t>
  </si>
  <si>
    <t>Capital social (FCFA)</t>
  </si>
  <si>
    <t>Flottant (%)</t>
  </si>
  <si>
    <t>Principaux actionnaires</t>
  </si>
  <si>
    <t>D2 — LIQUIDITE DU TITRE  (critique sur BRVM)</t>
  </si>
  <si>
    <t>Volume moyen journalier (titres)</t>
  </si>
  <si>
    <t>Volume moyen journalier (FCFA)</t>
  </si>
  <si>
    <t>Frequence de cotation (%)</t>
  </si>
  <si>
    <t>Appreciation liquidite</t>
  </si>
  <si>
    <t>D3 — NOTATION &amp; CONFORMITE</t>
  </si>
  <si>
    <t>Note court terme</t>
  </si>
  <si>
    <t>Note long terme</t>
  </si>
  <si>
    <t>Dividende verse regulierement ?</t>
  </si>
  <si>
    <t>E — ANALYSE DU BILAN  (saisir dans PROFIL — section BILAN)</t>
  </si>
  <si>
    <t>E1 — STRUCTURE DE LA DETTE</t>
  </si>
  <si>
    <t>Reference / Seuils</t>
  </si>
  <si>
    <t>Dette long terme (FCFA)</t>
  </si>
  <si>
    <t>Bilan passif non courant</t>
  </si>
  <si>
    <t>Dette court terme (FCFA)</t>
  </si>
  <si>
    <t>Bilan passif courant</t>
  </si>
  <si>
    <t>Dette totale (FCFA)</t>
  </si>
  <si>
    <t>= LT + CT</t>
  </si>
  <si>
    <t>Gearing (Dette totale / Fonds propres %)</t>
  </si>
  <si>
    <t>&lt; 50% sain | 50-100% eleve | &gt; 100% risque</t>
  </si>
  <si>
    <t>Dette nette / RN annuel (nb annees)</t>
  </si>
  <si>
    <t>&lt; 3 ans sain | 3-5 ans acceptable | &gt; 5 ans excessif</t>
  </si>
  <si>
    <t>E2 — SOLVABILITE &amp; COUVERTURE DES INTERETS</t>
  </si>
  <si>
    <t>EBIT (M FCFA) — depuis PROFIL</t>
  </si>
  <si>
    <t>Resultat avant interets et impots</t>
  </si>
  <si>
    <t>Charges financieres nettes (FCFA)</t>
  </si>
  <si>
    <t>Interets nets payes sur la dette</t>
  </si>
  <si>
    <t>Couverture des interets (x)</t>
  </si>
  <si>
    <t>&gt; 3x sain | 1.5-3x vigilance | &lt; 1.5x risque</t>
  </si>
  <si>
    <t>Ratio Fonds propres / Dette totale (%)</t>
  </si>
  <si>
    <t>&gt; 100% solide | 50-100% moyen | &lt; 50% fragile</t>
  </si>
  <si>
    <t>E3 — LIQUIDITE DU BILAN</t>
  </si>
  <si>
    <t>Actifs courants (FCFA)</t>
  </si>
  <si>
    <t>Tresorerie + creances + stocks</t>
  </si>
  <si>
    <t>Passifs courants (FCFA)</t>
  </si>
  <si>
    <t>Dettes court terme &lt; 1 an</t>
  </si>
  <si>
    <t>Ratio de liquidite courant (x)</t>
  </si>
  <si>
    <t>&gt; 2 = tres liquide | 1-2 = OK | &lt; 1 = tension tresorerie</t>
  </si>
  <si>
    <t>Fonds de roulement net (FCFA)</t>
  </si>
  <si>
    <t>&gt; 0 = excedent | &lt; 0 = deficit de liquidite</t>
  </si>
  <si>
    <t>F — ALERTES DE PRIX &amp; VALEUR INTRINSEQUE</t>
  </si>
  <si>
    <t>F1 — VALEUR INTRINSEQUE COMPOSITE  (VMC x2  +  PCD  +  Gordon  quand disponibles)</t>
  </si>
  <si>
    <t>Modele</t>
  </si>
  <si>
    <t>VI estimee (FCFA)</t>
  </si>
  <si>
    <t>Poids</t>
  </si>
  <si>
    <t>Signal vs prix actuel</t>
  </si>
  <si>
    <t>x2</t>
  </si>
  <si>
    <t>x1</t>
  </si>
  <si>
    <t>VALEUR INTRINSEQUE COMPOSITE (VI)</t>
  </si>
  <si>
    <t>composite</t>
  </si>
  <si>
    <t>F2 — ZONES D ALERTE PRIX  (depuis VI composite B238)</t>
  </si>
  <si>
    <t>Zone</t>
  </si>
  <si>
    <t>Prix seuil (FCFA)</t>
  </si>
  <si>
    <t>Ecart vs prix actuel (%)</t>
  </si>
  <si>
    <t>Action recommandee</t>
  </si>
  <si>
    <t>FORTE OPPORTUNITE  (VI x 0.75)</t>
  </si>
  <si>
    <t>Achat agressif — decote &gt; 25% sur VI</t>
  </si>
  <si>
    <t>ACHAT IDEAL  (VI x 0.85)</t>
  </si>
  <si>
    <t>Achat — marge de securite confortable (15-25%)</t>
  </si>
  <si>
    <t>JUSTE VALEUR  (VI x 1.00)</t>
  </si>
  <si>
    <t>Achat si fondamentaux solides — prime nulle</t>
  </si>
  <si>
    <t>ZONE NEUTRE  (VI x 1.10)</t>
  </si>
  <si>
    <t>Surveiller — prime moderee</t>
  </si>
  <si>
    <t>SURACHAT  (VI x 1.20)</t>
  </si>
  <si>
    <t>Allegement conseille — prime &gt; 20% sur VI</t>
  </si>
  <si>
    <t>G — ANALYSE CYCLIQUE  (agro-industrie BRVM : caoutchouc, huile de palme, cacao...)</t>
  </si>
  <si>
    <t>G1 — EXPOSITION AUX MATIERES PREMIERES  (jusqu'a 3 matieres par societe)</t>
  </si>
  <si>
    <t>Liste : choisir la matiere | saisir % CA et prix actuel | moy. LT 10 ans auto-remplie | Pour 'Autre' : laisser D vide et saisir la moy. LT en colonne E</t>
  </si>
  <si>
    <t>Matiere premiere</t>
  </si>
  <si>
    <t>% CA</t>
  </si>
  <si>
    <t>Prix actuel</t>
  </si>
  <si>
    <t>Moy. LT auto</t>
  </si>
  <si>
    <t>Moy. LT (Autre)</t>
  </si>
  <si>
    <t>Ratio cycle</t>
  </si>
  <si>
    <t>Total % CA renseigne</t>
  </si>
  <si>
    <t>G2 — INDICE DE CYCLE COMPOSITE  (pondere par le % du CA de chaque matiere)</t>
  </si>
  <si>
    <t>Interpretation &amp; Conduite a tenir</t>
  </si>
  <si>
    <t>Indice cycle composite (pondere % CA)</t>
  </si>
  <si>
    <t>Phase du cycle detectee</t>
  </si>
  <si>
    <t>Nb matieres renseignees</t>
  </si>
  <si>
    <t>G3 — VALORISATION ADAPTEE AUX CYCLIQUES  (PER normalise sur cycle 5 ans)</t>
  </si>
  <si>
    <t>Signal / Interpretation</t>
  </si>
  <si>
    <t>BPA normalise 5 ans (FCFA)</t>
  </si>
  <si>
    <t>= RN moyen 5 ans / Nb titres. Lisse les pics et creux de cycle.</t>
  </si>
  <si>
    <t>PER normalise cycle (Prix / BPA moyen 5 ans)</t>
  </si>
  <si>
    <t>VERDICT CYCLIQUE FINAL</t>
  </si>
  <si>
    <t>TABLEAU DE BORD — SYNTHESE DE L'ANALYSE</t>
  </si>
  <si>
    <t>SCORECARD FONDAMENTALE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</si>
  <si>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</si>
  <si>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</si>
  <si>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</si>
  <si>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</si>
  <si>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</si>
  <si>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</si>
  <si>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</si>
  <si>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</si>
  <si>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</si>
  <si>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</si>
  <si>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</si>
  <si>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</si>
  <si>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</si>
  <si>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</si>
  <si>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</si>
  <si>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</si>
  <si>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</si>
  <si>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</si>
  <si>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</si>
  <si>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</si>
  <si>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</si>
  <si>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</si>
  <si>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</si>
  <si>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</si>
  <si>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</si>
  <si>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</si>
  <si>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</si>
  <si>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</si>
  <si>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</si>
  <si>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</si>
  <si>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</si>
  <si>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</si>
  <si>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</si>
  <si>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</si>
  <si>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</si>
  <si>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</si>
  <si>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</si>
  <si>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</si>
  <si>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C — SIGNAL CONTRARIAN BRVM  (depuis ETUDE C4)</t>
  </si>
  <si>
    <t>Score /10</t>
  </si>
  <si>
    <t>Verdict</t>
  </si>
  <si>
    <t>PER vs Sectoriel</t>
  </si>
  <si>
    <t>Decote VMC</t>
  </si>
  <si>
    <t>RECOMMANDATION FINALE (texte libre)</t>
  </si>
  <si>
    <t>PROFIL DE LA SOCIETE</t>
  </si>
  <si>
    <t>DONNEES CLES — liees automatiquement a ETUDE et SYNTHESE</t>
  </si>
  <si>
    <t>Nom de la societe</t>
  </si>
  <si>
    <t>PROFIL!B3 -&gt; titre de ETUDE et SYNTHESE</t>
  </si>
  <si>
    <t>Ticker BRVM</t>
  </si>
  <si>
    <t>ex: BIDC, ETIT, SNTS, ONTBF...</t>
  </si>
  <si>
    <t>Secteur d activite</t>
  </si>
  <si>
    <t>Banque | Assurance | Industrie | Distribution | Telecom | Autre</t>
  </si>
  <si>
    <t>Date d analyse</t>
  </si>
  <si>
    <t>ex: 14/05/2026  (texte libre)</t>
  </si>
  <si>
    <t>IDENTIFICATION COMPLETE</t>
  </si>
  <si>
    <t>Nom complet</t>
  </si>
  <si>
    <t>&lt;-- Auto depuis cellules cles ci-dessus</t>
  </si>
  <si>
    <t>Secteur d'activite</t>
  </si>
  <si>
    <t>Pays d'origine</t>
  </si>
  <si>
    <t>Date d'introduction en bourse</t>
  </si>
  <si>
    <t>CAPITAL &amp; ACTIONNARIAT</t>
  </si>
  <si>
    <t>Nombre de titres</t>
  </si>
  <si>
    <t>LIQUIDITE DU TITRE (critique sur BRVM)</t>
  </si>
  <si>
    <t>&lt;-- Source : BRVM.org</t>
  </si>
  <si>
    <t>&lt;-- % seances avec transaction</t>
  </si>
  <si>
    <t>&lt;-- Forte / Moyenne / Faible</t>
  </si>
  <si>
    <t>NOTATION &amp; CONFORMITE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</si>
  <si>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</si>
  <si>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</si>
  <si>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</si>
  <si>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</si>
  <si>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</si>
  <si>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</si>
  <si>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</si>
  <si>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</si>
  <si>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</si>
  <si>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BILAN (depuis rapport annuel)</t>
  </si>
  <si>
    <t>&lt;-- Bilan passif non courant</t>
  </si>
  <si>
    <t>&lt;-- Bilan passif courant</t>
  </si>
  <si>
    <t>EBIT - Res. avant interets et impots (M FCFA)</t>
  </si>
  <si>
    <t>&lt;-- Compte de resultat</t>
  </si>
  <si>
    <t>&lt;-- Bilan actif courant</t>
  </si>
  <si>
    <t>PORTEFEUILLE BRVM — SUIVI DES POSITIONS &amp; RECOMMANDATIONS</t>
  </si>
  <si>
    <t>Saisir Ticker, Secteur, Nb titres, Prix achat, Prix actuel, Dividendes recus/titre, Note ETUDE /39  —  Reste calculé automatiquement</t>
  </si>
  <si>
    <t>Ticker</t>
  </si>
  <si>
    <t>Secteur</t>
  </si>
  <si>
    <t>Nb titres</t>
  </si>
  <si>
    <t>Prix achat moy.
(FCFA)</t>
  </si>
  <si>
    <t>Prix actuel
(FCFA)</t>
  </si>
  <si>
    <t>Div. recus/titre
(FCFA)</t>
  </si>
  <si>
    <t>Note
/39</t>
  </si>
  <si>
    <t>Cout total achat
(auto)</t>
  </si>
  <si>
    <t>Val. actuelle
(auto)</t>
  </si>
  <si>
    <t>PV/MV+Div
(auto)</t>
  </si>
  <si>
    <t>Rend. total %
(auto)</t>
  </si>
  <si>
    <t>Recommandation
(auto)</t>
  </si>
  <si>
    <t>TOTAL PORTEFEUILLE</t>
  </si>
  <si>
    <t>LEGENDE RECOMMANDATIONS</t>
  </si>
  <si>
    <t>RENFORCER</t>
  </si>
  <si>
    <t>Note &gt;= 24/39 ET rendement total &gt;= 0%   — Fondamentaux solides, titre en gain</t>
  </si>
  <si>
    <t>CONSERVER</t>
  </si>
  <si>
    <t>Note &gt;= 15/39 ET rendement &gt; -5%   — Garder la position, surveiller</t>
  </si>
  <si>
    <t>SURVEILLER</t>
  </si>
  <si>
    <t>Situation ambiguë   — Attendre confirmation avant d'agir</t>
  </si>
  <si>
    <t>VENDRE — Stop</t>
  </si>
  <si>
    <t>Rendement total &lt; -10%   — Stop-loss déclenché, limiter la perte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</si>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</sst>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0.00"/>
    <numFmt numFmtId="166" formatCode="0.00%"/>
    <numFmt numFmtId="167" formatCode="#,##0.00"/>
    <numFmt numFmtId="168" formatCode="0.0"/>
    <numFmt numFmtId="169" formatCode="@"/>
  </numFmts>
  <fonts count="43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D1B2A"/>
      <name val="Calibri"/>
      <family val="2"/>
      <scheme val="minor"/>
    </font>
    <font>
      <sz val="11"/>
      <color rgb="FF1E293B"/>
      <name val="Calibri"/>
      <family val="2"/>
      <scheme val="minor"/>
    </font>
    <font>
      <b/>
      <sz val="10"/>
      <color rgb="FFD97706"/>
      <name val="Calibri"/>
      <family val="2"/>
      <scheme val="minor"/>
    </font>
    <font>
      <i/>
      <sz val="8"/>
      <color rgb="FF808080"/>
      <name val="Calibri"/>
      <family val="2"/>
      <scheme val="minor"/>
    </font>
    <font>
      <i/>
      <sz val="10"/>
      <color rgb="FF0D1B2A"/>
      <name val="Calibri"/>
      <family val="2"/>
      <scheme val="minor"/>
    </font>
    <font>
      <b/>
      <sz val="11"/>
      <color rgb="FF1E293B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i/>
      <sz val="8"/>
      <color rgb="FFD97706"/>
      <name val="Calibri"/>
      <family val="2"/>
      <scheme val="minor"/>
    </font>
    <font>
      <i/>
      <sz val="11"/>
      <color rgb="FF1F3864"/>
      <name val="Calibri"/>
      <family val="2"/>
      <scheme val="minor"/>
    </font>
    <font>
      <i/>
      <sz val="11"/>
      <color rgb="FF0D1B2A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2"/>
      <color rgb="FF0D1B2A"/>
      <name val="Calibri"/>
      <family val="2"/>
      <scheme val="minor"/>
    </font>
    <font>
      <b/>
      <sz val="11"/>
      <color rgb="FFECFDF5"/>
      <name val="Calibri"/>
      <family val="2"/>
      <scheme val="minor"/>
    </font>
    <font>
      <i/>
      <sz val="10"/>
      <color rgb="FF1E293B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i/>
      <sz val="11"/>
      <color rgb="FF1E293B"/>
      <name val="Calibri"/>
      <family val="2"/>
      <scheme val="minor"/>
    </font>
    <font>
      <i/>
      <sz val="10"/>
      <color rgb="FF404040"/>
      <name val="Calibri"/>
      <family val="2"/>
      <scheme val="minor"/>
    </font>
    <font>
      <i/>
      <sz val="10"/>
      <color rgb="FF6B7280"/>
      <name val="Calibri"/>
      <family val="2"/>
      <scheme val="minor"/>
    </font>
    <font>
      <i/>
      <sz val="11"/>
      <color rgb="FF1E293B"/>
      <name val="Calibri"/>
      <family val="2"/>
      <scheme val="minor"/>
    </font>
    <font>
      <sz val="11"/>
      <color rgb="FF1F3864"/>
      <name val="Calibri"/>
      <family val="2"/>
      <scheme val="minor"/>
    </font>
    <font>
      <i/>
      <sz val="11"/>
      <color rgb="FF404040"/>
      <name val="Calibri"/>
      <family val="2"/>
      <scheme val="minor"/>
    </font>
    <font>
      <sz val="11"/>
      <color rgb="FF1E3A5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1"/>
      <color rgb="FF404040"/>
      <name val="Calibri"/>
      <family val="2"/>
      <scheme val="minor"/>
    </font>
    <font>
      <b/>
      <sz val="14"/>
      <color rgb="FF0D1B2A"/>
      <name val="Calibri"/>
      <family val="2"/>
      <scheme val="minor"/>
    </font>
    <font>
      <b/>
      <sz val="10"/>
      <color rgb="FF0D1B2A"/>
      <name val="Calibri"/>
      <family val="2"/>
      <scheme val="minor"/>
    </font>
    <font>
      <sz val="10"/>
      <color rgb="FF0D1B2A"/>
      <name val="Calibri"/>
      <family val="2"/>
      <scheme val="minor"/>
    </font>
    <font>
      <b/>
      <sz val="12"/>
      <color rgb="FF1E293B"/>
      <name val="Calibri"/>
      <family val="2"/>
      <scheme val="minor"/>
    </font>
    <font>
      <i/>
      <sz val="9"/>
      <color rgb="FFCBD5E1"/>
      <name val="Calibri"/>
      <family val="2"/>
      <scheme val="minor"/>
    </font>
    <font>
      <sz val="11"/>
      <color rgb="FF92400E"/>
      <name val="Calibri"/>
      <family val="2"/>
      <scheme val="minor"/>
    </font>
    <font>
      <sz val="11"/>
      <color rgb="FF064E3B"/>
      <name val="Calibri"/>
      <family val="2"/>
      <scheme val="minor"/>
    </font>
    <font>
      <b/>
      <sz val="11"/>
      <color rgb="FF1E40AF"/>
      <name val="Calibri"/>
      <family val="2"/>
      <scheme val="minor"/>
    </font>
    <font>
      <sz val="11"/>
      <color rgb="FF374151"/>
      <name val="Calibri"/>
      <family val="2"/>
      <scheme val="minor"/>
    </font>
    <font>
      <b/>
      <sz val="10"/>
      <color rgb="FF1E40AF"/>
      <name val="Calibri"/>
      <family val="2"/>
      <scheme val="minor"/>
    </font>
    <font>
      <i/>
      <sz val="10"/>
      <color rgb="FF37415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DCE8F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64E3B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8FAFF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1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5" fillId="5" borderId="2" xfId="0" applyFont="1" applyFill="1" applyBorder="1" applyAlignment="1" applyProtection="1">
      <alignment horizontal="left" vertical="center"/>
      <protection locked="0"/>
    </xf>
    <xf numFmtId="164" fontId="5" fillId="6" borderId="2" xfId="0" applyNumberFormat="1" applyFont="1" applyFill="1" applyBorder="1" applyAlignment="1" applyProtection="1">
      <alignment horizontal="right" vertical="center"/>
      <protection locked="0"/>
    </xf>
    <xf numFmtId="165" fontId="5" fillId="7" borderId="2" xfId="0" applyNumberFormat="1" applyFont="1" applyFill="1" applyBorder="1" applyAlignment="1">
      <alignment horizontal="right" vertical="center"/>
    </xf>
    <xf numFmtId="166" fontId="5" fillId="7" borderId="2" xfId="0" applyNumberFormat="1" applyFont="1" applyFill="1" applyBorder="1" applyAlignment="1">
      <alignment horizontal="right" vertical="center"/>
    </xf>
    <xf numFmtId="164" fontId="5" fillId="7" borderId="2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left" vertical="center"/>
      <protection locked="0"/>
    </xf>
    <xf numFmtId="164" fontId="6" fillId="6" borderId="2" xfId="0" applyNumberFormat="1" applyFont="1" applyFill="1" applyBorder="1" applyAlignment="1" applyProtection="1">
      <alignment horizontal="right" vertical="center"/>
      <protection locked="0"/>
    </xf>
    <xf numFmtId="0" fontId="7" fillId="8" borderId="2" xfId="0" applyFont="1" applyFill="1" applyBorder="1" applyAlignment="1" applyProtection="1">
      <alignment horizontal="left" vertical="center"/>
      <protection locked="0"/>
    </xf>
    <xf numFmtId="167" fontId="6" fillId="6" borderId="2" xfId="0" applyNumberFormat="1" applyFont="1" applyFill="1" applyBorder="1" applyAlignment="1" applyProtection="1">
      <alignment horizontal="right" vertical="center"/>
      <protection locked="0"/>
    </xf>
    <xf numFmtId="164" fontId="5" fillId="7" borderId="2" xfId="0" applyNumberFormat="1" applyFont="1" applyFill="1" applyBorder="1" applyAlignment="1" applyProtection="1">
      <alignment horizontal="right" vertical="center"/>
      <protection locked="0"/>
    </xf>
    <xf numFmtId="167" fontId="5" fillId="7" borderId="2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 applyProtection="1">
      <alignment horizontal="left" vertical="center" wrapText="1"/>
      <protection locked="0"/>
    </xf>
    <xf numFmtId="167" fontId="5" fillId="6" borderId="2" xfId="0" applyNumberFormat="1" applyFont="1" applyFill="1" applyBorder="1" applyAlignment="1" applyProtection="1">
      <alignment horizontal="right" vertical="center"/>
      <protection locked="0"/>
    </xf>
    <xf numFmtId="0" fontId="9" fillId="5" borderId="2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right" vertical="center"/>
      <protection locked="0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right" vertical="center"/>
      <protection locked="0"/>
    </xf>
    <xf numFmtId="167" fontId="10" fillId="10" borderId="2" xfId="0" applyNumberFormat="1" applyFont="1" applyFill="1" applyBorder="1" applyAlignment="1" applyProtection="1">
      <alignment horizontal="right" vertical="center"/>
      <protection locked="0"/>
    </xf>
    <xf numFmtId="164" fontId="10" fillId="10" borderId="2" xfId="0" applyNumberFormat="1" applyFont="1" applyFill="1" applyBorder="1" applyAlignment="1" applyProtection="1">
      <alignment horizontal="right" vertical="center"/>
      <protection locked="0"/>
    </xf>
    <xf numFmtId="165" fontId="10" fillId="10" borderId="2" xfId="0" applyNumberFormat="1" applyFont="1" applyFill="1" applyBorder="1" applyAlignment="1" applyProtection="1">
      <alignment horizontal="right" vertical="center"/>
      <protection locked="0"/>
    </xf>
    <xf numFmtId="0" fontId="11" fillId="10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left" vertical="top" wrapText="1"/>
      <protection locked="0"/>
    </xf>
    <xf numFmtId="1" fontId="10" fillId="10" borderId="2" xfId="0" applyNumberFormat="1" applyFont="1" applyFill="1" applyBorder="1" applyAlignment="1" applyProtection="1">
      <alignment horizontal="center" vertical="center"/>
      <protection locked="0"/>
    </xf>
    <xf numFmtId="0" fontId="12" fillId="5" borderId="2" xfId="0" applyFont="1" applyFill="1" applyBorder="1" applyAlignment="1" applyProtection="1">
      <alignment horizontal="left" vertical="center" wrapText="1"/>
      <protection locked="0"/>
    </xf>
    <xf numFmtId="1" fontId="11" fillId="10" borderId="2" xfId="0" applyNumberFormat="1" applyFont="1" applyFill="1" applyBorder="1" applyAlignment="1" applyProtection="1">
      <alignment horizontal="center" vertical="center"/>
      <protection locked="0"/>
    </xf>
    <xf numFmtId="0" fontId="13" fillId="10" borderId="2" xfId="0" applyFont="1" applyFill="1" applyBorder="1" applyAlignment="1" applyProtection="1">
      <alignment horizontal="center" vertical="center"/>
      <protection locked="0"/>
    </xf>
    <xf numFmtId="165" fontId="5" fillId="6" borderId="2" xfId="0" applyNumberFormat="1" applyFont="1" applyFill="1" applyBorder="1" applyAlignment="1" applyProtection="1">
      <alignment horizontal="right" vertical="center"/>
      <protection locked="0"/>
    </xf>
    <xf numFmtId="0" fontId="14" fillId="6" borderId="1" xfId="0" applyFont="1" applyFill="1" applyBorder="1" applyAlignment="1" applyProtection="1">
      <alignment horizontal="left" vertical="center" wrapText="1"/>
      <protection locked="0"/>
    </xf>
    <xf numFmtId="0" fontId="15" fillId="9" borderId="1" xfId="0" applyFont="1" applyFill="1" applyBorder="1" applyAlignment="1" applyProtection="1">
      <alignment horizontal="center" vertical="center"/>
      <protection locked="0"/>
    </xf>
    <xf numFmtId="167" fontId="11" fillId="10" borderId="2" xfId="0" applyNumberFormat="1" applyFont="1" applyFill="1" applyBorder="1" applyAlignment="1" applyProtection="1">
      <alignment horizontal="right" vertical="center"/>
      <protection locked="0"/>
    </xf>
    <xf numFmtId="0" fontId="16" fillId="9" borderId="1" xfId="0" applyFont="1" applyFill="1" applyBorder="1" applyAlignment="1" applyProtection="1">
      <alignment horizontal="left" vertical="center" wrapText="1"/>
      <protection locked="0"/>
    </xf>
    <xf numFmtId="165" fontId="5" fillId="7" borderId="2" xfId="0" applyNumberFormat="1" applyFont="1" applyFill="1" applyBorder="1" applyAlignment="1" applyProtection="1">
      <alignment horizontal="right" vertical="center"/>
      <protection locked="0"/>
    </xf>
    <xf numFmtId="165" fontId="6" fillId="6" borderId="2" xfId="0" applyNumberFormat="1" applyFont="1" applyFill="1" applyBorder="1" applyAlignment="1" applyProtection="1">
      <alignment horizontal="right" vertical="center"/>
      <protection locked="0"/>
    </xf>
    <xf numFmtId="0" fontId="5" fillId="7" borderId="2" xfId="0" applyFont="1" applyFill="1" applyBorder="1" applyAlignment="1">
      <alignment horizontal="right" vertical="center"/>
    </xf>
    <xf numFmtId="1" fontId="17" fillId="7" borderId="2" xfId="0" applyNumberFormat="1" applyFont="1" applyFill="1" applyBorder="1" applyAlignment="1" applyProtection="1">
      <alignment horizontal="center" vertical="center"/>
      <protection locked="0"/>
    </xf>
    <xf numFmtId="1" fontId="18" fillId="7" borderId="3" xfId="0" applyNumberFormat="1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19" fillId="11" borderId="3" xfId="0" applyFont="1" applyFill="1" applyBorder="1" applyAlignment="1" applyProtection="1">
      <alignment horizontal="center" vertical="center" wrapText="1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5" fillId="5" borderId="2" xfId="0" applyFont="1" applyFill="1" applyBorder="1" applyAlignment="1" applyProtection="1">
      <alignment horizontal="center" vertical="center"/>
      <protection locked="0"/>
    </xf>
    <xf numFmtId="0" fontId="20" fillId="7" borderId="2" xfId="0" applyFont="1" applyFill="1" applyBorder="1" applyAlignment="1" applyProtection="1">
      <alignment horizontal="left" vertical="center"/>
      <protection locked="0"/>
    </xf>
    <xf numFmtId="164" fontId="21" fillId="7" borderId="3" xfId="0" applyNumberFormat="1" applyFont="1" applyFill="1" applyBorder="1" applyAlignment="1">
      <alignment horizontal="right" vertical="center"/>
    </xf>
    <xf numFmtId="0" fontId="22" fillId="7" borderId="3" xfId="0" applyFont="1" applyFill="1" applyBorder="1" applyAlignment="1">
      <alignment horizontal="left" vertical="center" wrapText="1"/>
    </xf>
    <xf numFmtId="168" fontId="5" fillId="7" borderId="2" xfId="0" applyNumberFormat="1" applyFont="1" applyFill="1" applyBorder="1" applyAlignment="1">
      <alignment horizontal="right" vertical="center"/>
    </xf>
    <xf numFmtId="0" fontId="23" fillId="8" borderId="2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20" fillId="7" borderId="2" xfId="0" applyFont="1" applyFill="1" applyBorder="1" applyAlignment="1">
      <alignment horizontal="left" vertical="center"/>
    </xf>
    <xf numFmtId="165" fontId="21" fillId="7" borderId="3" xfId="0" applyNumberFormat="1" applyFont="1" applyFill="1" applyBorder="1" applyAlignment="1">
      <alignment horizontal="right" vertical="center"/>
    </xf>
    <xf numFmtId="0" fontId="21" fillId="7" borderId="3" xfId="0" applyFont="1" applyFill="1" applyBorder="1" applyAlignment="1">
      <alignment horizontal="center" vertical="center"/>
    </xf>
    <xf numFmtId="0" fontId="20" fillId="7" borderId="2" xfId="0" applyFont="1" applyFill="1" applyBorder="1" applyAlignment="1">
      <alignment horizontal="left" vertical="center" wrapText="1"/>
    </xf>
    <xf numFmtId="0" fontId="24" fillId="8" borderId="2" xfId="0" applyFont="1" applyFill="1" applyBorder="1" applyAlignment="1" applyProtection="1">
      <alignment horizontal="left" vertical="center"/>
      <protection locked="0"/>
    </xf>
    <xf numFmtId="0" fontId="25" fillId="7" borderId="2" xfId="0" applyFont="1" applyFill="1" applyBorder="1" applyAlignment="1">
      <alignment horizontal="left" vertical="center"/>
    </xf>
    <xf numFmtId="0" fontId="13" fillId="7" borderId="3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 applyProtection="1">
      <alignment horizontal="left" vertical="center"/>
      <protection locked="0"/>
    </xf>
    <xf numFmtId="165" fontId="26" fillId="13" borderId="2" xfId="0" applyNumberFormat="1" applyFont="1" applyFill="1" applyBorder="1" applyAlignment="1" applyProtection="1">
      <alignment horizontal="right" vertical="center"/>
      <protection locked="0"/>
    </xf>
    <xf numFmtId="0" fontId="27" fillId="13" borderId="2" xfId="0" applyFont="1" applyFill="1" applyBorder="1" applyAlignment="1" applyProtection="1">
      <alignment horizontal="center" vertical="center"/>
      <protection locked="0"/>
    </xf>
    <xf numFmtId="1" fontId="13" fillId="7" borderId="2" xfId="0" applyNumberFormat="1" applyFont="1" applyFill="1" applyBorder="1" applyAlignment="1">
      <alignment horizontal="center" vertical="center"/>
    </xf>
    <xf numFmtId="0" fontId="5" fillId="14" borderId="2" xfId="0" applyFont="1" applyFill="1" applyBorder="1" applyAlignment="1" applyProtection="1">
      <alignment horizontal="left" vertical="center"/>
      <protection locked="0"/>
    </xf>
    <xf numFmtId="1" fontId="13" fillId="10" borderId="2" xfId="0" applyNumberFormat="1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2" fillId="15" borderId="1" xfId="0" applyFont="1" applyFill="1" applyBorder="1" applyAlignment="1" applyProtection="1">
      <alignment horizontal="left" vertical="center"/>
      <protection locked="0"/>
    </xf>
    <xf numFmtId="1" fontId="29" fillId="10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168" fontId="10" fillId="10" borderId="2" xfId="0" applyNumberFormat="1" applyFont="1" applyFill="1" applyBorder="1" applyAlignment="1" applyProtection="1">
      <alignment horizontal="right" vertical="center"/>
      <protection locked="0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1" fontId="30" fillId="10" borderId="2" xfId="0" applyNumberFormat="1" applyFont="1" applyFill="1" applyBorder="1" applyAlignment="1" applyProtection="1">
      <alignment horizontal="center" vertical="center"/>
      <protection locked="0"/>
    </xf>
    <xf numFmtId="0" fontId="31" fillId="14" borderId="2" xfId="0" applyFont="1" applyFill="1" applyBorder="1" applyAlignment="1" applyProtection="1">
      <alignment horizontal="center" vertical="center"/>
      <protection locked="0"/>
    </xf>
    <xf numFmtId="0" fontId="21" fillId="10" borderId="2" xfId="0" applyFont="1" applyFill="1" applyBorder="1" applyAlignment="1" applyProtection="1">
      <alignment horizontal="center" vertical="center"/>
      <protection locked="0"/>
    </xf>
    <xf numFmtId="1" fontId="32" fillId="13" borderId="3" xfId="0" applyNumberFormat="1" applyFont="1" applyFill="1" applyBorder="1" applyAlignment="1" applyProtection="1">
      <alignment horizontal="center" vertical="center"/>
      <protection locked="0"/>
    </xf>
    <xf numFmtId="0" fontId="33" fillId="13" borderId="3" xfId="0" applyFont="1" applyFill="1" applyBorder="1" applyAlignment="1" applyProtection="1">
      <alignment horizontal="center" vertical="center" wrapText="1"/>
      <protection locked="0"/>
    </xf>
    <xf numFmtId="165" fontId="34" fillId="13" borderId="2" xfId="0" applyNumberFormat="1" applyFont="1" applyFill="1" applyBorder="1" applyAlignment="1" applyProtection="1">
      <alignment horizontal="center" vertical="center"/>
      <protection locked="0"/>
    </xf>
    <xf numFmtId="0" fontId="16" fillId="13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5" fillId="6" borderId="3" xfId="0" applyFont="1" applyFill="1" applyBorder="1" applyAlignment="1" applyProtection="1">
      <alignment horizontal="left" vertical="center"/>
      <protection locked="0"/>
    </xf>
    <xf numFmtId="169" fontId="35" fillId="6" borderId="3" xfId="0" applyNumberFormat="1" applyFont="1" applyFill="1" applyBorder="1" applyAlignment="1" applyProtection="1">
      <alignment horizontal="left" vertical="center"/>
      <protection locked="0"/>
    </xf>
    <xf numFmtId="0" fontId="36" fillId="3" borderId="1" xfId="0" applyFont="1" applyFill="1" applyBorder="1" applyAlignment="1" applyProtection="1">
      <alignment horizontal="center" vertical="center"/>
      <protection locked="0"/>
    </xf>
    <xf numFmtId="0" fontId="37" fillId="6" borderId="2" xfId="0" applyFont="1" applyFill="1" applyBorder="1" applyAlignment="1" applyProtection="1">
      <alignment horizontal="left" vertical="center"/>
      <protection locked="0"/>
    </xf>
    <xf numFmtId="0" fontId="37" fillId="6" borderId="2" xfId="0" applyFont="1" applyFill="1" applyBorder="1" applyAlignment="1" applyProtection="1">
      <alignment horizontal="right" vertical="center"/>
      <protection locked="0"/>
    </xf>
    <xf numFmtId="164" fontId="38" fillId="7" borderId="2" xfId="0" applyNumberFormat="1" applyFont="1" applyFill="1" applyBorder="1" applyAlignment="1">
      <alignment horizontal="right" vertical="center"/>
    </xf>
    <xf numFmtId="165" fontId="38" fillId="7" borderId="2" xfId="0" applyNumberFormat="1" applyFont="1" applyFill="1" applyBorder="1" applyAlignment="1">
      <alignment horizontal="right" vertical="center"/>
    </xf>
    <xf numFmtId="0" fontId="39" fillId="16" borderId="2" xfId="0" applyFont="1" applyFill="1" applyBorder="1" applyAlignment="1">
      <alignment horizontal="center" vertical="center" wrapText="1"/>
    </xf>
    <xf numFmtId="0" fontId="40" fillId="5" borderId="2" xfId="0" applyFont="1" applyFill="1" applyBorder="1" applyAlignment="1" applyProtection="1">
      <alignment horizontal="center" vertical="center"/>
      <protection locked="0"/>
    </xf>
    <xf numFmtId="164" fontId="3" fillId="3" borderId="2" xfId="0" applyNumberFormat="1" applyFont="1" applyFill="1" applyBorder="1" applyAlignment="1">
      <alignment horizontal="right" vertical="center"/>
    </xf>
    <xf numFmtId="165" fontId="3" fillId="3" borderId="2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 applyProtection="1">
      <alignment horizontal="left" vertical="center"/>
      <protection locked="0"/>
    </xf>
    <xf numFmtId="0" fontId="41" fillId="16" borderId="2" xfId="0" applyFont="1" applyFill="1" applyBorder="1" applyAlignment="1" applyProtection="1">
      <alignment horizontal="center" vertical="center"/>
      <protection locked="0"/>
    </xf>
    <xf numFmtId="0" fontId="42" fillId="17" borderId="2" xfId="0" applyFont="1" applyFill="1" applyBorder="1" applyAlignment="1" applyProtection="1">
      <alignment horizontal="left" vertical="center"/>
      <protection locked="0"/>
    </xf>
    <xf numFmtId="0" fontId="13" fillId="9" borderId="2" xfId="0" applyFont="1" applyFill="1" applyBorder="1" applyAlignment="1" applyProtection="1">
      <alignment horizontal="center" vertical="center"/>
      <protection locked="0"/>
    </xf>
    <xf numFmtId="0" fontId="26" fillId="9" borderId="2" xfId="0" applyFont="1" applyFill="1" applyBorder="1" applyAlignment="1" applyProtection="1">
      <alignment horizontal="center" vertical="center"/>
      <protection locked="0"/>
    </xf>
    <xf numFmtId="0" fontId="10" fillId="8" borderId="2" xfId="0" applyFont="1" applyFill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6"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EA5E9"/>
  </sheetPr>
  <dimension ref="A1:H27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6" customHeight="1">
      <c r="A1" s="1">
        <f>IF(PROFIL!B3="","FICHE D'ANALYSE BRVM — [Completer onglet PROFIL]","FICHE D'ANALYSE BRVM — "&amp;PROFIL!B3&amp;"  ("&amp;PROFIL!B4&amp;")  |  "&amp;PROFIL!B5&amp;"  |  "&amp;IF(ISNUMBER(PROFIL!B6),TEXT(PROFIL!B6,"dd/mm/yyyy"),PROFIL!B6))</f>
        <v>0</v>
      </c>
      <c r="B1" s="1"/>
      <c r="C1" s="1"/>
      <c r="D1" s="1"/>
      <c r="E1" s="1"/>
      <c r="F1" s="1"/>
      <c r="G1" s="1"/>
      <c r="H1" s="1"/>
    </row>
    <row r="2" spans="1:8">
      <c r="A2" s="2">
        <f>IF(PROFIL!B3="","Completer le PROFIL : nom, ticker, secteur, date","Nom : "&amp;PROFIL!B3&amp;"  |  Ticker : "&amp;PROFIL!B4&amp;"  |  Secteur : "&amp;PROFIL!B5&amp;"  |  Date : "&amp;IF(ISNUMBER(PROFIL!B6),TEXT(PROFIL!B6,"dd/mm/yyyy"),PROFIL!B6))</f>
        <v>0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0</v>
      </c>
      <c r="B4" s="1"/>
      <c r="C4" s="1"/>
      <c r="D4" s="1"/>
      <c r="E4" s="1"/>
      <c r="F4" s="1"/>
      <c r="G4" s="1"/>
      <c r="H4" s="1"/>
    </row>
    <row r="5" spans="1:8" ht="5" customHeight="1"/>
    <row r="6" spans="1:8" ht="20" customHeight="1">
      <c r="A6" s="3" t="s">
        <v>1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2</v>
      </c>
      <c r="C7" s="4" t="s">
        <v>3</v>
      </c>
      <c r="D7" s="4" t="s">
        <v>4</v>
      </c>
      <c r="E7" s="4" t="s">
        <v>5</v>
      </c>
      <c r="F7" s="4" t="s">
        <v>6</v>
      </c>
      <c r="G7" s="4" t="s">
        <v>7</v>
      </c>
      <c r="H7" s="4" t="s">
        <v>8</v>
      </c>
    </row>
    <row r="8" spans="1:8">
      <c r="A8" s="5" t="s">
        <v>9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20" customHeight="1">
      <c r="A10" s="3" t="s">
        <v>10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2</v>
      </c>
      <c r="C11" s="4" t="s">
        <v>3</v>
      </c>
      <c r="D11" s="4" t="s">
        <v>4</v>
      </c>
      <c r="E11" s="4" t="s">
        <v>5</v>
      </c>
      <c r="F11" s="4" t="s">
        <v>6</v>
      </c>
      <c r="G11" s="4" t="s">
        <v>7</v>
      </c>
      <c r="H11" s="4" t="s">
        <v>8</v>
      </c>
    </row>
    <row r="12" spans="1:8">
      <c r="A12" s="5" t="s">
        <v>11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20" customHeight="1">
      <c r="A14" s="3" t="s">
        <v>12</v>
      </c>
      <c r="B14" s="3"/>
      <c r="C14" s="3"/>
      <c r="D14" s="3"/>
      <c r="E14" s="3"/>
      <c r="F14" s="3"/>
      <c r="G14" s="3"/>
      <c r="H14" s="3"/>
    </row>
    <row r="15" spans="1:8">
      <c r="A15" s="4" t="s">
        <v>13</v>
      </c>
      <c r="B15" s="4" t="s">
        <v>14</v>
      </c>
      <c r="C15" s="4" t="s">
        <v>15</v>
      </c>
      <c r="D15" s="4" t="s">
        <v>16</v>
      </c>
      <c r="E15" s="4" t="s">
        <v>17</v>
      </c>
      <c r="F15" s="4" t="s">
        <v>18</v>
      </c>
      <c r="G15" s="4" t="s">
        <v>19</v>
      </c>
    </row>
    <row r="16" spans="1:8">
      <c r="A16" s="5" t="s">
        <v>2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20</v>
      </c>
      <c r="G16" s="7">
        <f>IFERROR(AVERAGE(D16:D20),"")</f>
        <v>0</v>
      </c>
    </row>
    <row r="17" spans="1:8">
      <c r="A17" s="5" t="s">
        <v>3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4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5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21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20" customHeight="1">
      <c r="A22" s="3" t="s">
        <v>22</v>
      </c>
      <c r="B22" s="3"/>
      <c r="C22" s="3"/>
      <c r="D22" s="3"/>
      <c r="E22" s="3"/>
      <c r="F22" s="3"/>
      <c r="G22" s="3"/>
      <c r="H22" s="3"/>
    </row>
    <row r="23" spans="1:8">
      <c r="A23" s="4" t="s">
        <v>23</v>
      </c>
      <c r="B23" s="4" t="s">
        <v>24</v>
      </c>
      <c r="C23" s="4" t="s">
        <v>25</v>
      </c>
      <c r="D23" s="4" t="s">
        <v>26</v>
      </c>
      <c r="E23" s="4"/>
      <c r="F23" s="4"/>
      <c r="G23" s="4"/>
      <c r="H23" s="4"/>
    </row>
    <row r="24" spans="1:8">
      <c r="A24" s="5" t="s">
        <v>27</v>
      </c>
      <c r="B24" s="13"/>
      <c r="C24" s="14" t="s">
        <v>28</v>
      </c>
      <c r="D24" s="14"/>
      <c r="E24" s="14"/>
      <c r="F24" s="14"/>
      <c r="G24" s="14"/>
    </row>
    <row r="25" spans="1:8">
      <c r="A25" s="5" t="s">
        <v>29</v>
      </c>
      <c r="B25" s="15"/>
      <c r="C25" s="14" t="s">
        <v>30</v>
      </c>
      <c r="D25" s="14"/>
      <c r="E25" s="14"/>
      <c r="F25" s="14"/>
      <c r="G25" s="14"/>
    </row>
    <row r="26" spans="1:8">
      <c r="A26" s="5" t="s">
        <v>31</v>
      </c>
      <c r="B26" s="13"/>
      <c r="C26" s="14" t="s">
        <v>32</v>
      </c>
      <c r="D26" s="14"/>
      <c r="E26" s="14"/>
      <c r="F26" s="14"/>
      <c r="G26" s="14"/>
    </row>
    <row r="27" spans="1:8">
      <c r="A27" s="5" t="s">
        <v>33</v>
      </c>
      <c r="B27" s="13"/>
      <c r="C27" s="14" t="s">
        <v>34</v>
      </c>
      <c r="D27" s="14"/>
      <c r="E27" s="14"/>
      <c r="F27" s="14"/>
      <c r="G27" s="14"/>
    </row>
    <row r="28" spans="1:8">
      <c r="A28" s="5" t="s">
        <v>35</v>
      </c>
      <c r="B28" s="16">
        <f>IFERROR(PROFIL!B17,"")</f>
        <v>0</v>
      </c>
      <c r="C28" s="14" t="s">
        <v>36</v>
      </c>
      <c r="D28" s="14"/>
      <c r="E28" s="14"/>
      <c r="F28" s="14"/>
      <c r="G28" s="14"/>
    </row>
    <row r="29" spans="1:8" ht="5" customHeight="1"/>
    <row r="30" spans="1:8">
      <c r="A30" s="5" t="s">
        <v>37</v>
      </c>
      <c r="B30" s="7">
        <f>IFERROR(B24/B25,"")</f>
        <v>0</v>
      </c>
      <c r="C30" s="11" t="s">
        <v>38</v>
      </c>
      <c r="D30" s="10">
        <f>IFERROR(IF(B30&gt;15,"Surevalue",IF(B30&lt;9,"Sous-evalue","Zone normale (9-15)")),"-")</f>
        <v>0</v>
      </c>
    </row>
    <row r="31" spans="1:8">
      <c r="A31" s="5" t="s">
        <v>39</v>
      </c>
      <c r="B31" s="17">
        <f>IFERROR(B26/B28,"")</f>
        <v>0</v>
      </c>
      <c r="C31" s="11" t="s">
        <v>40</v>
      </c>
      <c r="D31" s="10">
        <f>IFERROR(IF(B24&gt;B31,"Action surevaluee vs VMC","Action sous-evaluee vs VMC"),"-")</f>
        <v>0</v>
      </c>
    </row>
    <row r="32" spans="1:8">
      <c r="A32" s="5" t="s">
        <v>41</v>
      </c>
      <c r="B32" s="7">
        <f>IFERROR(B27/B26,"")</f>
        <v>0</v>
      </c>
      <c r="C32" s="11" t="s">
        <v>42</v>
      </c>
      <c r="D32" s="10">
        <f>IFERROR(IF(B32&lt;1,"Decote comptable",IF(B32&lt;2,"Normal","Prime elevee")),"-")</f>
        <v>0</v>
      </c>
    </row>
    <row r="33" spans="1:8">
      <c r="A33" s="5" t="s">
        <v>43</v>
      </c>
      <c r="B33" s="7">
        <f>IFERROR(F12*1000000/B26*100,"")</f>
        <v>0</v>
      </c>
      <c r="C33" s="11" t="s">
        <v>44</v>
      </c>
      <c r="D33" s="10">
        <f>IFERROR(IF(B33&gt;=15,"Excellent",IF(B33&gt;=10,"Bon",IF(B33&gt;=5,"Moyen","Faible"))),"-")</f>
        <v>0</v>
      </c>
    </row>
    <row r="34" spans="1:8">
      <c r="A34" s="5" t="s">
        <v>45</v>
      </c>
      <c r="B34" s="7">
        <f>IFERROR(B30*B32,"")</f>
        <v>0</v>
      </c>
      <c r="C34" s="11" t="s">
        <v>46</v>
      </c>
      <c r="D34" s="10">
        <f>IFERROR(IF(B34&lt;22,"Decote globale (achat possible)","Surevaluation"),"-")</f>
        <v>0</v>
      </c>
    </row>
    <row r="35" spans="1:8" ht="5" customHeight="1"/>
    <row r="36" spans="1:8" ht="20" customHeight="1">
      <c r="A36" s="3" t="s">
        <v>47</v>
      </c>
      <c r="B36" s="3"/>
      <c r="C36" s="3"/>
      <c r="D36" s="3"/>
      <c r="E36" s="3"/>
      <c r="F36" s="3"/>
      <c r="G36" s="3"/>
      <c r="H36" s="3"/>
    </row>
    <row r="37" spans="1:8">
      <c r="A37" s="4" t="s">
        <v>13</v>
      </c>
      <c r="B37" s="4" t="s">
        <v>48</v>
      </c>
      <c r="C37" s="4" t="s">
        <v>49</v>
      </c>
      <c r="D37" s="4" t="s">
        <v>50</v>
      </c>
      <c r="E37" s="4" t="s">
        <v>51</v>
      </c>
      <c r="F37" s="4" t="s">
        <v>52</v>
      </c>
    </row>
    <row r="38" spans="1:8" ht="25" customHeight="1">
      <c r="A38" s="18" t="s">
        <v>53</v>
      </c>
      <c r="B38" s="18"/>
      <c r="C38" s="18"/>
      <c r="D38" s="18"/>
      <c r="E38" s="18"/>
      <c r="F38" s="18"/>
    </row>
    <row r="39" spans="1:8">
      <c r="A39" s="5" t="s">
        <v>2</v>
      </c>
      <c r="B39" s="19"/>
      <c r="C39" s="19"/>
      <c r="D39" s="7">
        <f>IFERROR((B39/0.85)/C39*100,"")</f>
        <v>0</v>
      </c>
      <c r="E39" s="7">
        <f>IFERROR(B39/B24*100,"")</f>
        <v>0</v>
      </c>
      <c r="F39" s="12"/>
    </row>
    <row r="40" spans="1:8">
      <c r="A40" s="5" t="s">
        <v>3</v>
      </c>
      <c r="B40" s="19"/>
      <c r="C40" s="19"/>
      <c r="D40" s="7">
        <f>IFERROR((B40/0.85)/C40*100,"")</f>
        <v>0</v>
      </c>
      <c r="E40" s="7">
        <f>IFERROR(B40/B24*100,"")</f>
        <v>0</v>
      </c>
      <c r="F40" s="7">
        <f>IFERROR((B40-B39)/ABS(B39)*100,"")</f>
        <v>0</v>
      </c>
    </row>
    <row r="41" spans="1:8">
      <c r="A41" s="5" t="s">
        <v>4</v>
      </c>
      <c r="B41" s="19"/>
      <c r="C41" s="19"/>
      <c r="D41" s="7">
        <f>IFERROR((B41/0.85)/C41*100,"")</f>
        <v>0</v>
      </c>
      <c r="E41" s="7">
        <f>IFERROR(B41/B24*100,"")</f>
        <v>0</v>
      </c>
      <c r="F41" s="7">
        <f>IFERROR((B41-B40)/ABS(B40)*100,"")</f>
        <v>0</v>
      </c>
    </row>
    <row r="42" spans="1:8">
      <c r="A42" s="5" t="s">
        <v>5</v>
      </c>
      <c r="B42" s="19"/>
      <c r="C42" s="19"/>
      <c r="D42" s="7">
        <f>IFERROR((B42/0.85)/C42*100,"")</f>
        <v>0</v>
      </c>
      <c r="E42" s="7">
        <f>IFERROR(B42/B24*100,"")</f>
        <v>0</v>
      </c>
      <c r="F42" s="7">
        <f>IFERROR((B42-B41)/ABS(B41)*100,"")</f>
        <v>0</v>
      </c>
    </row>
    <row r="43" spans="1:8">
      <c r="A43" s="5" t="s">
        <v>21</v>
      </c>
      <c r="B43" s="19"/>
      <c r="C43" s="19"/>
      <c r="D43" s="7">
        <f>IFERROR((B43/0.85)/C43*100,"")</f>
        <v>0</v>
      </c>
      <c r="E43" s="7">
        <f>IFERROR(B43/B24*100,"")</f>
        <v>0</v>
      </c>
      <c r="F43" s="7">
        <f>IFERROR((B43-B42)/ABS(B42)*100,"")</f>
        <v>0</v>
      </c>
    </row>
    <row r="44" spans="1:8">
      <c r="A44" s="20" t="s">
        <v>54</v>
      </c>
      <c r="B44" s="17">
        <f>SUM(B39:B43)</f>
        <v>0</v>
      </c>
      <c r="C44" s="12"/>
      <c r="D44" s="7">
        <f>IFERROR(AVERAGE(D39:D43),"")</f>
        <v>0</v>
      </c>
      <c r="E44" s="7">
        <f>IFERROR(AVERAGE(E39:E43),"")</f>
        <v>0</v>
      </c>
      <c r="F44" s="12"/>
    </row>
    <row r="45" spans="1:8" ht="20" customHeight="1">
      <c r="A45" s="3" t="s">
        <v>55</v>
      </c>
      <c r="B45" s="3"/>
      <c r="C45" s="3"/>
      <c r="D45" s="3"/>
      <c r="E45" s="3"/>
      <c r="F45" s="3"/>
      <c r="G45" s="3"/>
      <c r="H45" s="3"/>
    </row>
    <row r="46" spans="1:8">
      <c r="A46" s="4" t="s">
        <v>56</v>
      </c>
      <c r="B46" s="4" t="s">
        <v>57</v>
      </c>
      <c r="C46" s="4" t="s">
        <v>58</v>
      </c>
      <c r="D46" s="4" t="s">
        <v>59</v>
      </c>
    </row>
    <row r="47" spans="1:8">
      <c r="A47" s="5" t="s">
        <v>60</v>
      </c>
      <c r="B47" s="6"/>
      <c r="C47" s="6"/>
      <c r="D47" s="7">
        <f>IFERROR((C47-B47)/ABS(B47)*100,"")</f>
        <v>0</v>
      </c>
    </row>
    <row r="48" spans="1:8">
      <c r="A48" s="5" t="s">
        <v>61</v>
      </c>
      <c r="B48" s="6"/>
      <c r="C48" s="6"/>
      <c r="D48" s="7">
        <f>IFERROR((C48-B48)/ABS(B48)*100,"")</f>
        <v>0</v>
      </c>
    </row>
    <row r="49" spans="1:8">
      <c r="A49" s="5" t="s">
        <v>62</v>
      </c>
      <c r="B49" s="6"/>
      <c r="C49" s="6"/>
      <c r="D49" s="7">
        <f>IFERROR((C49-B49)/ABS(B49)*100,"")</f>
        <v>0</v>
      </c>
    </row>
    <row r="50" spans="1:8">
      <c r="A50" s="5" t="s">
        <v>11</v>
      </c>
      <c r="B50" s="6"/>
      <c r="C50" s="6"/>
      <c r="D50" s="7">
        <f>IFERROR((C50-B50)/ABS(B50)*100,"")</f>
        <v>0</v>
      </c>
    </row>
    <row r="51" spans="1:8">
      <c r="A51" s="5" t="s">
        <v>63</v>
      </c>
      <c r="B51" s="6"/>
      <c r="C51" s="6"/>
      <c r="D51" s="7">
        <f>IFERROR((C51-B51)/ABS(B51)*100,"")</f>
        <v>0</v>
      </c>
    </row>
    <row r="52" spans="1:8">
      <c r="A52" s="20" t="s">
        <v>64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20" customHeight="1">
      <c r="A54" s="3" t="s">
        <v>65</v>
      </c>
      <c r="B54" s="3"/>
      <c r="C54" s="3"/>
      <c r="D54" s="3"/>
      <c r="E54" s="3"/>
      <c r="F54" s="3"/>
      <c r="G54" s="3"/>
      <c r="H54" s="3"/>
    </row>
    <row r="55" spans="1:8">
      <c r="A55" s="4" t="s">
        <v>66</v>
      </c>
      <c r="B55" s="4" t="s">
        <v>67</v>
      </c>
      <c r="C55" s="4" t="s">
        <v>68</v>
      </c>
      <c r="D55" s="4" t="s">
        <v>69</v>
      </c>
    </row>
    <row r="56" spans="1:8">
      <c r="A56" s="5" t="s">
        <v>70</v>
      </c>
      <c r="B56" s="21" t="s">
        <v>71</v>
      </c>
      <c r="C56" s="22" t="s">
        <v>72</v>
      </c>
      <c r="D56" s="22"/>
    </row>
    <row r="57" spans="1:8">
      <c r="A57" s="5" t="s">
        <v>73</v>
      </c>
      <c r="B57" s="21" t="s">
        <v>74</v>
      </c>
      <c r="C57" s="22" t="s">
        <v>72</v>
      </c>
      <c r="D57" s="22"/>
    </row>
    <row r="58" spans="1:8">
      <c r="A58" s="5" t="s">
        <v>75</v>
      </c>
      <c r="B58" s="21"/>
      <c r="C58" s="22" t="s">
        <v>76</v>
      </c>
      <c r="D58" s="22"/>
    </row>
    <row r="59" spans="1:8">
      <c r="A59" s="5" t="s">
        <v>77</v>
      </c>
      <c r="B59" s="21"/>
      <c r="C59" s="22" t="s">
        <v>76</v>
      </c>
      <c r="D59" s="22"/>
    </row>
    <row r="60" spans="1:8" ht="5" customHeight="1"/>
    <row r="61" spans="1:8" ht="20" customHeight="1">
      <c r="A61" s="3" t="s">
        <v>78</v>
      </c>
      <c r="B61" s="3"/>
      <c r="C61" s="3"/>
      <c r="D61" s="3"/>
      <c r="E61" s="3"/>
      <c r="F61" s="3"/>
      <c r="G61" s="3"/>
      <c r="H61" s="3"/>
    </row>
    <row r="62" spans="1:8">
      <c r="A62" s="4" t="s">
        <v>79</v>
      </c>
      <c r="B62" s="4" t="s">
        <v>80</v>
      </c>
      <c r="C62" s="4" t="s">
        <v>81</v>
      </c>
      <c r="D62" s="4"/>
    </row>
    <row r="63" spans="1:8">
      <c r="A63" s="5" t="s">
        <v>82</v>
      </c>
      <c r="B63" s="6"/>
      <c r="C63" s="23"/>
      <c r="D63" s="12"/>
    </row>
    <row r="64" spans="1:8">
      <c r="A64" s="5" t="s">
        <v>83</v>
      </c>
      <c r="B64" s="6"/>
      <c r="C64" s="23"/>
      <c r="D64" s="12"/>
    </row>
    <row r="65" spans="1:8">
      <c r="A65" s="5" t="s">
        <v>84</v>
      </c>
      <c r="B65" s="24">
        <f>IFERROR(B64*1.014,"")</f>
        <v>0</v>
      </c>
      <c r="C65" s="23"/>
      <c r="D65" s="12"/>
    </row>
    <row r="66" spans="1:8">
      <c r="A66" s="5" t="s">
        <v>85</v>
      </c>
      <c r="B66" s="24">
        <f>IFERROR(B63/B65,"")</f>
        <v>0</v>
      </c>
      <c r="C66" s="23"/>
      <c r="D66" s="12"/>
    </row>
    <row r="67" spans="1:8">
      <c r="A67" s="5" t="s">
        <v>86</v>
      </c>
      <c r="B67" s="25">
        <f>IFERROR(B24,"")</f>
        <v>0</v>
      </c>
      <c r="C67" s="23"/>
      <c r="D67" s="12"/>
    </row>
    <row r="68" spans="1:8">
      <c r="A68" s="5" t="s">
        <v>87</v>
      </c>
      <c r="B68" s="24">
        <f>IFERROR(B67-(B67*0.014),"")</f>
        <v>0</v>
      </c>
      <c r="C68" s="23"/>
      <c r="D68" s="12"/>
    </row>
    <row r="69" spans="1:8">
      <c r="A69" s="5" t="s">
        <v>88</v>
      </c>
      <c r="B69" s="24">
        <f>IFERROR(B68-B65,"")</f>
        <v>0</v>
      </c>
      <c r="C69" s="23"/>
      <c r="D69" s="12"/>
    </row>
    <row r="70" spans="1:8">
      <c r="A70" s="5" t="s">
        <v>89</v>
      </c>
      <c r="B70" s="25">
        <f>IFERROR(B69*B66,"")</f>
        <v>0</v>
      </c>
      <c r="C70" s="23"/>
      <c r="D70" s="12"/>
    </row>
    <row r="71" spans="1:8">
      <c r="A71" s="5" t="s">
        <v>90</v>
      </c>
      <c r="B71" s="19"/>
      <c r="C71" s="23"/>
      <c r="D71" s="12"/>
    </row>
    <row r="72" spans="1:8">
      <c r="A72" s="5" t="s">
        <v>91</v>
      </c>
      <c r="B72" s="25">
        <f>IFERROR(B71*B66,"")</f>
        <v>0</v>
      </c>
      <c r="C72" s="23"/>
      <c r="D72" s="12"/>
    </row>
    <row r="73" spans="1:8">
      <c r="A73" s="20" t="s">
        <v>92</v>
      </c>
      <c r="B73" s="25">
        <f>IFERROR(B70+B72,"")</f>
        <v>0</v>
      </c>
      <c r="C73" s="23"/>
      <c r="D73" s="12"/>
    </row>
    <row r="74" spans="1:8">
      <c r="A74" s="20" t="s">
        <v>93</v>
      </c>
      <c r="B74" s="26">
        <f>IFERROR(B73/B63*100,"")</f>
        <v>0</v>
      </c>
      <c r="C74" s="23"/>
      <c r="D74" s="12"/>
    </row>
    <row r="75" spans="1:8">
      <c r="A75" s="20" t="s">
        <v>94</v>
      </c>
      <c r="B75" s="27">
        <f>IFERROR(IF(B74&gt;C74,"MARCHE BOURSIER","EPARGNE"),"Saisir les donnees")</f>
        <v>0</v>
      </c>
      <c r="C75" s="14" t="s">
        <v>95</v>
      </c>
      <c r="D75" s="12"/>
    </row>
    <row r="76" spans="1:8" ht="5" customHeight="1"/>
    <row r="77" spans="1:8" ht="20" customHeight="1">
      <c r="A77" s="3" t="s">
        <v>96</v>
      </c>
      <c r="B77" s="3"/>
      <c r="C77" s="3"/>
      <c r="D77" s="3"/>
      <c r="E77" s="3"/>
      <c r="F77" s="3"/>
      <c r="G77" s="3"/>
      <c r="H77" s="3"/>
    </row>
    <row r="78" spans="1:8" ht="40" customHeight="1">
      <c r="A78" s="28"/>
      <c r="B78" s="28"/>
      <c r="C78" s="28"/>
      <c r="D78" s="28"/>
      <c r="E78" s="28"/>
      <c r="F78" s="28"/>
      <c r="G78" s="28"/>
      <c r="H78" s="28"/>
    </row>
    <row r="79" spans="1:8">
      <c r="A79" s="28"/>
      <c r="B79" s="28"/>
      <c r="C79" s="28"/>
      <c r="D79" s="28"/>
      <c r="E79" s="28"/>
      <c r="F79" s="28"/>
      <c r="G79" s="28"/>
      <c r="H79" s="28"/>
    </row>
    <row r="80" spans="1:8">
      <c r="A80" s="28"/>
      <c r="B80" s="28"/>
      <c r="C80" s="28"/>
      <c r="D80" s="28"/>
      <c r="E80" s="28"/>
      <c r="F80" s="28"/>
      <c r="G80" s="28"/>
      <c r="H80" s="28"/>
    </row>
    <row r="81" spans="1:8" ht="22" customHeight="1">
      <c r="A81" s="1" t="s">
        <v>97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20" customHeight="1">
      <c r="A84" s="3" t="s">
        <v>98</v>
      </c>
      <c r="B84" s="3"/>
      <c r="C84" s="3"/>
      <c r="D84" s="3"/>
      <c r="E84" s="3"/>
      <c r="F84" s="3"/>
      <c r="G84" s="3"/>
      <c r="H84" s="3"/>
    </row>
    <row r="85" spans="1:8">
      <c r="A85" s="4" t="s">
        <v>66</v>
      </c>
      <c r="B85" s="4" t="s">
        <v>99</v>
      </c>
      <c r="C85" s="4" t="s">
        <v>100</v>
      </c>
      <c r="D85" s="4" t="s">
        <v>101</v>
      </c>
      <c r="E85" s="4" t="s">
        <v>102</v>
      </c>
    </row>
    <row r="86" spans="1:8">
      <c r="A86" s="5" t="s">
        <v>103</v>
      </c>
      <c r="B86" s="14" t="s">
        <v>104</v>
      </c>
      <c r="C86" s="23"/>
      <c r="D86" s="29">
        <f>IFERROR(IF(ISNUMBER(SEARCH("survente",B86)),1,IF(ISNUMBER(SEARCH("surachat",B86)),-1,0)),0)</f>
        <v>0</v>
      </c>
      <c r="E86" s="30" t="s">
        <v>105</v>
      </c>
    </row>
    <row r="87" spans="1:8">
      <c r="A87" s="5" t="s">
        <v>106</v>
      </c>
      <c r="B87" s="14" t="s">
        <v>104</v>
      </c>
      <c r="C87" s="23"/>
      <c r="D87" s="29">
        <f>IFERROR(IF(ISNUMBER(SEARCH("survente",B87)),1,IF(ISNUMBER(SEARCH("surachat",B87)),-1,0)),0)</f>
        <v>0</v>
      </c>
      <c r="E87" s="30" t="s">
        <v>107</v>
      </c>
    </row>
    <row r="88" spans="1:8">
      <c r="A88" s="5" t="s">
        <v>108</v>
      </c>
      <c r="B88" s="14" t="s">
        <v>104</v>
      </c>
      <c r="C88" s="23"/>
      <c r="D88" s="29">
        <f>IFERROR(IF(ISNUMBER(SEARCH("survente",B88)),1,IF(ISNUMBER(SEARCH("surachat",B88)),-1,0)),0)</f>
        <v>0</v>
      </c>
      <c r="E88" s="30" t="s">
        <v>109</v>
      </c>
    </row>
    <row r="89" spans="1:8">
      <c r="A89" s="5" t="s">
        <v>110</v>
      </c>
      <c r="B89" s="14" t="s">
        <v>104</v>
      </c>
      <c r="C89" s="23"/>
      <c r="D89" s="29">
        <f>IFERROR(IF(ISNUMBER(SEARCH("survente",B89)),1,IF(ISNUMBER(SEARCH("surachat",B89)),-1,0)),0)</f>
        <v>0</v>
      </c>
      <c r="E89" s="30" t="s">
        <v>111</v>
      </c>
    </row>
    <row r="90" spans="1:8">
      <c r="A90" s="5" t="s">
        <v>112</v>
      </c>
      <c r="B90" s="14" t="s">
        <v>104</v>
      </c>
      <c r="C90" s="23"/>
      <c r="D90" s="29">
        <f>IFERROR(IF(ISNUMBER(SEARCH("survente",B90)),1,IF(ISNUMBER(SEARCH("surachat",B90)),-1,0)),0)</f>
        <v>0</v>
      </c>
      <c r="E90" s="30" t="s">
        <v>113</v>
      </c>
    </row>
    <row r="91" spans="1:8">
      <c r="A91" s="20" t="s">
        <v>114</v>
      </c>
      <c r="B91" s="12"/>
      <c r="C91" s="12"/>
      <c r="D91" s="31">
        <f>SUM(D86:D90)</f>
        <v>0</v>
      </c>
      <c r="E91" s="32">
        <f>IFERROR(IF(D91&gt;0,"Zone SURVENTE - Achat possible",IF(D91&lt;0,"Zone SURACHAT - Vente possible","NEUTRE")),"-")</f>
        <v>0</v>
      </c>
    </row>
    <row r="92" spans="1:8" ht="5" customHeight="1"/>
    <row r="93" spans="1:8" ht="20" customHeight="1">
      <c r="A93" s="3" t="s">
        <v>115</v>
      </c>
      <c r="B93" s="3"/>
      <c r="C93" s="3"/>
      <c r="D93" s="3"/>
      <c r="E93" s="3"/>
      <c r="F93" s="3"/>
      <c r="G93" s="3"/>
      <c r="H93" s="3"/>
    </row>
    <row r="94" spans="1:8">
      <c r="A94" s="4" t="s">
        <v>116</v>
      </c>
      <c r="B94" s="4" t="s">
        <v>117</v>
      </c>
      <c r="C94" s="4" t="s">
        <v>118</v>
      </c>
      <c r="D94" s="4" t="s">
        <v>119</v>
      </c>
      <c r="E94" s="4" t="s">
        <v>120</v>
      </c>
    </row>
    <row r="95" spans="1:8">
      <c r="A95" s="5" t="s">
        <v>121</v>
      </c>
      <c r="B95" s="6"/>
      <c r="C95" s="6"/>
      <c r="D95" s="17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122</v>
      </c>
      <c r="B96" s="6"/>
      <c r="C96" s="6"/>
      <c r="D96" s="17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20" customHeight="1">
      <c r="A98" s="3" t="s">
        <v>123</v>
      </c>
      <c r="B98" s="3"/>
      <c r="C98" s="3"/>
      <c r="D98" s="3"/>
      <c r="E98" s="3"/>
      <c r="F98" s="3"/>
      <c r="G98" s="3"/>
      <c r="H98" s="3"/>
    </row>
    <row r="99" spans="1:8">
      <c r="A99" s="4" t="s">
        <v>79</v>
      </c>
      <c r="B99" s="4" t="s">
        <v>67</v>
      </c>
      <c r="C99" s="4" t="s">
        <v>124</v>
      </c>
      <c r="D99" s="4" t="s">
        <v>26</v>
      </c>
    </row>
    <row r="100" spans="1:8">
      <c r="A100" s="5" t="s">
        <v>125</v>
      </c>
      <c r="B100" s="25">
        <f>B24</f>
        <v>0</v>
      </c>
      <c r="C100" s="22" t="s">
        <v>126</v>
      </c>
      <c r="D100" s="12"/>
    </row>
    <row r="101" spans="1:8">
      <c r="A101" s="5" t="s">
        <v>127</v>
      </c>
      <c r="B101" s="24">
        <f>B25</f>
        <v>0</v>
      </c>
      <c r="C101" s="22" t="s">
        <v>128</v>
      </c>
      <c r="D101" s="12"/>
    </row>
    <row r="102" spans="1:8">
      <c r="A102" s="5" t="s">
        <v>129</v>
      </c>
      <c r="B102" s="33"/>
      <c r="C102" s="22" t="s">
        <v>130</v>
      </c>
      <c r="D102" s="12"/>
    </row>
    <row r="103" spans="1:8">
      <c r="A103" s="5" t="s">
        <v>131</v>
      </c>
      <c r="B103" s="24">
        <f>IFERROR(B25*(1+B102/100),"")</f>
        <v>0</v>
      </c>
      <c r="C103" s="22" t="s">
        <v>132</v>
      </c>
      <c r="D103" s="12"/>
    </row>
    <row r="104" spans="1:8">
      <c r="A104" s="5" t="s">
        <v>133</v>
      </c>
      <c r="B104" s="26">
        <f>IFERROR(B24/B103,"")</f>
        <v>0</v>
      </c>
      <c r="C104" s="22" t="s">
        <v>134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20" customHeight="1">
      <c r="A106" s="3" t="s">
        <v>135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34" t="s">
        <v>136</v>
      </c>
      <c r="B107" s="34"/>
      <c r="C107" s="34"/>
      <c r="D107" s="34"/>
      <c r="E107" s="34"/>
      <c r="F107" s="34"/>
      <c r="G107" s="34"/>
      <c r="H107" s="34"/>
    </row>
    <row r="108" spans="1:8">
      <c r="A108" s="4" t="s">
        <v>79</v>
      </c>
      <c r="B108" s="4" t="s">
        <v>67</v>
      </c>
      <c r="C108" s="4" t="s">
        <v>137</v>
      </c>
      <c r="D108" s="4" t="s">
        <v>26</v>
      </c>
    </row>
    <row r="109" spans="1:8">
      <c r="A109" s="5" t="s">
        <v>138</v>
      </c>
      <c r="B109" s="33"/>
      <c r="C109" s="22" t="s">
        <v>139</v>
      </c>
      <c r="D109" s="12"/>
    </row>
    <row r="110" spans="1:8">
      <c r="A110" s="5" t="s">
        <v>140</v>
      </c>
      <c r="B110" s="19"/>
      <c r="C110" s="22" t="s">
        <v>141</v>
      </c>
      <c r="D110" s="12"/>
    </row>
    <row r="111" spans="1:8">
      <c r="A111" s="5" t="s">
        <v>142</v>
      </c>
      <c r="B111" s="24">
        <f>IFERROR(IF(B110=0,"Aucun dividende",B110*(1+B109/100)),"")</f>
        <v>0</v>
      </c>
      <c r="C111" s="22" t="s">
        <v>143</v>
      </c>
      <c r="D111" s="12"/>
    </row>
    <row r="112" spans="1:8">
      <c r="A112" s="5" t="s">
        <v>144</v>
      </c>
      <c r="B112" s="33">
        <v>6.5</v>
      </c>
      <c r="C112" s="22" t="s">
        <v>145</v>
      </c>
      <c r="D112" s="12"/>
    </row>
    <row r="113" spans="1:8">
      <c r="A113" s="5" t="s">
        <v>146</v>
      </c>
      <c r="B113" s="24">
        <f>IFERROR(IF(B110=0,"N/A",100*B111/B112),"")</f>
        <v>0</v>
      </c>
      <c r="C113" s="22" t="s">
        <v>147</v>
      </c>
      <c r="D113" s="12"/>
    </row>
    <row r="114" spans="1:8">
      <c r="A114" s="5" t="s">
        <v>148</v>
      </c>
      <c r="B114" s="24">
        <f>IFERROR(IF(ISNUMBER(B113),B113*0.95,"N/A"),"")</f>
        <v>0</v>
      </c>
      <c r="C114" s="22" t="s">
        <v>149</v>
      </c>
      <c r="D114" s="12"/>
    </row>
    <row r="115" spans="1:8">
      <c r="A115" s="5" t="s">
        <v>150</v>
      </c>
      <c r="B115" s="24">
        <f>IFERROR(IF(ISNUMBER(B113),B113*1.05,"N/A"),"")</f>
        <v>0</v>
      </c>
      <c r="C115" s="22" t="s">
        <v>151</v>
      </c>
      <c r="D115" s="12"/>
    </row>
    <row r="116" spans="1:8">
      <c r="A116" s="5" t="s">
        <v>152</v>
      </c>
      <c r="B116" s="32">
        <f>IFERROR(IF(NOT(ISNUMBER(B113)),"PCD N/A - pas de dividende",IF(B24&lt;B114,"EN DESSOUS zone cible - Survente",IF(B24&gt;B115,"AU-DESSUS zone cible - Surachat","DANS LA ZONE CIBLE"))),"")</f>
        <v>0</v>
      </c>
      <c r="C116" s="22" t="s">
        <v>153</v>
      </c>
      <c r="D116" s="12"/>
    </row>
    <row r="117" spans="1:8" ht="5" customHeight="1"/>
    <row r="118" spans="1:8" ht="20" customHeight="1">
      <c r="A118" s="3" t="s">
        <v>154</v>
      </c>
      <c r="B118" s="3"/>
      <c r="C118" s="3"/>
      <c r="D118" s="3"/>
      <c r="E118" s="3"/>
      <c r="F118" s="3"/>
      <c r="G118" s="3"/>
      <c r="H118" s="3"/>
    </row>
    <row r="119" spans="1:8">
      <c r="A119" s="35" t="s">
        <v>155</v>
      </c>
      <c r="B119" s="35"/>
      <c r="C119" s="35"/>
      <c r="D119" s="35"/>
      <c r="E119" s="35"/>
      <c r="F119" s="35"/>
      <c r="G119" s="35"/>
      <c r="H119" s="35"/>
    </row>
    <row r="120" spans="1:8">
      <c r="A120" s="4" t="s">
        <v>79</v>
      </c>
      <c r="B120" s="4" t="s">
        <v>67</v>
      </c>
      <c r="C120" s="4" t="s">
        <v>156</v>
      </c>
      <c r="D120" s="4" t="s">
        <v>26</v>
      </c>
    </row>
    <row r="121" spans="1:8">
      <c r="A121" s="5" t="s">
        <v>157</v>
      </c>
      <c r="B121" s="19"/>
      <c r="C121" s="22" t="s">
        <v>158</v>
      </c>
      <c r="D121" s="12"/>
    </row>
    <row r="122" spans="1:8">
      <c r="A122" s="5" t="s">
        <v>159</v>
      </c>
      <c r="B122" s="33">
        <v>8</v>
      </c>
      <c r="C122" s="22" t="s">
        <v>160</v>
      </c>
      <c r="D122" s="12"/>
    </row>
    <row r="123" spans="1:8">
      <c r="A123" s="5" t="s">
        <v>161</v>
      </c>
      <c r="B123" s="33">
        <v>2</v>
      </c>
      <c r="C123" s="22" t="s">
        <v>162</v>
      </c>
      <c r="D123" s="12"/>
    </row>
    <row r="124" spans="1:8">
      <c r="A124" s="5" t="s">
        <v>163</v>
      </c>
      <c r="B124" s="36">
        <f>IFERROR(IF(B121=0,"Saisir D1",B121/((B122/100)-(B123/100))),"")</f>
        <v>0</v>
      </c>
      <c r="C124" s="22" t="s">
        <v>164</v>
      </c>
      <c r="D124" s="12"/>
    </row>
    <row r="125" spans="1:8">
      <c r="A125" s="5" t="s">
        <v>165</v>
      </c>
      <c r="B125" s="32">
        <f>IFERROR(IF(NOT(ISNUMBER(B124)),"Saisir D1",IF(B24&lt;B124*0.95,"Prix SOUS P0 - Opportunite achat",IF(B24&gt;B124*1.05,"Prix SUR P0 - Surevalue","Dans la zone P0"))),"")</f>
        <v>0</v>
      </c>
      <c r="C125" s="22" t="s">
        <v>153</v>
      </c>
      <c r="D125" s="12"/>
    </row>
    <row r="127" spans="1:8" ht="5" customHeight="1"/>
    <row r="128" spans="1:8" ht="20" customHeight="1">
      <c r="A128" s="3" t="s">
        <v>166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79</v>
      </c>
      <c r="B129" s="4" t="s">
        <v>67</v>
      </c>
      <c r="C129" s="4" t="s">
        <v>167</v>
      </c>
      <c r="D129" s="4" t="s">
        <v>26</v>
      </c>
    </row>
    <row r="130" spans="1:8">
      <c r="A130" s="5" t="s">
        <v>168</v>
      </c>
      <c r="B130" s="6"/>
      <c r="C130" s="22" t="s">
        <v>169</v>
      </c>
      <c r="D130" s="12"/>
    </row>
    <row r="131" spans="1:8">
      <c r="A131" s="5" t="s">
        <v>170</v>
      </c>
      <c r="B131" s="24">
        <f>IFERROR(B130*0.90,"")</f>
        <v>0</v>
      </c>
      <c r="C131" s="22" t="s">
        <v>171</v>
      </c>
      <c r="D131" s="12"/>
    </row>
    <row r="132" spans="1:8">
      <c r="A132" s="5" t="s">
        <v>172</v>
      </c>
      <c r="B132" s="6"/>
      <c r="C132" s="22" t="s">
        <v>173</v>
      </c>
      <c r="D132" s="12"/>
    </row>
    <row r="133" spans="1:8">
      <c r="A133" s="5" t="s">
        <v>174</v>
      </c>
      <c r="B133" s="24">
        <f>IFERROR(B130-B131,"")</f>
        <v>0</v>
      </c>
      <c r="C133" s="22" t="s">
        <v>175</v>
      </c>
      <c r="D133" s="12"/>
    </row>
    <row r="134" spans="1:8">
      <c r="A134" s="5" t="s">
        <v>176</v>
      </c>
      <c r="B134" s="24">
        <f>IFERROR(B132-B130,"")</f>
        <v>0</v>
      </c>
      <c r="C134" s="22" t="s">
        <v>177</v>
      </c>
      <c r="D134" s="12"/>
    </row>
    <row r="135" spans="1:8">
      <c r="A135" s="5" t="s">
        <v>178</v>
      </c>
      <c r="B135" s="26">
        <f>IFERROR(B134/B133,"")</f>
        <v>0</v>
      </c>
      <c r="C135" s="22" t="s">
        <v>179</v>
      </c>
      <c r="D135" s="10">
        <f>IFERROR(IF(B135&gt;=2,"Bon (&gt;= 2:1)",IF(B135&gt;=1,"Acceptable (1:1)","Mauvais")),"")</f>
        <v>0</v>
      </c>
    </row>
    <row r="136" spans="1:8" ht="5" customHeight="1"/>
    <row r="137" spans="1:8" ht="20" customHeight="1">
      <c r="A137" s="3" t="s">
        <v>180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8"/>
      <c r="B138" s="28"/>
      <c r="C138" s="28"/>
      <c r="D138" s="28"/>
      <c r="E138" s="28"/>
      <c r="F138" s="28"/>
      <c r="G138" s="28"/>
      <c r="H138" s="28"/>
    </row>
    <row r="139" spans="1:8">
      <c r="A139" s="28"/>
      <c r="B139" s="28"/>
      <c r="C139" s="28"/>
      <c r="D139" s="28"/>
      <c r="E139" s="28"/>
      <c r="F139" s="28"/>
      <c r="G139" s="28"/>
      <c r="H139" s="28"/>
    </row>
    <row r="140" spans="1:8">
      <c r="A140" s="28"/>
      <c r="B140" s="28"/>
      <c r="C140" s="28"/>
      <c r="D140" s="28"/>
      <c r="E140" s="28"/>
      <c r="F140" s="28"/>
      <c r="G140" s="28"/>
      <c r="H140" s="28"/>
    </row>
    <row r="141" spans="1:8" ht="26" customHeight="1">
      <c r="A141" s="1" t="s">
        <v>181</v>
      </c>
      <c r="B141" s="1"/>
      <c r="C141" s="1"/>
      <c r="D141" s="1"/>
      <c r="E141" s="1"/>
      <c r="F141" s="1"/>
      <c r="G141" s="1"/>
      <c r="H141" s="1"/>
    </row>
    <row r="143" spans="1:8" ht="5" customHeight="1"/>
    <row r="144" spans="1:8" ht="20" customHeight="1">
      <c r="A144" s="3" t="s">
        <v>182</v>
      </c>
      <c r="B144" s="3"/>
      <c r="C144" s="3"/>
      <c r="D144" s="3"/>
      <c r="E144" s="3"/>
      <c r="F144" s="3"/>
      <c r="G144" s="3"/>
      <c r="H144" s="3"/>
    </row>
    <row r="145" spans="1:8" ht="30" customHeight="1">
      <c r="A145" s="37" t="s">
        <v>183</v>
      </c>
      <c r="B145" s="37"/>
      <c r="C145" s="37"/>
      <c r="D145" s="37"/>
      <c r="E145" s="37"/>
      <c r="F145" s="37"/>
      <c r="G145" s="37"/>
      <c r="H145" s="37"/>
    </row>
    <row r="146" spans="1:8">
      <c r="A146" s="4" t="s">
        <v>13</v>
      </c>
      <c r="B146" s="4" t="s">
        <v>184</v>
      </c>
      <c r="C146" s="4" t="s">
        <v>185</v>
      </c>
      <c r="D146" s="4" t="s">
        <v>186</v>
      </c>
      <c r="E146" s="4" t="s">
        <v>187</v>
      </c>
    </row>
    <row r="147" spans="1:8">
      <c r="A147" s="5" t="s">
        <v>2</v>
      </c>
      <c r="B147" s="9">
        <f>B12</f>
        <v>0</v>
      </c>
      <c r="C147" s="6"/>
      <c r="D147" s="9">
        <f>IFERROR(B147-C147,"")</f>
        <v>0</v>
      </c>
      <c r="E147" s="7">
        <f>IFERROR(D147/B8*100,"")</f>
        <v>0</v>
      </c>
    </row>
    <row r="148" spans="1:8">
      <c r="A148" s="5" t="s">
        <v>3</v>
      </c>
      <c r="B148" s="9">
        <f>C12</f>
        <v>0</v>
      </c>
      <c r="C148" s="6"/>
      <c r="D148" s="9">
        <f>IFERROR(B148-C148,"")</f>
        <v>0</v>
      </c>
      <c r="E148" s="7">
        <f>IFERROR(D148/C8*100,"")</f>
        <v>0</v>
      </c>
    </row>
    <row r="149" spans="1:8">
      <c r="A149" s="5" t="s">
        <v>4</v>
      </c>
      <c r="B149" s="9">
        <f>D12</f>
        <v>0</v>
      </c>
      <c r="C149" s="6"/>
      <c r="D149" s="9">
        <f>IFERROR(B149-C149,"")</f>
        <v>0</v>
      </c>
      <c r="E149" s="7">
        <f>IFERROR(D149/D8*100,"")</f>
        <v>0</v>
      </c>
    </row>
    <row r="150" spans="1:8">
      <c r="A150" s="5" t="s">
        <v>5</v>
      </c>
      <c r="B150" s="9">
        <f>E12</f>
        <v>0</v>
      </c>
      <c r="C150" s="6"/>
      <c r="D150" s="9">
        <f>IFERROR(B150-C150,"")</f>
        <v>0</v>
      </c>
      <c r="E150" s="7">
        <f>IFERROR(D150/E8*100,"")</f>
        <v>0</v>
      </c>
    </row>
    <row r="151" spans="1:8">
      <c r="A151" s="5" t="s">
        <v>21</v>
      </c>
      <c r="B151" s="9">
        <f>F12</f>
        <v>0</v>
      </c>
      <c r="C151" s="6"/>
      <c r="D151" s="9">
        <f>IFERROR(B151-C151,"")</f>
        <v>0</v>
      </c>
      <c r="E151" s="7">
        <f>IFERROR(D151/F8*100,"")</f>
        <v>0</v>
      </c>
    </row>
    <row r="152" spans="1:8" ht="5" customHeight="1"/>
    <row r="153" spans="1:8">
      <c r="A153" s="5" t="s">
        <v>188</v>
      </c>
      <c r="B153" s="17">
        <f>IFERROR(D151*1000000/B28,"")</f>
        <v>0</v>
      </c>
      <c r="C153" s="5" t="s">
        <v>189</v>
      </c>
      <c r="D153" s="7">
        <f>IFERROR(B24/B153,"")</f>
        <v>0</v>
      </c>
      <c r="E153" s="10">
        <f>IFERROR(IF(D153&gt;15,"PER normalise eleve",IF(D153&lt;9,"Sous-evalue normalise","Normal (9-15)")),"-")</f>
        <v>0</v>
      </c>
    </row>
    <row r="154" spans="1:8">
      <c r="A154" s="5" t="s">
        <v>190</v>
      </c>
      <c r="B154" s="10">
        <f>IFERROR(IF(C151&lt;0,"Mauvais resultat PONCTUEL — RN recurrent &gt; RN publie — opportunite contrarian potentielle",IF(C151&gt;0,"Resultat FLATTE par elements exceptionnels — prudence sur la valorisation","Pas d'element exceptionnel detecte — RN publie = RN recurrent")),"-")</f>
        <v>0</v>
      </c>
    </row>
    <row r="155" spans="1:8" ht="5" customHeight="1"/>
    <row r="156" spans="1:8" ht="20" customHeight="1">
      <c r="A156" s="3" t="s">
        <v>191</v>
      </c>
      <c r="B156" s="3"/>
      <c r="C156" s="3"/>
      <c r="D156" s="3"/>
      <c r="E156" s="3"/>
      <c r="F156" s="3"/>
      <c r="G156" s="3"/>
      <c r="H156" s="3"/>
    </row>
    <row r="157" spans="1:8">
      <c r="A157" s="4" t="s">
        <v>79</v>
      </c>
      <c r="B157" s="4" t="s">
        <v>67</v>
      </c>
      <c r="C157" s="4" t="s">
        <v>192</v>
      </c>
      <c r="D157" s="4" t="s">
        <v>193</v>
      </c>
      <c r="E157" s="4" t="s">
        <v>26</v>
      </c>
    </row>
    <row r="158" spans="1:8">
      <c r="A158" s="5" t="s">
        <v>194</v>
      </c>
      <c r="B158" s="38">
        <f>IFERROR(CHOOSE(MATCH(PROFIL!B5,{"Banque","Assurance","Industrie","Distribution","Telecom","Autre"},0),10,12,13,14,8,12),12)</f>
        <v>0</v>
      </c>
      <c r="C158" s="14" t="s">
        <v>195</v>
      </c>
      <c r="D158" s="14"/>
      <c r="E158" s="14"/>
      <c r="F158" s="14"/>
      <c r="G158" s="14"/>
    </row>
    <row r="159" spans="1:8">
      <c r="A159" s="5" t="s">
        <v>196</v>
      </c>
      <c r="B159" s="39">
        <v>5</v>
      </c>
      <c r="C159" s="14" t="s">
        <v>197</v>
      </c>
      <c r="D159" s="14"/>
      <c r="E159" s="14"/>
      <c r="F159" s="14"/>
      <c r="G159" s="14"/>
    </row>
    <row r="160" spans="1:8" ht="5" customHeight="1"/>
    <row r="161" spans="1:8">
      <c r="A161" s="5" t="s">
        <v>198</v>
      </c>
      <c r="B161" s="38">
        <f>IFERROR(B30,"")</f>
        <v>0</v>
      </c>
      <c r="C161" s="23">
        <f>B158</f>
        <v>0</v>
      </c>
      <c r="D161" s="7">
        <f>IFERROR((B30/B158-1)*100,"")</f>
        <v>0</v>
      </c>
      <c r="E161" s="10">
        <f>IFERROR(IF((B30/B158-1)*100&lt;=-20,"Forte decote sectorielle — opportunite",IF((B30/B158-1)*100&lt;=-5,"Legere decote sectorielle",IF((B30/B158-1)*100&lt;=15,"Dans la norme sectorielle","Prime elevee vs secteur — prudence"))),"-")</f>
        <v>0</v>
      </c>
    </row>
    <row r="162" spans="1:8">
      <c r="A162" s="5" t="s">
        <v>199</v>
      </c>
      <c r="B162" s="38">
        <f>IFERROR(AVERAGE(E39:E43),"")</f>
        <v>0</v>
      </c>
      <c r="C162" s="23">
        <f>B159</f>
        <v>0</v>
      </c>
      <c r="D162" s="7">
        <f>IFERROR((AVERAGE(E39:E43)/B159-1)*100,"")</f>
        <v>0</v>
      </c>
      <c r="E162" s="10">
        <f>IFERROR(IF(AVERAGE(E39:E43)&gt;=B159*1.2,"Rendement superieur au marche — attractif",IF(AVERAGE(E39:E43)&gt;=B159,"Dans la moyenne du marche","Rendement inferieur au marche")),"-")</f>
        <v>0</v>
      </c>
    </row>
    <row r="163" spans="1:8" ht="5" customHeight="1"/>
    <row r="164" spans="1:8" ht="20" customHeight="1">
      <c r="A164" s="3" t="s">
        <v>200</v>
      </c>
      <c r="B164" s="3"/>
      <c r="C164" s="3"/>
      <c r="D164" s="3"/>
      <c r="E164" s="3"/>
      <c r="F164" s="3"/>
      <c r="G164" s="3"/>
      <c r="H164" s="3"/>
    </row>
    <row r="165" spans="1:8">
      <c r="A165" s="4" t="s">
        <v>66</v>
      </c>
      <c r="B165" s="4" t="s">
        <v>67</v>
      </c>
      <c r="C165" s="4" t="s">
        <v>17</v>
      </c>
      <c r="D165" s="4" t="s">
        <v>201</v>
      </c>
    </row>
    <row r="166" spans="1:8">
      <c r="A166" s="5" t="s">
        <v>202</v>
      </c>
      <c r="B166" s="40">
        <f>COUNTIF(B39:B43,"&gt;0")</f>
        <v>0</v>
      </c>
      <c r="C166" s="10">
        <f>IFERROR(IF(B166=5,"Regulier 5/5 — fiable",IF(B166&gt;=4,"Quasi-regulier 4/5",IF(B166&gt;=3,"Irregulier 3/5","Tres irregulier — risque dividende"))),"-")</f>
        <v>0</v>
      </c>
      <c r="D166" s="40">
        <f>IF(B166=5,2,IF(B166&gt;=4,1,0))</f>
        <v>0</v>
      </c>
    </row>
    <row r="167" spans="1:8">
      <c r="A167" s="5" t="s">
        <v>203</v>
      </c>
      <c r="B167" s="8">
        <f>IFERROR(IF(OR(B39&lt;=0,B43&lt;=0),"N/A",(B43/B39)^(1/4)-1),"N/A")</f>
        <v>0</v>
      </c>
      <c r="C167" s="10">
        <f>IFERROR(IF(NOT(ISNUMBER(B167)),"Dividende absent",IF(B167&gt;0.05,"Forte croissance dividende",IF(B167&gt;0,"Croissance modeste","Dividende en baisse"))),"-")</f>
        <v>0</v>
      </c>
      <c r="D167" s="40">
        <f>IFERROR(IF(ISNUMBER(B167),IF(B167&gt;0,1,0),0),0)</f>
        <v>0</v>
      </c>
    </row>
    <row r="168" spans="1:8">
      <c r="A168" s="20" t="s">
        <v>204</v>
      </c>
      <c r="B168" s="41">
        <f>IFERROR(D166+D167,0)</f>
        <v>0</v>
      </c>
      <c r="C168" s="10">
        <f>IFERROR(IF(D166+D167&gt;=3,"Dividende tres fiable",IF(D166+D167&gt;=2,"Dividende assez fiable","Dividende peu fiable — risque")),"-")</f>
        <v>0</v>
      </c>
      <c r="D168" s="22" t="s">
        <v>205</v>
      </c>
    </row>
    <row r="169" spans="1:8" ht="5" customHeight="1"/>
    <row r="170" spans="1:8" ht="20" customHeight="1">
      <c r="A170" s="3" t="s">
        <v>206</v>
      </c>
      <c r="B170" s="3"/>
      <c r="C170" s="3"/>
      <c r="D170" s="3"/>
      <c r="E170" s="3"/>
      <c r="F170" s="3"/>
      <c r="G170" s="3"/>
      <c r="H170" s="3"/>
    </row>
    <row r="171" spans="1:8">
      <c r="A171" s="4" t="s">
        <v>207</v>
      </c>
      <c r="B171" s="4" t="s">
        <v>26</v>
      </c>
      <c r="C171" s="4" t="s">
        <v>208</v>
      </c>
      <c r="D171" s="4" t="s">
        <v>209</v>
      </c>
    </row>
    <row r="172" spans="1:8">
      <c r="A172" s="5" t="s">
        <v>210</v>
      </c>
      <c r="B172" s="10">
        <f>IFERROR(IF(B30&lt;B158,"OUI","NON"),"-")</f>
        <v>0</v>
      </c>
      <c r="C172" s="10">
        <f>IFERROR("PER="&amp;ROUND(B30,1)&amp;" vs sectoriel="&amp;B158,"-")</f>
        <v>0</v>
      </c>
      <c r="D172" s="40">
        <f>IFERROR(IF(B30&lt;B158*0.85,2,IF(B30&lt;B158,1,0)),0)</f>
        <v>0</v>
      </c>
    </row>
    <row r="173" spans="1:8">
      <c r="A173" s="5" t="s">
        <v>211</v>
      </c>
      <c r="B173" s="10">
        <f>IFERROR(IF(B24&lt;B31,"OUI — decote comptable","NON"),"-")</f>
        <v>0</v>
      </c>
      <c r="C173" s="10">
        <f>IFERROR("Prix="&amp;B24&amp;" FCFA  vs VMC="&amp;ROUND(B31,0)&amp;" FCFA","-")</f>
        <v>0</v>
      </c>
      <c r="D173" s="40">
        <f>IFERROR(IF(B24&lt;B31*0.85,2,IF(B24&lt;B31,1,0)),0)</f>
        <v>0</v>
      </c>
    </row>
    <row r="174" spans="1:8">
      <c r="A174" s="5" t="s">
        <v>212</v>
      </c>
      <c r="B174" s="10">
        <f>IFERROR(IF(B33&gt;=10,"OUI","NON"),"-")</f>
        <v>0</v>
      </c>
      <c r="C174" s="10">
        <f>IFERROR("ROE="&amp;ROUND(B33,1)&amp;"%","-")</f>
        <v>0</v>
      </c>
      <c r="D174" s="40">
        <f>IFERROR(IF(B33&gt;=15,2,IF(B33&gt;=10,1,0)),0)</f>
        <v>0</v>
      </c>
    </row>
    <row r="175" spans="1:8">
      <c r="A175" s="5" t="s">
        <v>213</v>
      </c>
      <c r="B175" s="10">
        <f>IFERROR(IF(B168&gt;=2,"OUI","NON"),"-")</f>
        <v>0</v>
      </c>
      <c r="C175" s="10">
        <f>IFERROR(C168,"-")</f>
        <v>0</v>
      </c>
      <c r="D175" s="40">
        <f>IFERROR(MIN(B168,2),0)</f>
        <v>0</v>
      </c>
    </row>
    <row r="176" spans="1:8">
      <c r="A176" s="5" t="s">
        <v>214</v>
      </c>
      <c r="B176" s="10">
        <f>IFERROR(IF(B24&lt;D95,"OUI — survente","NON"),"-")</f>
        <v>0</v>
      </c>
      <c r="C176" s="10">
        <f>IFERROR("Prix="&amp;B24&amp;" FCFA  vs PM1an="&amp;ROUND(D95,0)&amp;" FCFA","-")</f>
        <v>0</v>
      </c>
      <c r="D176" s="40">
        <f>IFERROR(IF(B24&lt;D95,1,0),0)</f>
        <v>0</v>
      </c>
    </row>
    <row r="177" spans="1:8">
      <c r="A177" s="5" t="s">
        <v>215</v>
      </c>
      <c r="B177" s="10">
        <f>IFERROR(IF(G16&gt;=5,"OUI","NON"),"-")</f>
        <v>0</v>
      </c>
      <c r="C177" s="10">
        <f>IFERROR("Marge moy="&amp;ROUND(G16,1)&amp;"%","-")</f>
        <v>0</v>
      </c>
      <c r="D177" s="40">
        <f>IFERROR(IF(G16&gt;=10,2,IF(G16&gt;=5,1,0)),0)</f>
        <v>0</v>
      </c>
    </row>
    <row r="178" spans="1:8">
      <c r="A178" s="20" t="s">
        <v>216</v>
      </c>
      <c r="B178" s="12"/>
      <c r="C178" s="22" t="s">
        <v>217</v>
      </c>
      <c r="D178" s="42">
        <f>IFERROR(SUM(D172:D177),0)</f>
        <v>0</v>
      </c>
    </row>
    <row r="179" spans="1:8" ht="30" customHeight="1">
      <c r="A179" s="43" t="s">
        <v>218</v>
      </c>
      <c r="B179" s="43"/>
      <c r="C179" s="43"/>
      <c r="D179" s="43"/>
      <c r="E179" s="44">
        <f>IFERROR(IF(D178&gt;=7,"FORTE OPPORTUNITE CONTRARIAN — fondamentaux sains, titre boude",IF(D178&gt;=5,"A SURVEILLER — signaux contrarians partiels","PAS DE SIGNAL CONTRARIAN — attendre")),"-")</f>
        <v>0</v>
      </c>
      <c r="F179" s="44"/>
      <c r="G179" s="44"/>
      <c r="H179" s="44"/>
    </row>
    <row r="180" spans="1:8" ht="5" customHeight="1"/>
    <row r="181" spans="1:8" ht="5" customHeight="1"/>
    <row r="182" spans="1:8" ht="22" customHeight="1">
      <c r="A182" s="1" t="s">
        <v>219</v>
      </c>
      <c r="B182" s="1"/>
      <c r="C182" s="1"/>
      <c r="D182" s="1"/>
      <c r="E182" s="1"/>
      <c r="F182" s="1"/>
      <c r="G182" s="1"/>
      <c r="H182" s="1"/>
    </row>
    <row r="183" spans="1:8" ht="5" customHeight="1"/>
    <row r="184" spans="1:8" ht="20" customHeight="1">
      <c r="A184" s="3" t="s">
        <v>220</v>
      </c>
      <c r="B184" s="3"/>
      <c r="C184" s="3"/>
      <c r="D184" s="3"/>
      <c r="E184" s="3"/>
      <c r="F184" s="3"/>
      <c r="G184" s="3"/>
      <c r="H184" s="3"/>
    </row>
    <row r="185" spans="1:8">
      <c r="A185" s="4" t="s">
        <v>221</v>
      </c>
      <c r="B185" s="4" t="s">
        <v>222</v>
      </c>
      <c r="C185" s="4"/>
      <c r="D185" s="4"/>
      <c r="E185" s="4"/>
      <c r="F185" s="4"/>
      <c r="G185" s="4"/>
      <c r="H185" s="4"/>
    </row>
    <row r="186" spans="1:8">
      <c r="A186" s="5" t="s">
        <v>223</v>
      </c>
      <c r="B186" s="16">
        <f>IFERROR(PROFIL!B16,"")</f>
        <v>0</v>
      </c>
      <c r="C186" s="12"/>
      <c r="D186" s="12"/>
      <c r="E186" s="12"/>
      <c r="F186" s="12"/>
      <c r="G186" s="12"/>
      <c r="H186" s="12"/>
    </row>
    <row r="187" spans="1:8">
      <c r="A187" s="5" t="s">
        <v>35</v>
      </c>
      <c r="B187" s="16">
        <f>IFERROR(PROFIL!B17,"")</f>
        <v>0</v>
      </c>
      <c r="C187" s="12"/>
      <c r="D187" s="12"/>
      <c r="E187" s="12"/>
      <c r="F187" s="12"/>
      <c r="G187" s="12"/>
      <c r="H187" s="12"/>
    </row>
    <row r="188" spans="1:8">
      <c r="A188" s="5" t="s">
        <v>224</v>
      </c>
      <c r="B188" s="45">
        <f>IFERROR(PROFIL!B18,"")</f>
        <v>0</v>
      </c>
      <c r="C188" s="12"/>
      <c r="D188" s="12"/>
      <c r="E188" s="12"/>
      <c r="F188" s="12"/>
      <c r="G188" s="12"/>
      <c r="H188" s="12"/>
    </row>
    <row r="189" spans="1:8">
      <c r="A189" s="5" t="s">
        <v>225</v>
      </c>
      <c r="B189" s="45">
        <f>IFERROR(PROFIL!B19,"")</f>
        <v>0</v>
      </c>
      <c r="C189" s="12"/>
      <c r="D189" s="12"/>
      <c r="E189" s="12"/>
      <c r="F189" s="12"/>
      <c r="G189" s="12"/>
      <c r="H189" s="12"/>
    </row>
    <row r="190" spans="1:8" ht="5" customHeight="1"/>
    <row r="191" spans="1:8" ht="20" customHeight="1">
      <c r="A191" s="3" t="s">
        <v>226</v>
      </c>
      <c r="B191" s="3"/>
      <c r="C191" s="3"/>
      <c r="D191" s="3"/>
      <c r="E191" s="3"/>
      <c r="F191" s="3"/>
      <c r="G191" s="3"/>
      <c r="H191" s="3"/>
    </row>
    <row r="192" spans="1:8">
      <c r="A192" s="4" t="s">
        <v>221</v>
      </c>
      <c r="B192" s="4" t="s">
        <v>222</v>
      </c>
      <c r="C192" s="4"/>
      <c r="D192" s="4"/>
      <c r="E192" s="4"/>
      <c r="F192" s="4"/>
      <c r="G192" s="4"/>
      <c r="H192" s="4"/>
    </row>
    <row r="193" spans="1:8">
      <c r="A193" s="5" t="s">
        <v>227</v>
      </c>
      <c r="B193" s="16">
        <f>IFERROR(PROFIL!B22,"")</f>
        <v>0</v>
      </c>
      <c r="C193" s="12"/>
      <c r="D193" s="12"/>
      <c r="E193" s="12"/>
      <c r="F193" s="12"/>
      <c r="G193" s="12"/>
      <c r="H193" s="12"/>
    </row>
    <row r="194" spans="1:8">
      <c r="A194" s="5" t="s">
        <v>228</v>
      </c>
      <c r="B194" s="16">
        <f>IFERROR(PROFIL!B23,"")</f>
        <v>0</v>
      </c>
      <c r="C194" s="12"/>
      <c r="D194" s="12"/>
      <c r="E194" s="12"/>
      <c r="F194" s="12"/>
      <c r="G194" s="12"/>
      <c r="H194" s="12"/>
    </row>
    <row r="195" spans="1:8">
      <c r="A195" s="5" t="s">
        <v>229</v>
      </c>
      <c r="B195" s="45">
        <f>IFERROR(PROFIL!B24,"")</f>
        <v>0</v>
      </c>
      <c r="C195" s="12"/>
      <c r="D195" s="12"/>
      <c r="E195" s="12"/>
      <c r="F195" s="12"/>
      <c r="G195" s="12"/>
      <c r="H195" s="12"/>
    </row>
    <row r="196" spans="1:8">
      <c r="A196" s="5" t="s">
        <v>230</v>
      </c>
      <c r="B196" s="45">
        <f>IFERROR(PROFIL!B25,"")</f>
        <v>0</v>
      </c>
      <c r="C196" s="12"/>
      <c r="D196" s="12"/>
      <c r="E196" s="12"/>
      <c r="F196" s="12"/>
      <c r="G196" s="12"/>
      <c r="H196" s="12"/>
    </row>
    <row r="197" spans="1:8" ht="5" customHeight="1"/>
    <row r="198" spans="1:8" ht="20" customHeight="1">
      <c r="A198" s="3" t="s">
        <v>231</v>
      </c>
      <c r="B198" s="3"/>
      <c r="C198" s="3"/>
      <c r="D198" s="3"/>
      <c r="E198" s="3"/>
      <c r="F198" s="3"/>
      <c r="G198" s="3"/>
      <c r="H198" s="3"/>
    </row>
    <row r="199" spans="1:8">
      <c r="A199" s="4" t="s">
        <v>221</v>
      </c>
      <c r="B199" s="4" t="s">
        <v>222</v>
      </c>
      <c r="C199" s="4"/>
      <c r="D199" s="4"/>
      <c r="E199" s="4"/>
      <c r="F199" s="4"/>
      <c r="G199" s="4"/>
      <c r="H199" s="4"/>
    </row>
    <row r="200" spans="1:8">
      <c r="A200" s="5" t="s">
        <v>72</v>
      </c>
      <c r="B200" s="45">
        <f>IFERROR(PROFIL!B28,"")</f>
        <v>0</v>
      </c>
      <c r="C200" s="12"/>
      <c r="D200" s="12"/>
      <c r="E200" s="12"/>
      <c r="F200" s="12"/>
      <c r="G200" s="12"/>
      <c r="H200" s="12"/>
    </row>
    <row r="201" spans="1:8">
      <c r="A201" s="5" t="s">
        <v>232</v>
      </c>
      <c r="B201" s="45">
        <f>IFERROR(PROFIL!B29,"")</f>
        <v>0</v>
      </c>
      <c r="C201" s="12"/>
      <c r="D201" s="12"/>
      <c r="E201" s="12"/>
      <c r="F201" s="12"/>
      <c r="G201" s="12"/>
      <c r="H201" s="12"/>
    </row>
    <row r="202" spans="1:8">
      <c r="A202" s="5" t="s">
        <v>233</v>
      </c>
      <c r="B202" s="45">
        <f>IFERROR(PROFIL!B30,"")</f>
        <v>0</v>
      </c>
      <c r="C202" s="12"/>
      <c r="D202" s="12"/>
      <c r="E202" s="12"/>
      <c r="F202" s="12"/>
      <c r="G202" s="12"/>
      <c r="H202" s="12"/>
    </row>
    <row r="203" spans="1:8">
      <c r="A203" s="5" t="s">
        <v>234</v>
      </c>
      <c r="B203" s="45">
        <f>IFERROR(PROFIL!B31,"")</f>
        <v>0</v>
      </c>
      <c r="C203" s="12"/>
      <c r="D203" s="12"/>
      <c r="E203" s="12"/>
      <c r="F203" s="12"/>
      <c r="G203" s="12"/>
      <c r="H203" s="12"/>
    </row>
    <row r="204" spans="1:8" ht="5" customHeight="1"/>
    <row r="205" spans="1:8" ht="5" customHeight="1"/>
    <row r="206" spans="1:8" ht="22" customHeight="1">
      <c r="A206" s="1" t="s">
        <v>235</v>
      </c>
      <c r="B206" s="1"/>
      <c r="C206" s="1"/>
      <c r="D206" s="1"/>
      <c r="E206" s="1"/>
      <c r="F206" s="1"/>
      <c r="G206" s="1"/>
      <c r="H206" s="1"/>
    </row>
    <row r="207" spans="1:8" ht="5" customHeight="1"/>
    <row r="208" spans="1:8" ht="20" customHeight="1">
      <c r="A208" s="3" t="s">
        <v>236</v>
      </c>
      <c r="B208" s="3"/>
      <c r="C208" s="3"/>
      <c r="D208" s="3"/>
      <c r="E208" s="3"/>
      <c r="F208" s="3"/>
      <c r="G208" s="3"/>
      <c r="H208" s="3"/>
    </row>
    <row r="209" spans="1:8">
      <c r="A209" s="4" t="s">
        <v>66</v>
      </c>
      <c r="B209" s="4" t="s">
        <v>67</v>
      </c>
      <c r="C209" s="4"/>
      <c r="D209" s="4" t="s">
        <v>237</v>
      </c>
      <c r="E209" s="4"/>
      <c r="F209" s="4"/>
      <c r="G209" s="4"/>
      <c r="H209" s="4"/>
    </row>
    <row r="210" spans="1:8">
      <c r="A210" s="5" t="s">
        <v>238</v>
      </c>
      <c r="B210" s="9">
        <f>IFERROR(PROFIL!B40,"")</f>
        <v>0</v>
      </c>
      <c r="C210" s="12"/>
      <c r="D210" s="30" t="s">
        <v>239</v>
      </c>
      <c r="E210" s="12"/>
      <c r="F210" s="12"/>
      <c r="G210" s="12"/>
      <c r="H210" s="12"/>
    </row>
    <row r="211" spans="1:8">
      <c r="A211" s="5" t="s">
        <v>240</v>
      </c>
      <c r="B211" s="9">
        <f>IFERROR(PROFIL!B41,"")</f>
        <v>0</v>
      </c>
      <c r="C211" s="12"/>
      <c r="D211" s="30" t="s">
        <v>241</v>
      </c>
      <c r="E211" s="12"/>
      <c r="F211" s="12"/>
      <c r="G211" s="12"/>
      <c r="H211" s="12"/>
    </row>
    <row r="212" spans="1:8">
      <c r="A212" s="5" t="s">
        <v>242</v>
      </c>
      <c r="B212" s="9">
        <f>IFERROR(IFERROR(PROFIL!B40,0)+IFERROR(PROFIL!B41,0),"")</f>
        <v>0</v>
      </c>
      <c r="C212" s="12"/>
      <c r="D212" s="30" t="s">
        <v>243</v>
      </c>
      <c r="E212" s="12"/>
      <c r="F212" s="12"/>
      <c r="G212" s="12"/>
      <c r="H212" s="12"/>
    </row>
    <row r="213" spans="1:8">
      <c r="A213" s="5" t="s">
        <v>244</v>
      </c>
      <c r="B213" s="7">
        <f>IFERROR((IFERROR(PROFIL!B40,0)+IFERROR(PROFIL!B41,0))/B26*100,"")</f>
        <v>0</v>
      </c>
      <c r="C213" s="12"/>
      <c r="D213" s="30" t="s">
        <v>245</v>
      </c>
      <c r="E213" s="12"/>
      <c r="F213" s="12"/>
      <c r="G213" s="12"/>
      <c r="H213" s="12"/>
    </row>
    <row r="214" spans="1:8">
      <c r="A214" s="5" t="s">
        <v>246</v>
      </c>
      <c r="B214" s="7">
        <f>IFERROR((IFERROR(PROFIL!B40,0)+IFERROR(PROFIL!B41,0))/(F12*1000000),"")</f>
        <v>0</v>
      </c>
      <c r="C214" s="12"/>
      <c r="D214" s="30" t="s">
        <v>247</v>
      </c>
      <c r="E214" s="12"/>
      <c r="F214" s="12"/>
      <c r="G214" s="12"/>
      <c r="H214" s="12"/>
    </row>
    <row r="215" spans="1:8" ht="5" customHeight="1"/>
    <row r="216" spans="1:8" ht="20" customHeight="1">
      <c r="A216" s="3" t="s">
        <v>248</v>
      </c>
      <c r="B216" s="3"/>
      <c r="C216" s="3"/>
      <c r="D216" s="3"/>
      <c r="E216" s="3"/>
      <c r="F216" s="3"/>
      <c r="G216" s="3"/>
      <c r="H216" s="3"/>
    </row>
    <row r="217" spans="1:8">
      <c r="A217" s="4" t="s">
        <v>66</v>
      </c>
      <c r="B217" s="4" t="s">
        <v>67</v>
      </c>
      <c r="C217" s="4"/>
      <c r="D217" s="4" t="s">
        <v>237</v>
      </c>
      <c r="E217" s="4"/>
      <c r="F217" s="4"/>
      <c r="G217" s="4"/>
      <c r="H217" s="4"/>
    </row>
    <row r="218" spans="1:8">
      <c r="A218" s="5" t="s">
        <v>249</v>
      </c>
      <c r="B218" s="9">
        <f>IFERROR(PROFIL!B42,"")</f>
        <v>0</v>
      </c>
      <c r="C218" s="12"/>
      <c r="D218" s="30" t="s">
        <v>250</v>
      </c>
      <c r="E218" s="12"/>
      <c r="F218" s="12"/>
      <c r="G218" s="12"/>
      <c r="H218" s="12"/>
    </row>
    <row r="219" spans="1:8">
      <c r="A219" s="5" t="s">
        <v>251</v>
      </c>
      <c r="B219" s="9">
        <f>IFERROR(PROFIL!B43,"")</f>
        <v>0</v>
      </c>
      <c r="C219" s="12"/>
      <c r="D219" s="30" t="s">
        <v>252</v>
      </c>
      <c r="E219" s="12"/>
      <c r="F219" s="12"/>
      <c r="G219" s="12"/>
      <c r="H219" s="12"/>
    </row>
    <row r="220" spans="1:8">
      <c r="A220" s="5" t="s">
        <v>253</v>
      </c>
      <c r="B220" s="7">
        <f>IFERROR(PROFIL!B42*1000000/PROFIL!B43,"")</f>
        <v>0</v>
      </c>
      <c r="C220" s="12"/>
      <c r="D220" s="30" t="s">
        <v>254</v>
      </c>
      <c r="E220" s="12"/>
      <c r="F220" s="12"/>
      <c r="G220" s="12"/>
      <c r="H220" s="12"/>
    </row>
    <row r="221" spans="1:8">
      <c r="A221" s="5" t="s">
        <v>255</v>
      </c>
      <c r="B221" s="7">
        <f>IFERROR(B26/(IFERROR(PROFIL!B40,0)+IFERROR(PROFIL!B41,0))*100,"")</f>
        <v>0</v>
      </c>
      <c r="C221" s="12"/>
      <c r="D221" s="30" t="s">
        <v>256</v>
      </c>
      <c r="E221" s="12"/>
      <c r="F221" s="12"/>
      <c r="G221" s="12"/>
      <c r="H221" s="12"/>
    </row>
    <row r="222" spans="1:8" ht="5" customHeight="1"/>
    <row r="223" spans="1:8" ht="20" customHeight="1">
      <c r="A223" s="3" t="s">
        <v>257</v>
      </c>
      <c r="B223" s="3"/>
      <c r="C223" s="3"/>
      <c r="D223" s="3"/>
      <c r="E223" s="3"/>
      <c r="F223" s="3"/>
      <c r="G223" s="3"/>
      <c r="H223" s="3"/>
    </row>
    <row r="224" spans="1:8">
      <c r="A224" s="4" t="s">
        <v>66</v>
      </c>
      <c r="B224" s="4" t="s">
        <v>67</v>
      </c>
      <c r="C224" s="4"/>
      <c r="D224" s="4" t="s">
        <v>237</v>
      </c>
      <c r="E224" s="4"/>
      <c r="F224" s="4"/>
      <c r="G224" s="4"/>
      <c r="H224" s="4"/>
    </row>
    <row r="225" spans="1:8">
      <c r="A225" s="5" t="s">
        <v>258</v>
      </c>
      <c r="B225" s="9">
        <f>IFERROR(PROFIL!B44,"")</f>
        <v>0</v>
      </c>
      <c r="C225" s="12"/>
      <c r="D225" s="30" t="s">
        <v>259</v>
      </c>
      <c r="E225" s="12"/>
      <c r="F225" s="12"/>
      <c r="G225" s="12"/>
      <c r="H225" s="12"/>
    </row>
    <row r="226" spans="1:8">
      <c r="A226" s="5" t="s">
        <v>260</v>
      </c>
      <c r="B226" s="9">
        <f>IFERROR(PROFIL!B45,"")</f>
        <v>0</v>
      </c>
      <c r="C226" s="12"/>
      <c r="D226" s="30" t="s">
        <v>261</v>
      </c>
      <c r="E226" s="12"/>
      <c r="F226" s="12"/>
      <c r="G226" s="12"/>
      <c r="H226" s="12"/>
    </row>
    <row r="227" spans="1:8">
      <c r="A227" s="5" t="s">
        <v>262</v>
      </c>
      <c r="B227" s="7">
        <f>IFERROR(PROFIL!B44/PROFIL!B45,"")</f>
        <v>0</v>
      </c>
      <c r="C227" s="12"/>
      <c r="D227" s="30" t="s">
        <v>263</v>
      </c>
      <c r="E227" s="12"/>
      <c r="F227" s="12"/>
      <c r="G227" s="12"/>
      <c r="H227" s="12"/>
    </row>
    <row r="228" spans="1:8">
      <c r="A228" s="5" t="s">
        <v>264</v>
      </c>
      <c r="B228" s="9">
        <f>IFERROR(PROFIL!B44-PROFIL!B45,"")</f>
        <v>0</v>
      </c>
      <c r="C228" s="12"/>
      <c r="D228" s="30" t="s">
        <v>265</v>
      </c>
      <c r="E228" s="12"/>
      <c r="F228" s="12"/>
      <c r="G228" s="12"/>
      <c r="H228" s="12"/>
    </row>
    <row r="229" spans="1:8" ht="5" customHeight="1"/>
    <row r="230" spans="1:8" ht="5" customHeight="1"/>
    <row r="231" spans="1:8" ht="22" customHeight="1">
      <c r="A231" s="1" t="s">
        <v>266</v>
      </c>
      <c r="B231" s="1"/>
      <c r="C231" s="1"/>
      <c r="D231" s="1"/>
      <c r="E231" s="1"/>
      <c r="F231" s="1"/>
      <c r="G231" s="1"/>
      <c r="H231" s="1"/>
    </row>
    <row r="232" spans="1:8" ht="5" customHeight="1"/>
    <row r="233" spans="1:8" ht="20" customHeight="1">
      <c r="A233" s="3" t="s">
        <v>267</v>
      </c>
      <c r="B233" s="3"/>
      <c r="C233" s="3"/>
      <c r="D233" s="3"/>
      <c r="E233" s="3"/>
      <c r="F233" s="3"/>
      <c r="G233" s="3"/>
      <c r="H233" s="3"/>
    </row>
    <row r="234" spans="1:8">
      <c r="A234" s="4" t="s">
        <v>268</v>
      </c>
      <c r="B234" s="4" t="s">
        <v>269</v>
      </c>
      <c r="C234" s="4" t="s">
        <v>270</v>
      </c>
      <c r="D234" s="4" t="s">
        <v>271</v>
      </c>
      <c r="E234" s="4"/>
      <c r="F234" s="4"/>
      <c r="G234" s="4"/>
      <c r="H234" s="4"/>
    </row>
    <row r="235" spans="1:8">
      <c r="A235" s="5">
        <f>IF(ISNUMBER(B31),"VMC  =  "&amp;TEXT(ROUND(B31,0),"#,##0")&amp;" FCFA","VMC — N/A")</f>
        <v>0</v>
      </c>
      <c r="B235" s="9">
        <f>IFERROR(B31,"")</f>
        <v>0</v>
      </c>
      <c r="C235" s="46" t="s">
        <v>272</v>
      </c>
      <c r="D235" s="47">
        <f>IFERROR(IF(B24&lt;B31,"Prix SOUS VMC — decote comptable","Prix AU-DESSUS VMC"),"")</f>
        <v>0</v>
      </c>
      <c r="E235" s="12"/>
      <c r="F235" s="12"/>
      <c r="G235" s="12"/>
      <c r="H235" s="12"/>
    </row>
    <row r="236" spans="1:8">
      <c r="A236" s="5">
        <f>IF(ISNUMBER(B113),"PCD  =  "&amp;TEXT(ROUND(B113,0),"#,##0")&amp;" FCFA","PCD — N/A (pas de dividende)")</f>
        <v>0</v>
      </c>
      <c r="B236" s="9">
        <f>IFERROR(IF(ISNUMBER(B113),B113,""),"")</f>
        <v>0</v>
      </c>
      <c r="C236" s="46" t="s">
        <v>273</v>
      </c>
      <c r="D236" s="47">
        <f>IFERROR(IF(NOT(ISNUMBER(B113)),"Non disponible — dividend = 0",IF(B24&lt;B113,"Prix SOUS PCD — survente","Prix AU-DESSUS PCD — surachat")),"N/A")</f>
        <v>0</v>
      </c>
      <c r="E236" s="12"/>
      <c r="F236" s="12"/>
      <c r="G236" s="12"/>
      <c r="H236" s="12"/>
    </row>
    <row r="237" spans="1:8">
      <c r="A237" s="5">
        <f>IF(ISNUMBER(B124),"Gordon P0  =  "&amp;TEXT(ROUND(B124,0),"#,##0")&amp;" FCFA","Gordon P0 — N/A (saisir D1)")</f>
        <v>0</v>
      </c>
      <c r="B237" s="9">
        <f>IFERROR(IF(ISNUMBER(B124),B124,""),"")</f>
        <v>0</v>
      </c>
      <c r="C237" s="46" t="s">
        <v>273</v>
      </c>
      <c r="D237" s="47">
        <f>IFERROR(IF(NOT(ISNUMBER(B124)),"Non disponible — saisir D1",IF(B24&lt;B124,"Prix SOUS P0 — opportunite","Prix AU-DESSUS P0 — surevalue")),"N/A")</f>
        <v>0</v>
      </c>
      <c r="E237" s="12"/>
      <c r="F237" s="12"/>
      <c r="G237" s="12"/>
      <c r="H237" s="12"/>
    </row>
    <row r="238" spans="1:8" ht="30" customHeight="1">
      <c r="A238" s="20" t="s">
        <v>274</v>
      </c>
      <c r="B238" s="48">
        <f>IFERROR((B31*2+IF(ISNUMBER(B113),B113,0)+IF(ISNUMBER(B124),B124,0))/(2+IF(ISNUMBER(B113),1,0)+IF(ISNUMBER(B124),1,0)),"")</f>
        <v>0</v>
      </c>
      <c r="C238" s="46" t="s">
        <v>275</v>
      </c>
      <c r="D238" s="49">
        <f>IFERROR(IF(B24&lt;B238*0.75,"FORTE OPPORTUNITE — decote &gt; 25%",IF(B24&lt;B238*0.85,"Achat ideal — decote 15-25%",IF(B24&lt;B238,"Legerement sous-evalue",IF(B24&lt;B238*1.20,"Zone normale / prime moderee","ATTENTION — surevaluation &gt; 20%")))),"Saisir prix actuel (B24)")</f>
        <v>0</v>
      </c>
      <c r="E238" s="12"/>
      <c r="F238" s="12"/>
      <c r="G238" s="12"/>
      <c r="H238" s="12"/>
    </row>
    <row r="239" spans="1:8" ht="5" customHeight="1"/>
    <row r="240" spans="1:8" ht="20" customHeight="1">
      <c r="A240" s="3" t="s">
        <v>276</v>
      </c>
      <c r="B240" s="3"/>
      <c r="C240" s="3"/>
      <c r="D240" s="3"/>
      <c r="E240" s="3"/>
      <c r="F240" s="3"/>
      <c r="G240" s="3"/>
      <c r="H240" s="3"/>
    </row>
    <row r="241" spans="1:8">
      <c r="A241" s="4" t="s">
        <v>277</v>
      </c>
      <c r="B241" s="4" t="s">
        <v>278</v>
      </c>
      <c r="C241" s="4" t="s">
        <v>279</v>
      </c>
      <c r="D241" s="4" t="s">
        <v>280</v>
      </c>
      <c r="E241" s="4"/>
      <c r="F241" s="4"/>
      <c r="G241" s="4"/>
      <c r="H241" s="4"/>
    </row>
    <row r="242" spans="1:8">
      <c r="A242" s="5" t="s">
        <v>281</v>
      </c>
      <c r="B242" s="9">
        <f>IFERROR(B238*0.75,"")</f>
        <v>0</v>
      </c>
      <c r="C242" s="50">
        <f>IFERROR((B24/(B238*0.75)-1)*100,"")</f>
        <v>0</v>
      </c>
      <c r="D242" s="51" t="s">
        <v>282</v>
      </c>
      <c r="E242" s="12"/>
      <c r="F242" s="12"/>
      <c r="G242" s="12"/>
      <c r="H242" s="12"/>
    </row>
    <row r="243" spans="1:8">
      <c r="A243" s="5" t="s">
        <v>283</v>
      </c>
      <c r="B243" s="9">
        <f>IFERROR(B238*0.85,"")</f>
        <v>0</v>
      </c>
      <c r="C243" s="50">
        <f>IFERROR((B24/(B238*0.85)-1)*100,"")</f>
        <v>0</v>
      </c>
      <c r="D243" s="51" t="s">
        <v>284</v>
      </c>
      <c r="E243" s="12"/>
      <c r="F243" s="12"/>
      <c r="G243" s="12"/>
      <c r="H243" s="12"/>
    </row>
    <row r="244" spans="1:8">
      <c r="A244" s="5" t="s">
        <v>285</v>
      </c>
      <c r="B244" s="9">
        <f>IFERROR(B238,"")</f>
        <v>0</v>
      </c>
      <c r="C244" s="50">
        <f>IFERROR((B24/B238-1)*100,"")</f>
        <v>0</v>
      </c>
      <c r="D244" s="51" t="s">
        <v>286</v>
      </c>
      <c r="E244" s="12"/>
      <c r="F244" s="12"/>
      <c r="G244" s="12"/>
      <c r="H244" s="12"/>
    </row>
    <row r="245" spans="1:8">
      <c r="A245" s="5" t="s">
        <v>287</v>
      </c>
      <c r="B245" s="9">
        <f>IFERROR(B238*1.10,"")</f>
        <v>0</v>
      </c>
      <c r="C245" s="50">
        <f>IFERROR((B24/(B238*1.10)-1)*100,"")</f>
        <v>0</v>
      </c>
      <c r="D245" s="51" t="s">
        <v>288</v>
      </c>
      <c r="E245" s="12"/>
      <c r="F245" s="12"/>
      <c r="G245" s="12"/>
      <c r="H245" s="12"/>
    </row>
    <row r="246" spans="1:8">
      <c r="A246" s="5" t="s">
        <v>289</v>
      </c>
      <c r="B246" s="9">
        <f>IFERROR(B238*1.20,"")</f>
        <v>0</v>
      </c>
      <c r="C246" s="50">
        <f>IFERROR((B24/(B238*1.20)-1)*100,"")</f>
        <v>0</v>
      </c>
      <c r="D246" s="51" t="s">
        <v>290</v>
      </c>
      <c r="E246" s="12"/>
      <c r="F246" s="12"/>
      <c r="G246" s="12"/>
      <c r="H246" s="12"/>
    </row>
    <row r="247" spans="1:8" ht="5" customHeight="1"/>
    <row r="248" spans="1:8" ht="5" customHeight="1"/>
    <row r="249" spans="1:8" ht="22" customHeight="1">
      <c r="A249" s="1" t="s">
        <v>291</v>
      </c>
      <c r="B249" s="1"/>
      <c r="C249" s="1"/>
      <c r="D249" s="1"/>
      <c r="E249" s="1"/>
      <c r="F249" s="1"/>
      <c r="G249" s="1"/>
      <c r="H249" s="1"/>
    </row>
    <row r="250" spans="1:8" ht="5" customHeight="1"/>
    <row r="251" spans="1:8" ht="20" customHeight="1">
      <c r="A251" s="3" t="s">
        <v>292</v>
      </c>
      <c r="B251" s="3"/>
      <c r="C251" s="3"/>
      <c r="D251" s="3"/>
      <c r="E251" s="3"/>
      <c r="F251" s="3"/>
      <c r="G251" s="3"/>
      <c r="H251" s="3"/>
    </row>
    <row r="252" spans="1:8" ht="14" customHeight="1">
      <c r="A252" s="34" t="s">
        <v>293</v>
      </c>
      <c r="B252" s="34"/>
      <c r="C252" s="34"/>
      <c r="D252" s="34"/>
      <c r="E252" s="34"/>
      <c r="F252" s="34"/>
      <c r="G252" s="34"/>
      <c r="H252" s="34"/>
    </row>
    <row r="253" spans="1:8">
      <c r="A253" s="4" t="s">
        <v>294</v>
      </c>
      <c r="B253" s="4" t="s">
        <v>295</v>
      </c>
      <c r="C253" s="4" t="s">
        <v>296</v>
      </c>
      <c r="D253" s="4" t="s">
        <v>297</v>
      </c>
      <c r="E253" s="4" t="s">
        <v>298</v>
      </c>
      <c r="F253" s="4" t="s">
        <v>299</v>
      </c>
      <c r="G253" s="4" t="s">
        <v>26</v>
      </c>
      <c r="H253" s="4"/>
    </row>
    <row r="254" spans="1:8" ht="18" customHeight="1">
      <c r="A254" s="52"/>
      <c r="B254" s="33"/>
      <c r="C254" s="33"/>
      <c r="D254" s="7">
        <f>IFERROR(CHOOSE(MATCH(A254,{"Caoutchouc RSS3 (USD/kg)","Huile de palme CPO (USD/t)","Cacao (USD/t)","Coton (USD/lb)","Cafe Robusta (USD/t)"},0),1.65,820,2500,0.85,1800),"")</f>
        <v>0</v>
      </c>
      <c r="E254" s="33"/>
      <c r="F254" s="7">
        <f>IFERROR(IF(AND(ISNUMBER(C254),OR(D254&lt;&gt;"",ISNUMBER(E254))),C254/IF(D254&lt;&gt;"",D254,E254),""),"")</f>
        <v>0</v>
      </c>
      <c r="G254" s="53">
        <f>IFERROR(IF(NOT(ISNUMBER(F254)),"—",IF(F254&lt;0.85,"BAS — opportunite acheteur",IF(F254&lt;1.15,"MILIEU — cycle normal","HAUT — PER annuel trompeur"))),"—")</f>
        <v>0</v>
      </c>
      <c r="H254" s="12"/>
    </row>
    <row r="255" spans="1:8" ht="18" customHeight="1">
      <c r="A255" s="52"/>
      <c r="B255" s="33"/>
      <c r="C255" s="33"/>
      <c r="D255" s="7">
        <f>IFERROR(CHOOSE(MATCH(A255,{"Caoutchouc RSS3 (USD/kg)","Huile de palme CPO (USD/t)","Cacao (USD/t)","Coton (USD/lb)","Cafe Robusta (USD/t)"},0),1.65,820,2500,0.85,1800),"")</f>
        <v>0</v>
      </c>
      <c r="E255" s="33"/>
      <c r="F255" s="7">
        <f>IFERROR(IF(AND(ISNUMBER(C255),OR(D255&lt;&gt;"",ISNUMBER(E255))),C255/IF(D255&lt;&gt;"",D255,E255),""),"")</f>
        <v>0</v>
      </c>
      <c r="G255" s="53">
        <f>IFERROR(IF(NOT(ISNUMBER(F255)),"—",IF(F255&lt;0.85,"BAS — opportunite acheteur",IF(F255&lt;1.15,"MILIEU — cycle normal","HAUT — PER annuel trompeur"))),"—")</f>
        <v>0</v>
      </c>
      <c r="H255" s="12"/>
    </row>
    <row r="256" spans="1:8" ht="18" customHeight="1">
      <c r="A256" s="52"/>
      <c r="B256" s="33"/>
      <c r="C256" s="33"/>
      <c r="D256" s="7">
        <f>IFERROR(CHOOSE(MATCH(A256,{"Caoutchouc RSS3 (USD/kg)","Huile de palme CPO (USD/t)","Cacao (USD/t)","Coton (USD/lb)","Cafe Robusta (USD/t)"},0),1.65,820,2500,0.85,1800),"")</f>
        <v>0</v>
      </c>
      <c r="E256" s="33"/>
      <c r="F256" s="7">
        <f>IFERROR(IF(AND(ISNUMBER(C256),OR(D256&lt;&gt;"",ISNUMBER(E256))),C256/IF(D256&lt;&gt;"",D256,E256),""),"")</f>
        <v>0</v>
      </c>
      <c r="G256" s="53">
        <f>IFERROR(IF(NOT(ISNUMBER(F256)),"—",IF(F256&lt;0.85,"BAS — opportunite acheteur",IF(F256&lt;1.15,"MILIEU — cycle normal","HAUT — PER annuel trompeur"))),"—")</f>
        <v>0</v>
      </c>
      <c r="H256" s="12"/>
    </row>
    <row r="257" spans="1:8">
      <c r="A257" s="5" t="s">
        <v>300</v>
      </c>
      <c r="B257" s="50">
        <f>IFERROR(SUM(B254:B256),"")</f>
        <v>0</v>
      </c>
      <c r="C257" s="53">
        <f>IFERROR(IF(ABS(SUM(B254:B256)-100)&lt;0.1,"Total = 100% OK","ATTENTION : total "&amp;TEXT(SUM(B254:B256),"0.0")&amp;"% — verifier les %"),"—")</f>
        <v>0</v>
      </c>
      <c r="D257" s="12"/>
      <c r="E257" s="12"/>
      <c r="F257" s="12"/>
      <c r="G257" s="12"/>
      <c r="H257" s="12"/>
    </row>
    <row r="258" spans="1:8" ht="5" customHeight="1"/>
    <row r="259" spans="1:8" ht="20" customHeight="1">
      <c r="A259" s="3" t="s">
        <v>301</v>
      </c>
      <c r="B259" s="3"/>
      <c r="C259" s="3"/>
      <c r="D259" s="3"/>
      <c r="E259" s="3"/>
      <c r="F259" s="3"/>
      <c r="G259" s="3"/>
      <c r="H259" s="3"/>
    </row>
    <row r="260" spans="1:8">
      <c r="A260" s="4" t="s">
        <v>66</v>
      </c>
      <c r="B260" s="4" t="s">
        <v>67</v>
      </c>
      <c r="C260" s="4"/>
      <c r="D260" s="4" t="s">
        <v>302</v>
      </c>
      <c r="E260" s="4"/>
      <c r="F260" s="4"/>
      <c r="G260" s="4"/>
      <c r="H260" s="4"/>
    </row>
    <row r="261" spans="1:8">
      <c r="A261" s="5" t="s">
        <v>303</v>
      </c>
      <c r="B261" s="54">
        <f>IFERROR((IF(AND(A254&lt;&gt;"",ISNUMBER(F254)),B254*F254,0)+IF(AND(A255&lt;&gt;"",ISNUMBER(F255)),B255*F255,0)+IF(AND(A256&lt;&gt;"",ISNUMBER(F256)),B256*F256,0))/(IF(AND(A254&lt;&gt;"",ISNUMBER(F254)),B254,0)+IF(AND(A255&lt;&gt;"",ISNUMBER(F255)),B255,0)+IF(AND(A256&lt;&gt;"",ISNUMBER(F256)),B256,0)),"")</f>
        <v>0</v>
      </c>
      <c r="C261" s="12"/>
      <c r="D261" s="53">
        <f>IFERROR("Indice "&amp;TEXT(B261,"0.00")&amp;" — "&amp; IF(B261&lt;0.85,"en dessous moy LT : bas de cycle",IF(B261&lt;1.15,"proche moy LT : milieu de cycle","au-dessus moy LT : haut de cycle")),"")</f>
        <v>0</v>
      </c>
      <c r="E261" s="12"/>
      <c r="F261" s="12"/>
      <c r="G261" s="12"/>
      <c r="H261" s="12"/>
    </row>
    <row r="262" spans="1:8" ht="40" customHeight="1">
      <c r="A262" s="20" t="s">
        <v>304</v>
      </c>
      <c r="B262" s="55">
        <f>IFERROR(IF(B261&lt;0.85,"BAS DE CYCLE",IF(B261&lt;1.15,"MILIEU DE CYCLE","HAUT DE CYCLE")),"—")</f>
        <v>0</v>
      </c>
      <c r="C262" s="12"/>
      <c r="D262" s="56">
        <f>IFERROR(IF(B261&lt;0.85,"ACHETER : RN comprime par bas cycle, actifs (plantations) solides. PER eleve = normal, ne pas vendre sur cette base.",IF(B261&lt;1.15,"ANALYSE STANDARD applicable. PER historique fiable.","PRUDENCE : RN gonfle par haut cycle. PER bas = TROMPEUR. Preferer PER normalise cycle (G3) avant toute decision.")),"")</f>
        <v>0</v>
      </c>
      <c r="E262" s="12"/>
      <c r="F262" s="12"/>
      <c r="G262" s="12"/>
      <c r="H262" s="12"/>
    </row>
    <row r="263" spans="1:8">
      <c r="A263" s="5" t="s">
        <v>305</v>
      </c>
      <c r="B263" s="10">
        <f>IFERROR(COUNTA(A254:A256),0)</f>
        <v>0</v>
      </c>
      <c r="C263" s="12"/>
      <c r="D263" s="53">
        <f>IFERROR(IF(COUNTA(A254:A256)&gt;=2,"Multi-matieres : diversification naturelle — cycles partiellement decoreles (ex: SOGB)","Mono-matiere : exposition totale au cycle unique (ex: SAPH, PALMCI)"),"")</f>
        <v>0</v>
      </c>
      <c r="E263" s="12"/>
      <c r="F263" s="12"/>
      <c r="G263" s="12"/>
      <c r="H263" s="12"/>
    </row>
    <row r="264" spans="1:8" ht="5" customHeight="1"/>
    <row r="265" spans="1:8" ht="20" customHeight="1">
      <c r="A265" s="3" t="s">
        <v>306</v>
      </c>
      <c r="B265" s="3"/>
      <c r="C265" s="3"/>
      <c r="D265" s="3"/>
      <c r="E265" s="3"/>
      <c r="F265" s="3"/>
      <c r="G265" s="3"/>
      <c r="H265" s="3"/>
    </row>
    <row r="266" spans="1:8">
      <c r="A266" s="4" t="s">
        <v>66</v>
      </c>
      <c r="B266" s="4" t="s">
        <v>67</v>
      </c>
      <c r="C266" s="4"/>
      <c r="D266" s="4" t="s">
        <v>307</v>
      </c>
      <c r="E266" s="4"/>
      <c r="F266" s="4"/>
      <c r="G266" s="4"/>
      <c r="H266" s="4"/>
    </row>
    <row r="267" spans="1:8">
      <c r="A267" s="5" t="s">
        <v>308</v>
      </c>
      <c r="B267" s="9">
        <f>IFERROR(AVERAGE(B12:F12)*1000000/B28,"")</f>
        <v>0</v>
      </c>
      <c r="C267" s="12"/>
      <c r="D267" s="57" t="s">
        <v>309</v>
      </c>
      <c r="E267" s="12"/>
      <c r="F267" s="12"/>
      <c r="G267" s="12"/>
      <c r="H267" s="12"/>
    </row>
    <row r="268" spans="1:8">
      <c r="A268" s="20" t="s">
        <v>310</v>
      </c>
      <c r="B268" s="54">
        <f>IFERROR(B24/B267,"")</f>
        <v>0</v>
      </c>
      <c r="C268" s="12"/>
      <c r="D268" s="58">
        <f>IFERROR(IF(B268&lt;9,"Sous-evalue sur cycle complet — forte opportunite",IF(B268&lt;15,"Zone normale sur cycle — achat raisonnable",IF(B268&lt;22,"Prime moderee sur cycle — attendre correction","Fortement surevalue sur cycle — eviter"))),"Saisir donnees A1 et A2")</f>
        <v>0</v>
      </c>
      <c r="E268" s="12"/>
      <c r="F268" s="12"/>
      <c r="G268" s="12"/>
      <c r="H268" s="12"/>
    </row>
    <row r="269" spans="1:8" ht="28" customHeight="1">
      <c r="A269" s="20" t="s">
        <v>311</v>
      </c>
      <c r="B269" s="59">
        <f>IFERROR(IF(AND(B261&lt;0.85,B268&lt;15),"ACHAT FORT — bas cycle + sous-evalue sur cycle",IF(AND(B261&lt;1.15,B268&lt;15),"ACHAT — milieu cycle + juste valorisation cycle",IF(AND(B261&gt;1.15,B268&lt;9),"SURVEILLER — haut cycle mais tres sous-evalue cycle",IF(AND(B261&gt;1.15,B268&gt;=15),"EVITER — haut cycle ET surevalue sur cycle","NEUTRE — analyser fondamentaux en detail")))),"Saisir matieres en G1")</f>
        <v>0</v>
      </c>
      <c r="C269" s="59"/>
      <c r="D269" s="59"/>
      <c r="E269" s="12"/>
      <c r="F269" s="12"/>
      <c r="G269" s="12"/>
      <c r="H269" s="12"/>
    </row>
    <row r="270" spans="1:8" ht="5" customHeight="1"/>
  </sheetData>
  <sheetProtection sheet="1" objects="1" scenarios="1" formatColumns="0" formatRows="0"/>
  <mergeCells count="57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38:F38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  <mergeCell ref="A141:H141"/>
    <mergeCell ref="A144:H144"/>
    <mergeCell ref="A145:H145"/>
    <mergeCell ref="A156:H156"/>
    <mergeCell ref="C158:G158"/>
    <mergeCell ref="C159:G159"/>
    <mergeCell ref="A164:H164"/>
    <mergeCell ref="A170:H170"/>
    <mergeCell ref="A179:D179"/>
    <mergeCell ref="E179:H179"/>
    <mergeCell ref="A182:H182"/>
    <mergeCell ref="A184:H184"/>
    <mergeCell ref="A191:H191"/>
    <mergeCell ref="A198:H198"/>
    <mergeCell ref="A206:H206"/>
    <mergeCell ref="A208:H208"/>
    <mergeCell ref="A216:H216"/>
    <mergeCell ref="A223:H223"/>
    <mergeCell ref="A231:H231"/>
    <mergeCell ref="A233:H233"/>
    <mergeCell ref="A240:H240"/>
    <mergeCell ref="A249:H249"/>
    <mergeCell ref="A251:H251"/>
    <mergeCell ref="A252:H252"/>
    <mergeCell ref="A259:H259"/>
    <mergeCell ref="A265:H265"/>
    <mergeCell ref="B269:D269"/>
  </mergeCells>
  <conditionalFormatting sqref="B172:B177">
    <cfRule type="containsText" dxfId="0" priority="14" operator="containsText" text="OUI">
      <formula>NOT(ISERROR(SEARCH("OUI",B172)))</formula>
    </cfRule>
    <cfRule type="containsText" dxfId="1" priority="15" operator="containsText" text="NON">
      <formula>NOT(ISERROR(SEARCH("NON",B172)))</formula>
    </cfRule>
  </conditionalFormatting>
  <conditionalFormatting sqref="D30:D34">
    <cfRule type="containsText" dxfId="0" priority="1" operator="containsText" text="Sous-evalue">
      <formula>NOT(ISERROR(SEARCH("Sous-evalue",D30)))</formula>
    </cfRule>
    <cfRule type="containsText" dxfId="0" priority="2" operator="containsText" text="sous-evaluee">
      <formula>NOT(ISERROR(SEARCH("sous-evaluee",D30)))</formula>
    </cfRule>
    <cfRule type="containsText" dxfId="0" priority="3" operator="containsText" text="Decote">
      <formula>NOT(ISERROR(SEARCH("Decote",D30)))</formula>
    </cfRule>
    <cfRule type="containsText" dxfId="0" priority="4" operator="containsText" text="Excellent">
      <formula>NOT(ISERROR(SEARCH("Excellent",D30)))</formula>
    </cfRule>
    <cfRule type="containsText" dxfId="0" priority="5" operator="containsText" text="Bon">
      <formula>NOT(ISERROR(SEARCH("Bon",D30)))</formula>
    </cfRule>
    <cfRule type="containsText" dxfId="0" priority="6" operator="containsText" text="SURVENTE">
      <formula>NOT(ISERROR(SEARCH("SURVENTE",D30)))</formula>
    </cfRule>
    <cfRule type="containsText" dxfId="1" priority="7" operator="containsText" text="Surevalue">
      <formula>NOT(ISERROR(SEARCH("Surevalue",D30)))</formula>
    </cfRule>
    <cfRule type="containsText" dxfId="1" priority="8" operator="containsText" text="surevaluee">
      <formula>NOT(ISERROR(SEARCH("surevaluee",D30)))</formula>
    </cfRule>
    <cfRule type="containsText" dxfId="1" priority="9" operator="containsText" text="Prime">
      <formula>NOT(ISERROR(SEARCH("Prime",D30)))</formula>
    </cfRule>
    <cfRule type="containsText" dxfId="1" priority="10" operator="containsText" text="Faible">
      <formula>NOT(ISERROR(SEARCH("Faible",D30)))</formula>
    </cfRule>
    <cfRule type="containsText" dxfId="1" priority="11" operator="containsText" text="SURACHAT">
      <formula>NOT(ISERROR(SEARCH("SURACHAT",D30)))</formula>
    </cfRule>
    <cfRule type="containsText" dxfId="2" priority="12" operator="containsText" text="Normal">
      <formula>NOT(ISERROR(SEARCH("Normal",D30)))</formula>
    </cfRule>
    <cfRule type="containsText" dxfId="2" priority="13" operator="containsText" text="Moyen">
      <formula>NOT(ISERROR(SEARCH("Moyen",D30)))</formula>
    </cfRule>
  </conditionalFormatting>
  <dataValidations count="1">
    <dataValidation type="list" allowBlank="1" showInputMessage="1" showErrorMessage="1" promptTitle="Matiere premiere" prompt="Choisir dans la liste. Pour 'Autre' : saisir moy. LT en col. E" sqref="A254:A256">
      <formula1>"Caoutchouc RSS3 (USD/kg),Huile de palme CPO (USD/t),Cacao (USD/t),Coton (USD/lb),Cafe Robusta (USD/t),Autre"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A1:E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312</v>
      </c>
      <c r="B1" s="1"/>
      <c r="C1" s="1"/>
      <c r="D1" s="1"/>
      <c r="E1" s="1"/>
    </row>
    <row r="2" spans="1:5" ht="16" customHeight="1">
      <c r="A2" s="2">
        <f>IF(PROFIL!B3="","Completer le PROFIL",PROFIL!B3&amp;"  ("&amp;PROFIL!B4&amp;")  |  "&amp;PROFIL!B5&amp;"  |  Prix : "&amp;ETUDE!B24&amp;" FCFA  |  Date : "&amp;IF(ISNUMBER(PROFIL!B6),TEXT(PROFIL!B6,"dd/mm/yyyy"),PROFIL!B6))</f>
        <v>0</v>
      </c>
      <c r="B2" s="2"/>
      <c r="C2" s="2"/>
      <c r="D2" s="2"/>
      <c r="E2" s="2"/>
    </row>
    <row r="3" spans="1:5" ht="5" customHeight="1"/>
    <row r="4" spans="1:5" ht="18" customHeight="1">
      <c r="A4" s="60" t="s">
        <v>313</v>
      </c>
      <c r="B4" s="60"/>
      <c r="C4" s="60"/>
      <c r="D4" s="60"/>
      <c r="E4" s="60"/>
    </row>
    <row r="5" spans="1:5">
      <c r="A5" s="4" t="s">
        <v>207</v>
      </c>
      <c r="B5" s="4" t="s">
        <v>314</v>
      </c>
      <c r="C5" s="4" t="s">
        <v>315</v>
      </c>
      <c r="D5" s="4" t="s">
        <v>316</v>
      </c>
      <c r="E5" s="4" t="s">
        <v>317</v>
      </c>
    </row>
    <row r="6" spans="1:5">
      <c r="A6" s="5" t="s">
        <v>318</v>
      </c>
      <c r="B6" s="61">
        <f>IFERROR(ETUDE!G8,"")</f>
        <v>0</v>
      </c>
      <c r="C6" s="11" t="s">
        <v>319</v>
      </c>
      <c r="D6" s="62">
        <f>IFERROR(IF(ETUDE!G8&gt;=10,"Bon (&gt;=10%)",IF(ETUDE!G8&gt;=0,"Faible (&lt;10%)","Negatif")),"-")</f>
        <v>0</v>
      </c>
      <c r="E6" s="63">
        <f>IFERROR(IF(ETUDE!G8&gt;=15,3,IF(ETUDE!G8&gt;=5,2,IF(ETUDE!G8&gt;=0,1,0))),0)</f>
        <v>0</v>
      </c>
    </row>
    <row r="7" spans="1:5">
      <c r="A7" s="5" t="s">
        <v>320</v>
      </c>
      <c r="B7" s="61">
        <f>IFERROR(ETUDE!G12,"")</f>
        <v>0</v>
      </c>
      <c r="C7" s="11" t="s">
        <v>319</v>
      </c>
      <c r="D7" s="62">
        <f>IFERROR(IF(ETUDE!G12&gt;=10,"Bon (&gt;=10%)",IF(ETUDE!G12&gt;=0,"Faible (&lt;10%)","Negatif")),"-")</f>
        <v>0</v>
      </c>
      <c r="E7" s="63">
        <f>IFERROR(IF(ETUDE!G12&gt;=15,3,IF(ETUDE!G12&gt;=5,2,IF(ETUDE!G12&gt;=0,1,0))),0)</f>
        <v>0</v>
      </c>
    </row>
    <row r="8" spans="1:5">
      <c r="A8" s="5" t="s">
        <v>321</v>
      </c>
      <c r="B8" s="61">
        <f>IFERROR(ETUDE!G16,"")</f>
        <v>0</v>
      </c>
      <c r="C8" s="11" t="s">
        <v>322</v>
      </c>
      <c r="D8" s="62">
        <f>IFERROR(IF(ETUDE!G16&gt;=10,"Tres rentable",IF(ETUDE!G16&gt;=5,"Rentable",IF(ETUDE!G16&gt;=2,"Faiblement rentable","Faible"))),"-")</f>
        <v>0</v>
      </c>
      <c r="E8" s="63">
        <f>IFERROR(IF(ETUDE!G16&gt;=10,3,IF(ETUDE!G16&gt;=5,2,IF(ETUDE!G16&gt;=2,1,0))),0)</f>
        <v>0</v>
      </c>
    </row>
    <row r="9" spans="1:5">
      <c r="A9" s="5" t="s">
        <v>323</v>
      </c>
      <c r="B9" s="61">
        <f>IFERROR(ETUDE!B30,"")</f>
        <v>0</v>
      </c>
      <c r="C9" s="11" t="s">
        <v>324</v>
      </c>
      <c r="D9" s="62">
        <f>IFERROR(ETUDE!D30,"-")</f>
        <v>0</v>
      </c>
      <c r="E9" s="63">
        <f>IFERROR(IF(ETUDE!B30&lt;9,3,IF(ETUDE!B30&lt;=15,2,IF(ETUDE!B30&lt;=20,1,0))),0)</f>
        <v>0</v>
      </c>
    </row>
    <row r="10" spans="1:5">
      <c r="A10" s="5" t="s">
        <v>325</v>
      </c>
      <c r="B10" s="61">
        <f>IFERROR(ETUDE!B32,"")</f>
        <v>0</v>
      </c>
      <c r="C10" s="11" t="s">
        <v>326</v>
      </c>
      <c r="D10" s="62">
        <f>IFERROR(ETUDE!D32,"-")</f>
        <v>0</v>
      </c>
      <c r="E10" s="63">
        <f>IFERROR(IF(ETUDE!B32&lt;1,3,IF(ETUDE!B32&lt;2,1,0)),0)</f>
        <v>0</v>
      </c>
    </row>
    <row r="11" spans="1:5">
      <c r="A11" s="5" t="s">
        <v>327</v>
      </c>
      <c r="B11" s="61">
        <f>IFERROR(ETUDE!B33,"")</f>
        <v>0</v>
      </c>
      <c r="C11" s="11" t="s">
        <v>319</v>
      </c>
      <c r="D11" s="62">
        <f>IFERROR(ETUDE!D33,"-")</f>
        <v>0</v>
      </c>
      <c r="E11" s="63">
        <f>IFERROR(IF(ETUDE!B33&gt;=15,3,IF(ETUDE!B33&gt;=10,2,IF(ETUDE!B33&gt;=5,1,0))),0)</f>
        <v>0</v>
      </c>
    </row>
    <row r="12" spans="1:5">
      <c r="A12" s="5" t="s">
        <v>328</v>
      </c>
      <c r="B12" s="61">
        <f>IFERROR(AVERAGE(ETUDE!E39:ETUDE!E43),"")</f>
        <v>0</v>
      </c>
      <c r="C12" s="11" t="s">
        <v>329</v>
      </c>
      <c r="D12" s="62">
        <f>IFERROR(IF(AVERAGE(ETUDE!E39:ETUDE!E43)&gt;=3,"Bon (&gt;=3%)","Faible (&lt;3%)"),"-")</f>
        <v>0</v>
      </c>
      <c r="E12" s="63">
        <f>IFERROR(IF(AVERAGE(ETUDE!E39:ETUDE!E43)&gt;=6,3,IF(AVERAGE(ETUDE!E39:ETUDE!E43)&gt;=3,2,IF(AVERAGE(ETUDE!E39:ETUDE!E43)&gt;=1,1,0))),0)</f>
        <v>0</v>
      </c>
    </row>
    <row r="13" spans="1:5">
      <c r="A13" s="5" t="s">
        <v>330</v>
      </c>
      <c r="B13" s="61">
        <f>IFERROR(ETUDE!B34,"")</f>
        <v>0</v>
      </c>
      <c r="C13" s="11" t="s">
        <v>331</v>
      </c>
      <c r="D13" s="62">
        <f>IFERROR(ETUDE!D34,"-")</f>
        <v>0</v>
      </c>
      <c r="E13" s="63">
        <f>IFERROR(IF(ETUDE!B34&lt;10,3,IF(ETUDE!B34&lt;22,2,IF(ETUDE!B34&lt;30,1,0))),0)</f>
        <v>0</v>
      </c>
    </row>
    <row r="14" spans="1:5">
      <c r="A14" s="20" t="s">
        <v>332</v>
      </c>
      <c r="B14" s="64"/>
      <c r="C14" s="64"/>
      <c r="D14" s="64"/>
      <c r="E14" s="65">
        <f>SUM(E6:E13)</f>
        <v>0</v>
      </c>
    </row>
    <row r="15" spans="1:5" ht="5" customHeight="1"/>
    <row r="16" spans="1:5" ht="18" customHeight="1">
      <c r="A16" s="60" t="s">
        <v>333</v>
      </c>
      <c r="B16" s="60"/>
      <c r="C16" s="60"/>
      <c r="D16" s="60"/>
      <c r="E16" s="60"/>
    </row>
    <row r="17" spans="1:5">
      <c r="A17" s="4" t="s">
        <v>207</v>
      </c>
      <c r="B17" s="4" t="s">
        <v>99</v>
      </c>
      <c r="C17" s="4" t="s">
        <v>277</v>
      </c>
      <c r="D17" s="4" t="s">
        <v>17</v>
      </c>
      <c r="E17" s="4" t="s">
        <v>209</v>
      </c>
    </row>
    <row r="18" spans="1:5">
      <c r="A18" s="5" t="s">
        <v>334</v>
      </c>
      <c r="B18" s="66">
        <f>IFERROR(ETUDE!D91,"")</f>
        <v>0</v>
      </c>
      <c r="C18" s="11" t="s">
        <v>335</v>
      </c>
      <c r="D18" s="62">
        <f>IFERROR(ETUDE!E91,"-")</f>
        <v>0</v>
      </c>
      <c r="E18" s="63">
        <f>IFERROR(IF(ETUDE!D91&gt;=4,3,IF(ETUDE!D91&gt;=2,2,IF(ETUDE!D91&gt;=0,1,0))),0)</f>
        <v>0</v>
      </c>
    </row>
    <row r="19" spans="1:5">
      <c r="A19" s="5" t="s">
        <v>336</v>
      </c>
      <c r="B19" s="66">
        <f>IFERROR(ETUDE!E95,"")</f>
        <v>0</v>
      </c>
      <c r="C19" s="11" t="s">
        <v>337</v>
      </c>
      <c r="D19" s="62">
        <f>IFERROR(ETUDE!E96,"-")</f>
        <v>0</v>
      </c>
      <c r="E19" s="63">
        <f>IFERROR(IF(AND(ETUDE!B24&lt;ETUDE!D95,ETUDE!B24&lt;ETUDE!D96),3,IF(ETUDE!B24&lt;ETUDE!D95,2,IF(ETUDE!B24&lt;ETUDE!D96,1,0))),0)</f>
        <v>0</v>
      </c>
    </row>
    <row r="20" spans="1:5">
      <c r="A20" s="5" t="s">
        <v>338</v>
      </c>
      <c r="B20" s="66">
        <f>IFERROR(ETUDE!B104,"")</f>
        <v>0</v>
      </c>
      <c r="C20" s="11" t="s">
        <v>339</v>
      </c>
      <c r="D20" s="62">
        <f>IFERROR(ETUDE!D104,"-")</f>
        <v>0</v>
      </c>
      <c r="E20" s="63">
        <f>IFERROR(IF(ETUDE!B104&lt;9,3,IF(ETUDE!B104&lt;=15,2,IF(ETUDE!B104&lt;=20,1,0))),0)</f>
        <v>0</v>
      </c>
    </row>
    <row r="21" spans="1:5">
      <c r="A21" s="5" t="s">
        <v>340</v>
      </c>
      <c r="B21" s="66">
        <f>IFERROR(ETUDE!B116,"")</f>
        <v>0</v>
      </c>
      <c r="C21" s="11" t="s">
        <v>341</v>
      </c>
      <c r="D21" s="62">
        <f>IFERROR(ETUDE!B125,"-")</f>
        <v>0</v>
      </c>
      <c r="E21" s="63">
        <f>IFERROR(IF(AND(ISNUMBER(SEARCH("DESSOUS",ETUDE!B116)),ISNUMBER(SEARCH("SOUS P0",ETUDE!B125))),3,IF(OR(ISNUMBER(SEARCH("DESSOUS",ETUDE!B116)),ISNUMBER(SEARCH("SOUS P0",ETUDE!B125))),2,IF(OR(ISNUMBER(SEARCH("ZONE CIBLE",ETUDE!B116)),ISNUMBER(SEARCH("zone P0",ETUDE!B125))),1,0))),0)</f>
        <v>0</v>
      </c>
    </row>
    <row r="22" spans="1:5">
      <c r="A22" s="5" t="s">
        <v>342</v>
      </c>
      <c r="B22" s="66">
        <f>IFERROR(ETUDE!B135,"")</f>
        <v>0</v>
      </c>
      <c r="C22" s="11" t="s">
        <v>343</v>
      </c>
      <c r="D22" s="62">
        <f>IFERROR(ETUDE!D135,"-")</f>
        <v>0</v>
      </c>
      <c r="E22" s="63">
        <f>IFERROR(IF(ETUDE!B135&gt;=3,3,IF(ETUDE!B135&gt;=2,2,IF(ETUDE!B135&gt;=1,1,0))),0)</f>
        <v>0</v>
      </c>
    </row>
    <row r="23" spans="1:5">
      <c r="A23" s="20" t="s">
        <v>344</v>
      </c>
      <c r="B23" s="64"/>
      <c r="C23" s="64"/>
      <c r="D23" s="64"/>
      <c r="E23" s="65">
        <f>SUM(E18:E22)</f>
        <v>0</v>
      </c>
    </row>
    <row r="24" spans="1:5" ht="5" customHeight="1"/>
    <row r="25" spans="1:5" ht="18" customHeight="1">
      <c r="A25" s="67" t="s">
        <v>345</v>
      </c>
      <c r="B25" s="67"/>
      <c r="C25" s="67"/>
      <c r="D25" s="67"/>
      <c r="E25" s="67"/>
    </row>
    <row r="26" spans="1:5">
      <c r="A26" s="4" t="s">
        <v>56</v>
      </c>
      <c r="B26" s="4" t="s">
        <v>209</v>
      </c>
      <c r="C26" s="4" t="s">
        <v>346</v>
      </c>
      <c r="D26" s="4" t="s">
        <v>347</v>
      </c>
      <c r="E26" s="4" t="s">
        <v>348</v>
      </c>
    </row>
    <row r="27" spans="1:5">
      <c r="A27" s="5" t="s">
        <v>349</v>
      </c>
      <c r="B27" s="68">
        <f>E14</f>
        <v>0</v>
      </c>
      <c r="C27" s="69">
        <v>24</v>
      </c>
      <c r="D27" s="70">
        <f>IFERROR(E14/24*100,"")</f>
        <v>0</v>
      </c>
      <c r="E27" s="71">
        <f>IFERROR(IF(E14/24&gt;=0.7,"Solide",IF(E14/24&gt;=0.5,"Moyen","Faible")),"-")</f>
        <v>0</v>
      </c>
    </row>
    <row r="28" spans="1:5">
      <c r="A28" s="5" t="s">
        <v>350</v>
      </c>
      <c r="B28" s="68">
        <f>E23</f>
        <v>0</v>
      </c>
      <c r="C28" s="69">
        <v>15</v>
      </c>
      <c r="D28" s="70">
        <f>IFERROR(E23/15*100,"")</f>
        <v>0</v>
      </c>
      <c r="E28" s="71">
        <f>IFERROR(IF(E23/15&gt;=0.7,"Solide",IF(E23/15&gt;=0.5,"Moyen","Faible")),"-")</f>
        <v>0</v>
      </c>
    </row>
    <row r="29" spans="1:5">
      <c r="A29" s="20" t="s">
        <v>351</v>
      </c>
      <c r="B29" s="72">
        <f>IFERROR(E14+E23,"")</f>
        <v>0</v>
      </c>
      <c r="C29" s="73">
        <v>39</v>
      </c>
      <c r="D29" s="70">
        <f>IFERROR(B29/39*100,"")</f>
        <v>0</v>
      </c>
      <c r="E29" s="74">
        <f>IFERROR(IF(B29/39&gt;=0.7,"ACHETER",IF(B29/39&gt;=0.5,"SURVEILLER","EVITER")),"-")</f>
        <v>0</v>
      </c>
    </row>
    <row r="30" spans="1:5" ht="5" customHeight="1"/>
    <row r="31" spans="1:5" ht="18" customHeight="1">
      <c r="A31" s="60" t="s">
        <v>352</v>
      </c>
      <c r="B31" s="60"/>
      <c r="C31" s="60"/>
      <c r="D31" s="60"/>
      <c r="E31" s="60"/>
    </row>
    <row r="32" spans="1:5">
      <c r="A32" s="4" t="s">
        <v>353</v>
      </c>
      <c r="B32" s="4" t="s">
        <v>354</v>
      </c>
      <c r="C32" s="4" t="s">
        <v>189</v>
      </c>
      <c r="D32" s="4" t="s">
        <v>355</v>
      </c>
      <c r="E32" s="4" t="s">
        <v>356</v>
      </c>
    </row>
    <row r="33" spans="1:5" ht="30" customHeight="1">
      <c r="A33" s="75">
        <f>IFERROR(ETUDE!D178,"")</f>
        <v>0</v>
      </c>
      <c r="B33" s="76">
        <f>IFERROR(ETUDE!E179,"-")</f>
        <v>0</v>
      </c>
      <c r="C33" s="77">
        <f>IFERROR(ETUDE!D153,"")</f>
        <v>0</v>
      </c>
      <c r="D33" s="77">
        <f>IFERROR(ETUDE!D161,"")</f>
        <v>0</v>
      </c>
      <c r="E33" s="78">
        <f>IFERROR(IF(ETUDE!B24&lt;ETUDE!B31,"Prix &lt; VMC","Prix &gt; VMC"),"-")</f>
        <v>0</v>
      </c>
    </row>
    <row r="34" spans="1:5" ht="5" customHeight="1"/>
    <row r="35" spans="1:5" ht="18" customHeight="1">
      <c r="A35" s="60" t="s">
        <v>357</v>
      </c>
      <c r="B35" s="60"/>
      <c r="C35" s="60"/>
      <c r="D35" s="60"/>
      <c r="E35" s="60"/>
    </row>
    <row r="36" spans="1:5" ht="50" customHeight="1">
      <c r="A36" s="28"/>
      <c r="B36" s="28"/>
      <c r="C36" s="28"/>
      <c r="D36" s="28"/>
      <c r="E36" s="28"/>
    </row>
    <row r="37" spans="1:5">
      <c r="A37" s="28"/>
      <c r="B37" s="28"/>
      <c r="C37" s="28"/>
      <c r="D37" s="28"/>
      <c r="E37" s="28"/>
    </row>
    <row r="38" spans="1:5">
      <c r="A38" s="28"/>
      <c r="B38" s="28"/>
      <c r="C38" s="28"/>
      <c r="D38" s="28"/>
      <c r="E38" s="28"/>
    </row>
    <row r="39" spans="1:5">
      <c r="A39" s="28"/>
      <c r="B39" s="28"/>
      <c r="C39" s="28"/>
      <c r="D39" s="28"/>
      <c r="E39" s="28"/>
    </row>
    <row r="40" spans="1:5">
      <c r="A40" s="28"/>
      <c r="B40" s="28"/>
      <c r="C40" s="28"/>
      <c r="D40" s="28"/>
      <c r="E40" s="28"/>
    </row>
  </sheetData>
  <sheetProtection sheet="1" objects="1" scenarios="1" formatColumns="0" formatRows="0"/>
  <mergeCells count="8">
    <mergeCell ref="A1:E1"/>
    <mergeCell ref="A2:E2"/>
    <mergeCell ref="A4:E4"/>
    <mergeCell ref="A16:E16"/>
    <mergeCell ref="A25:E25"/>
    <mergeCell ref="A31:E31"/>
    <mergeCell ref="A35:E35"/>
    <mergeCell ref="A36:E40"/>
  </mergeCells>
  <conditionalFormatting sqref="D18:D22">
    <cfRule type="containsText" dxfId="3" priority="2" operator="containsText" text="Bon">
      <formula>NOT(ISERROR(SEARCH("Bon",D18)))</formula>
    </cfRule>
    <cfRule type="containsText" dxfId="3" priority="4" operator="containsText" text="rentable">
      <formula>NOT(ISERROR(SEARCH("rentable",D18)))</formula>
    </cfRule>
    <cfRule type="containsText" dxfId="3" priority="6" operator="containsText" text="Sous-evalue">
      <formula>NOT(ISERROR(SEARCH("Sous-evalue",D18)))</formula>
    </cfRule>
    <cfRule type="containsText" dxfId="3" priority="8" operator="containsText" text="Decote">
      <formula>NOT(ISERROR(SEARCH("Decote",D18)))</formula>
    </cfRule>
    <cfRule type="containsText" dxfId="3" priority="10" operator="containsText" text="Opportunite">
      <formula>NOT(ISERROR(SEARCH("Opportunite",D18)))</formula>
    </cfRule>
    <cfRule type="containsText" dxfId="3" priority="12" operator="containsText" text="SURVENTE">
      <formula>NOT(ISERROR(SEARCH("SURVENTE",D18)))</formula>
    </cfRule>
    <cfRule type="containsText" dxfId="3" priority="14" operator="containsText" text="ACHETER">
      <formula>NOT(ISERROR(SEARCH("ACHETER",D18)))</formula>
    </cfRule>
    <cfRule type="containsText" dxfId="4" priority="16" operator="containsText" text="Surevalue">
      <formula>NOT(ISERROR(SEARCH("Surevalue",D18)))</formula>
    </cfRule>
    <cfRule type="containsText" dxfId="4" priority="18" operator="containsText" text="SURACHAT">
      <formula>NOT(ISERROR(SEARCH("SURACHAT",D18)))</formula>
    </cfRule>
    <cfRule type="containsText" dxfId="4" priority="20" operator="containsText" text="Prime">
      <formula>NOT(ISERROR(SEARCH("Prime",D18)))</formula>
    </cfRule>
    <cfRule type="containsText" dxfId="4" priority="22" operator="containsText" text="Negatif">
      <formula>NOT(ISERROR(SEARCH("Negatif",D18)))</formula>
    </cfRule>
    <cfRule type="containsText" dxfId="5" priority="24" operator="containsText" text="Normal">
      <formula>NOT(ISERROR(SEARCH("Normal",D18)))</formula>
    </cfRule>
    <cfRule type="containsText" dxfId="5" priority="26" operator="containsText" text="Faible">
      <formula>NOT(ISERROR(SEARCH("Faible",D18)))</formula>
    </cfRule>
    <cfRule type="containsText" dxfId="5" priority="28" operator="containsText" text="Moyen">
      <formula>NOT(ISERROR(SEARCH("Moyen",D18)))</formula>
    </cfRule>
    <cfRule type="containsText" dxfId="5" priority="30" operator="containsText" text="NEUTRE">
      <formula>NOT(ISERROR(SEARCH("NEUTRE",D18)))</formula>
    </cfRule>
  </conditionalFormatting>
  <conditionalFormatting sqref="D6:D13">
    <cfRule type="containsText" dxfId="3" priority="1" operator="containsText" text="Bon">
      <formula>NOT(ISERROR(SEARCH("Bon",D6)))</formula>
    </cfRule>
    <cfRule type="containsText" dxfId="3" priority="3" operator="containsText" text="rentable">
      <formula>NOT(ISERROR(SEARCH("rentable",D6)))</formula>
    </cfRule>
    <cfRule type="containsText" dxfId="3" priority="5" operator="containsText" text="Sous-evalue">
      <formula>NOT(ISERROR(SEARCH("Sous-evalue",D6)))</formula>
    </cfRule>
    <cfRule type="containsText" dxfId="3" priority="7" operator="containsText" text="Decote">
      <formula>NOT(ISERROR(SEARCH("Decote",D6)))</formula>
    </cfRule>
    <cfRule type="containsText" dxfId="3" priority="9" operator="containsText" text="Opportunite">
      <formula>NOT(ISERROR(SEARCH("Opportunite",D6)))</formula>
    </cfRule>
    <cfRule type="containsText" dxfId="3" priority="11" operator="containsText" text="SURVENTE">
      <formula>NOT(ISERROR(SEARCH("SURVENTE",D6)))</formula>
    </cfRule>
    <cfRule type="containsText" dxfId="3" priority="13" operator="containsText" text="ACHETER">
      <formula>NOT(ISERROR(SEARCH("ACHETER",D6)))</formula>
    </cfRule>
    <cfRule type="containsText" dxfId="4" priority="15" operator="containsText" text="Surevalue">
      <formula>NOT(ISERROR(SEARCH("Surevalue",D6)))</formula>
    </cfRule>
    <cfRule type="containsText" dxfId="4" priority="17" operator="containsText" text="SURACHAT">
      <formula>NOT(ISERROR(SEARCH("SURACHAT",D6)))</formula>
    </cfRule>
    <cfRule type="containsText" dxfId="4" priority="19" operator="containsText" text="Prime">
      <formula>NOT(ISERROR(SEARCH("Prime",D6)))</formula>
    </cfRule>
    <cfRule type="containsText" dxfId="4" priority="21" operator="containsText" text="Negatif">
      <formula>NOT(ISERROR(SEARCH("Negatif",D6)))</formula>
    </cfRule>
    <cfRule type="containsText" dxfId="5" priority="23" operator="containsText" text="Normal">
      <formula>NOT(ISERROR(SEARCH("Normal",D6)))</formula>
    </cfRule>
    <cfRule type="containsText" dxfId="5" priority="25" operator="containsText" text="Faible">
      <formula>NOT(ISERROR(SEARCH("Faible",D6)))</formula>
    </cfRule>
    <cfRule type="containsText" dxfId="5" priority="27" operator="containsText" text="Moyen">
      <formula>NOT(ISERROR(SEARCH("Moyen",D6)))</formula>
    </cfRule>
    <cfRule type="containsText" dxfId="5" priority="29" operator="containsText" text="NEUTRE">
      <formula>NOT(ISERROR(SEARCH("NEUTRE",D6)))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B7280"/>
  </sheetPr>
  <dimension ref="A1:D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358</v>
      </c>
      <c r="B1" s="1"/>
      <c r="C1" s="1"/>
      <c r="D1" s="1"/>
    </row>
    <row r="2" spans="1:4" ht="20" customHeight="1">
      <c r="A2" s="3" t="s">
        <v>359</v>
      </c>
      <c r="B2" s="3"/>
      <c r="C2" s="3"/>
      <c r="D2" s="3"/>
    </row>
    <row r="3" spans="1:4" ht="22" customHeight="1">
      <c r="A3" s="79" t="s">
        <v>360</v>
      </c>
      <c r="B3" s="80"/>
      <c r="C3" s="80"/>
      <c r="D3" s="57" t="s">
        <v>361</v>
      </c>
    </row>
    <row r="4" spans="1:4" ht="22" customHeight="1">
      <c r="A4" s="79" t="s">
        <v>362</v>
      </c>
      <c r="B4" s="80"/>
      <c r="C4" s="80"/>
      <c r="D4" s="57" t="s">
        <v>363</v>
      </c>
    </row>
    <row r="5" spans="1:4" ht="22" customHeight="1">
      <c r="A5" s="79" t="s">
        <v>364</v>
      </c>
      <c r="B5" s="80"/>
      <c r="C5" s="80"/>
      <c r="D5" s="57" t="s">
        <v>365</v>
      </c>
    </row>
    <row r="6" spans="1:4" ht="22" customHeight="1">
      <c r="A6" s="79" t="s">
        <v>366</v>
      </c>
      <c r="B6" s="81"/>
      <c r="C6" s="81"/>
      <c r="D6" s="57" t="s">
        <v>367</v>
      </c>
    </row>
    <row r="7" spans="1:4" ht="8" customHeight="1"/>
    <row r="8" spans="1:4" ht="20" customHeight="1">
      <c r="A8" s="3" t="s">
        <v>368</v>
      </c>
      <c r="B8" s="3"/>
      <c r="C8" s="3"/>
      <c r="D8" s="3"/>
    </row>
    <row r="9" spans="1:4">
      <c r="A9" s="5" t="s">
        <v>369</v>
      </c>
      <c r="B9" s="45">
        <f>B3</f>
        <v>0</v>
      </c>
      <c r="C9" s="14" t="s">
        <v>370</v>
      </c>
      <c r="D9" s="12"/>
    </row>
    <row r="10" spans="1:4">
      <c r="A10" s="5" t="s">
        <v>362</v>
      </c>
      <c r="B10" s="45">
        <f>B4</f>
        <v>0</v>
      </c>
      <c r="C10" s="14" t="s">
        <v>370</v>
      </c>
      <c r="D10" s="12"/>
    </row>
    <row r="11" spans="1:4">
      <c r="A11" s="5" t="s">
        <v>371</v>
      </c>
      <c r="B11" s="45">
        <f>B5</f>
        <v>0</v>
      </c>
      <c r="C11" s="14" t="s">
        <v>370</v>
      </c>
      <c r="D11" s="12"/>
    </row>
    <row r="12" spans="1:4">
      <c r="A12" s="5" t="s">
        <v>372</v>
      </c>
      <c r="B12" s="52"/>
      <c r="C12" s="12"/>
      <c r="D12" s="12"/>
    </row>
    <row r="13" spans="1:4">
      <c r="A13" s="5" t="s">
        <v>373</v>
      </c>
      <c r="B13" s="52"/>
      <c r="C13" s="12"/>
      <c r="D13" s="12"/>
    </row>
    <row r="14" spans="1:4" ht="5" customHeight="1"/>
    <row r="15" spans="1:4" ht="20" customHeight="1">
      <c r="A15" s="3" t="s">
        <v>374</v>
      </c>
      <c r="B15" s="3"/>
      <c r="C15" s="3"/>
      <c r="D15" s="3"/>
    </row>
    <row r="16" spans="1:4">
      <c r="A16" s="5" t="s">
        <v>223</v>
      </c>
      <c r="B16" s="52"/>
      <c r="C16" s="12"/>
      <c r="D16" s="12"/>
    </row>
    <row r="17" spans="1:4">
      <c r="A17" s="5" t="s">
        <v>375</v>
      </c>
      <c r="B17" s="52"/>
      <c r="C17" s="12"/>
      <c r="D17" s="12"/>
    </row>
    <row r="18" spans="1:4">
      <c r="A18" s="5" t="s">
        <v>224</v>
      </c>
      <c r="B18" s="52"/>
      <c r="C18" s="12"/>
      <c r="D18" s="12"/>
    </row>
    <row r="19" spans="1:4">
      <c r="A19" s="5" t="s">
        <v>225</v>
      </c>
      <c r="B19" s="52"/>
      <c r="C19" s="12"/>
      <c r="D19" s="12"/>
    </row>
    <row r="20" spans="1:4" ht="5" customHeight="1"/>
    <row r="21" spans="1:4" ht="20" customHeight="1">
      <c r="A21" s="3" t="s">
        <v>376</v>
      </c>
      <c r="B21" s="3"/>
      <c r="C21" s="3"/>
      <c r="D21" s="3"/>
    </row>
    <row r="22" spans="1:4">
      <c r="A22" s="5" t="s">
        <v>227</v>
      </c>
      <c r="B22" s="14" t="s">
        <v>377</v>
      </c>
      <c r="C22" s="12"/>
      <c r="D22" s="12"/>
    </row>
    <row r="23" spans="1:4">
      <c r="A23" s="5" t="s">
        <v>228</v>
      </c>
      <c r="B23" s="52"/>
      <c r="C23" s="12"/>
      <c r="D23" s="12"/>
    </row>
    <row r="24" spans="1:4">
      <c r="A24" s="5" t="s">
        <v>229</v>
      </c>
      <c r="B24" s="14" t="s">
        <v>378</v>
      </c>
      <c r="C24" s="12"/>
      <c r="D24" s="12"/>
    </row>
    <row r="25" spans="1:4">
      <c r="A25" s="5" t="s">
        <v>230</v>
      </c>
      <c r="B25" s="14" t="s">
        <v>379</v>
      </c>
      <c r="C25" s="12"/>
      <c r="D25" s="12"/>
    </row>
    <row r="26" spans="1:4" ht="5" customHeight="1"/>
    <row r="27" spans="1:4" ht="20" customHeight="1">
      <c r="A27" s="3" t="s">
        <v>380</v>
      </c>
      <c r="B27" s="3"/>
      <c r="C27" s="3"/>
      <c r="D27" s="3"/>
    </row>
    <row r="28" spans="1:4">
      <c r="A28" s="5" t="s">
        <v>72</v>
      </c>
      <c r="B28" s="52"/>
      <c r="C28" s="12"/>
      <c r="D28" s="12"/>
    </row>
    <row r="29" spans="1:4">
      <c r="A29" s="5" t="s">
        <v>232</v>
      </c>
      <c r="B29" s="52"/>
      <c r="C29" s="12"/>
      <c r="D29" s="12"/>
    </row>
    <row r="30" spans="1:4">
      <c r="A30" s="5" t="s">
        <v>233</v>
      </c>
      <c r="B30" s="52"/>
      <c r="C30" s="12"/>
      <c r="D30" s="12"/>
    </row>
    <row r="31" spans="1:4">
      <c r="A31" s="5" t="s">
        <v>234</v>
      </c>
      <c r="B31" s="14" t="s">
        <v>381</v>
      </c>
      <c r="C31" s="12"/>
      <c r="D31" s="12"/>
    </row>
    <row r="32" spans="1:4" ht="5" customHeight="1"/>
    <row r="33" spans="1:4" ht="20" customHeight="1">
      <c r="A33" s="3" t="s">
        <v>382</v>
      </c>
      <c r="B33" s="3"/>
      <c r="C33" s="3"/>
      <c r="D33" s="3"/>
    </row>
    <row r="34" spans="1:4">
      <c r="A34" s="5" t="s">
        <v>383</v>
      </c>
      <c r="B34" s="14" t="s">
        <v>384</v>
      </c>
      <c r="C34" s="12"/>
      <c r="D34" s="12"/>
    </row>
    <row r="35" spans="1:4">
      <c r="A35" s="5" t="s">
        <v>385</v>
      </c>
      <c r="B35" s="52"/>
      <c r="C35" s="12"/>
      <c r="D35" s="12"/>
    </row>
    <row r="36" spans="1:4">
      <c r="A36" s="5" t="s">
        <v>386</v>
      </c>
      <c r="B36" s="14" t="s">
        <v>387</v>
      </c>
      <c r="C36" s="12"/>
      <c r="D36" s="12"/>
    </row>
    <row r="37" spans="1:4">
      <c r="A37" s="5" t="s">
        <v>388</v>
      </c>
      <c r="B37" s="14" t="s">
        <v>389</v>
      </c>
      <c r="C37" s="12"/>
      <c r="D37" s="12"/>
    </row>
    <row r="38" spans="1:4" ht="5" customHeight="1"/>
    <row r="39" spans="1:4" ht="20" customHeight="1">
      <c r="A39" s="3" t="s">
        <v>390</v>
      </c>
      <c r="B39" s="3"/>
      <c r="C39" s="3"/>
      <c r="D39" s="3"/>
    </row>
    <row r="40" spans="1:4">
      <c r="A40" s="5" t="s">
        <v>238</v>
      </c>
      <c r="B40" s="14" t="s">
        <v>391</v>
      </c>
      <c r="C40" s="12"/>
      <c r="D40" s="12"/>
    </row>
    <row r="41" spans="1:4">
      <c r="A41" s="5" t="s">
        <v>240</v>
      </c>
      <c r="B41" s="14" t="s">
        <v>392</v>
      </c>
      <c r="C41" s="12"/>
      <c r="D41" s="12"/>
    </row>
    <row r="42" spans="1:4">
      <c r="A42" s="5" t="s">
        <v>393</v>
      </c>
      <c r="B42" s="14" t="s">
        <v>394</v>
      </c>
      <c r="C42" s="12"/>
      <c r="D42" s="12"/>
    </row>
    <row r="43" spans="1:4">
      <c r="A43" s="5" t="s">
        <v>251</v>
      </c>
      <c r="B43" s="14" t="s">
        <v>394</v>
      </c>
      <c r="C43" s="12"/>
      <c r="D43" s="12"/>
    </row>
    <row r="44" spans="1:4">
      <c r="A44" s="5" t="s">
        <v>258</v>
      </c>
      <c r="B44" s="14" t="s">
        <v>395</v>
      </c>
      <c r="C44" s="12"/>
      <c r="D44" s="12"/>
    </row>
    <row r="45" spans="1:4">
      <c r="A45" s="5" t="s">
        <v>260</v>
      </c>
      <c r="B45" s="14" t="s">
        <v>392</v>
      </c>
      <c r="C45" s="12"/>
      <c r="D45" s="12"/>
    </row>
    <row r="46" spans="1:4" ht="5" customHeight="1"/>
  </sheetData>
  <sheetProtection sheet="1" objects="1" scenarios="1" formatColumns="0" formatRows="0"/>
  <mergeCells count="12">
    <mergeCell ref="A1:D1"/>
    <mergeCell ref="A2:D2"/>
    <mergeCell ref="B3:C3"/>
    <mergeCell ref="B4:C4"/>
    <mergeCell ref="B5:C5"/>
    <mergeCell ref="B6:C6"/>
    <mergeCell ref="A8:D8"/>
    <mergeCell ref="A15:D15"/>
    <mergeCell ref="A21:D21"/>
    <mergeCell ref="A27:D27"/>
    <mergeCell ref="A33:D33"/>
    <mergeCell ref="A39:D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59669"/>
  </sheetPr>
  <dimension ref="A1:L27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3" width="10.7109375" customWidth="1"/>
    <col min="4" max="6" width="14.7109375" customWidth="1"/>
    <col min="7" max="7" width="8.7109375" customWidth="1"/>
    <col min="8" max="8" width="16.7109375" customWidth="1"/>
    <col min="9" max="9" width="15.7109375" customWidth="1"/>
    <col min="10" max="10" width="16.7109375" customWidth="1"/>
    <col min="11" max="11" width="14.7109375" customWidth="1"/>
    <col min="12" max="12" width="22.7109375" customWidth="1"/>
  </cols>
  <sheetData>
    <row r="1" spans="1:12" ht="26" customHeight="1">
      <c r="A1" s="1" t="s">
        <v>396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6" customHeight="1">
      <c r="A2" s="82" t="s">
        <v>397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5" customHeight="1"/>
    <row r="4" spans="1:12" ht="32" customHeight="1">
      <c r="A4" s="4" t="s">
        <v>398</v>
      </c>
      <c r="B4" s="4" t="s">
        <v>399</v>
      </c>
      <c r="C4" s="4" t="s">
        <v>400</v>
      </c>
      <c r="D4" s="4" t="s">
        <v>401</v>
      </c>
      <c r="E4" s="4" t="s">
        <v>402</v>
      </c>
      <c r="F4" s="4" t="s">
        <v>403</v>
      </c>
      <c r="G4" s="4" t="s">
        <v>404</v>
      </c>
      <c r="H4" s="4" t="s">
        <v>405</v>
      </c>
      <c r="I4" s="4" t="s">
        <v>406</v>
      </c>
      <c r="J4" s="4" t="s">
        <v>407</v>
      </c>
      <c r="K4" s="4" t="s">
        <v>408</v>
      </c>
      <c r="L4" s="4" t="s">
        <v>409</v>
      </c>
    </row>
    <row r="5" spans="1:12" ht="20" customHeight="1">
      <c r="A5" s="83"/>
      <c r="B5" s="83"/>
      <c r="C5" s="84"/>
      <c r="D5" s="84"/>
      <c r="E5" s="84"/>
      <c r="F5" s="84"/>
      <c r="G5" s="84"/>
      <c r="H5" s="85">
        <f>IFERROR(IF(A5="","",C5*D5*1.014),"")</f>
        <v>0</v>
      </c>
      <c r="I5" s="85">
        <f>IFERROR(IF(A5="","",C5*E5),"")</f>
        <v>0</v>
      </c>
      <c r="J5" s="85">
        <f>IFERROR(IF(A5="","",(C5*E5)-(C5*D5*1.014)+(C5*F5)),"")</f>
        <v>0</v>
      </c>
      <c r="K5" s="86">
        <f>IFERROR(IF(A5="","",J5/H5*100),"")</f>
        <v>0</v>
      </c>
      <c r="L5" s="87">
        <f>IFERROR(IF(A5="","—",IF(K5&lt;-10,"VENDRE — Stop-loss",IF(AND(G5&gt;=24,K5&gt;=0),"RENFORCER",IF(AND(G5&gt;=15,K5&gt;=-5),"CONSERVER","SURVEILLER")))),"—")</f>
        <v>0</v>
      </c>
    </row>
    <row r="6" spans="1:12" ht="20" customHeight="1">
      <c r="A6" s="83"/>
      <c r="B6" s="83"/>
      <c r="C6" s="84"/>
      <c r="D6" s="84"/>
      <c r="E6" s="84"/>
      <c r="F6" s="84"/>
      <c r="G6" s="84"/>
      <c r="H6" s="85">
        <f>IFERROR(IF(A6="","",C6*D6*1.014),"")</f>
        <v>0</v>
      </c>
      <c r="I6" s="85">
        <f>IFERROR(IF(A6="","",C6*E6),"")</f>
        <v>0</v>
      </c>
      <c r="J6" s="85">
        <f>IFERROR(IF(A6="","",(C6*E6)-(C6*D6*1.014)+(C6*F6)),"")</f>
        <v>0</v>
      </c>
      <c r="K6" s="86">
        <f>IFERROR(IF(A6="","",J6/H6*100),"")</f>
        <v>0</v>
      </c>
      <c r="L6" s="87">
        <f>IFERROR(IF(A6="","—",IF(K6&lt;-10,"VENDRE — Stop-loss",IF(AND(G6&gt;=24,K6&gt;=0),"RENFORCER",IF(AND(G6&gt;=15,K6&gt;=-5),"CONSERVER","SURVEILLER")))),"—")</f>
        <v>0</v>
      </c>
    </row>
    <row r="7" spans="1:12" ht="20" customHeight="1">
      <c r="A7" s="83"/>
      <c r="B7" s="83"/>
      <c r="C7" s="84"/>
      <c r="D7" s="84"/>
      <c r="E7" s="84"/>
      <c r="F7" s="84"/>
      <c r="G7" s="84"/>
      <c r="H7" s="85">
        <f>IFERROR(IF(A7="","",C7*D7*1.014),"")</f>
        <v>0</v>
      </c>
      <c r="I7" s="85">
        <f>IFERROR(IF(A7="","",C7*E7),"")</f>
        <v>0</v>
      </c>
      <c r="J7" s="85">
        <f>IFERROR(IF(A7="","",(C7*E7)-(C7*D7*1.014)+(C7*F7)),"")</f>
        <v>0</v>
      </c>
      <c r="K7" s="86">
        <f>IFERROR(IF(A7="","",J7/H7*100),"")</f>
        <v>0</v>
      </c>
      <c r="L7" s="87">
        <f>IFERROR(IF(A7="","—",IF(K7&lt;-10,"VENDRE — Stop-loss",IF(AND(G7&gt;=24,K7&gt;=0),"RENFORCER",IF(AND(G7&gt;=15,K7&gt;=-5),"CONSERVER","SURVEILLER")))),"—")</f>
        <v>0</v>
      </c>
    </row>
    <row r="8" spans="1:12" ht="20" customHeight="1">
      <c r="A8" s="83"/>
      <c r="B8" s="83"/>
      <c r="C8" s="84"/>
      <c r="D8" s="84"/>
      <c r="E8" s="84"/>
      <c r="F8" s="84"/>
      <c r="G8" s="84"/>
      <c r="H8" s="85">
        <f>IFERROR(IF(A8="","",C8*D8*1.014),"")</f>
        <v>0</v>
      </c>
      <c r="I8" s="85">
        <f>IFERROR(IF(A8="","",C8*E8),"")</f>
        <v>0</v>
      </c>
      <c r="J8" s="85">
        <f>IFERROR(IF(A8="","",(C8*E8)-(C8*D8*1.014)+(C8*F8)),"")</f>
        <v>0</v>
      </c>
      <c r="K8" s="86">
        <f>IFERROR(IF(A8="","",J8/H8*100),"")</f>
        <v>0</v>
      </c>
      <c r="L8" s="87">
        <f>IFERROR(IF(A8="","—",IF(K8&lt;-10,"VENDRE — Stop-loss",IF(AND(G8&gt;=24,K8&gt;=0),"RENFORCER",IF(AND(G8&gt;=15,K8&gt;=-5),"CONSERVER","SURVEILLER")))),"—")</f>
        <v>0</v>
      </c>
    </row>
    <row r="9" spans="1:12" ht="20" customHeight="1">
      <c r="A9" s="83"/>
      <c r="B9" s="83"/>
      <c r="C9" s="84"/>
      <c r="D9" s="84"/>
      <c r="E9" s="84"/>
      <c r="F9" s="84"/>
      <c r="G9" s="84"/>
      <c r="H9" s="85">
        <f>IFERROR(IF(A9="","",C9*D9*1.014),"")</f>
        <v>0</v>
      </c>
      <c r="I9" s="85">
        <f>IFERROR(IF(A9="","",C9*E9),"")</f>
        <v>0</v>
      </c>
      <c r="J9" s="85">
        <f>IFERROR(IF(A9="","",(C9*E9)-(C9*D9*1.014)+(C9*F9)),"")</f>
        <v>0</v>
      </c>
      <c r="K9" s="86">
        <f>IFERROR(IF(A9="","",J9/H9*100),"")</f>
        <v>0</v>
      </c>
      <c r="L9" s="87">
        <f>IFERROR(IF(A9="","—",IF(K9&lt;-10,"VENDRE — Stop-loss",IF(AND(G9&gt;=24,K9&gt;=0),"RENFORCER",IF(AND(G9&gt;=15,K9&gt;=-5),"CONSERVER","SURVEILLER")))),"—")</f>
        <v>0</v>
      </c>
    </row>
    <row r="10" spans="1:12" ht="20" customHeight="1">
      <c r="A10" s="83"/>
      <c r="B10" s="83"/>
      <c r="C10" s="84"/>
      <c r="D10" s="84"/>
      <c r="E10" s="84"/>
      <c r="F10" s="84"/>
      <c r="G10" s="84"/>
      <c r="H10" s="85">
        <f>IFERROR(IF(A10="","",C10*D10*1.014),"")</f>
        <v>0</v>
      </c>
      <c r="I10" s="85">
        <f>IFERROR(IF(A10="","",C10*E10),"")</f>
        <v>0</v>
      </c>
      <c r="J10" s="85">
        <f>IFERROR(IF(A10="","",(C10*E10)-(C10*D10*1.014)+(C10*F10)),"")</f>
        <v>0</v>
      </c>
      <c r="K10" s="86">
        <f>IFERROR(IF(A10="","",J10/H10*100),"")</f>
        <v>0</v>
      </c>
      <c r="L10" s="87">
        <f>IFERROR(IF(A10="","—",IF(K10&lt;-10,"VENDRE — Stop-loss",IF(AND(G10&gt;=24,K10&gt;=0),"RENFORCER",IF(AND(G10&gt;=15,K10&gt;=-5),"CONSERVER","SURVEILLER")))),"—")</f>
        <v>0</v>
      </c>
    </row>
    <row r="11" spans="1:12" ht="20" customHeight="1">
      <c r="A11" s="83"/>
      <c r="B11" s="83"/>
      <c r="C11" s="84"/>
      <c r="D11" s="84"/>
      <c r="E11" s="84"/>
      <c r="F11" s="84"/>
      <c r="G11" s="84"/>
      <c r="H11" s="85">
        <f>IFERROR(IF(A11="","",C11*D11*1.014),"")</f>
        <v>0</v>
      </c>
      <c r="I11" s="85">
        <f>IFERROR(IF(A11="","",C11*E11),"")</f>
        <v>0</v>
      </c>
      <c r="J11" s="85">
        <f>IFERROR(IF(A11="","",(C11*E11)-(C11*D11*1.014)+(C11*F11)),"")</f>
        <v>0</v>
      </c>
      <c r="K11" s="86">
        <f>IFERROR(IF(A11="","",J11/H11*100),"")</f>
        <v>0</v>
      </c>
      <c r="L11" s="87">
        <f>IFERROR(IF(A11="","—",IF(K11&lt;-10,"VENDRE — Stop-loss",IF(AND(G11&gt;=24,K11&gt;=0),"RENFORCER",IF(AND(G11&gt;=15,K11&gt;=-5),"CONSERVER","SURVEILLER")))),"—")</f>
        <v>0</v>
      </c>
    </row>
    <row r="12" spans="1:12" ht="20" customHeight="1">
      <c r="A12" s="83"/>
      <c r="B12" s="83"/>
      <c r="C12" s="84"/>
      <c r="D12" s="84"/>
      <c r="E12" s="84"/>
      <c r="F12" s="84"/>
      <c r="G12" s="84"/>
      <c r="H12" s="85">
        <f>IFERROR(IF(A12="","",C12*D12*1.014),"")</f>
        <v>0</v>
      </c>
      <c r="I12" s="85">
        <f>IFERROR(IF(A12="","",C12*E12),"")</f>
        <v>0</v>
      </c>
      <c r="J12" s="85">
        <f>IFERROR(IF(A12="","",(C12*E12)-(C12*D12*1.014)+(C12*F12)),"")</f>
        <v>0</v>
      </c>
      <c r="K12" s="86">
        <f>IFERROR(IF(A12="","",J12/H12*100),"")</f>
        <v>0</v>
      </c>
      <c r="L12" s="87">
        <f>IFERROR(IF(A12="","—",IF(K12&lt;-10,"VENDRE — Stop-loss",IF(AND(G12&gt;=24,K12&gt;=0),"RENFORCER",IF(AND(G12&gt;=15,K12&gt;=-5),"CONSERVER","SURVEILLER")))),"—")</f>
        <v>0</v>
      </c>
    </row>
    <row r="13" spans="1:12" ht="20" customHeight="1">
      <c r="A13" s="83"/>
      <c r="B13" s="83"/>
      <c r="C13" s="84"/>
      <c r="D13" s="84"/>
      <c r="E13" s="84"/>
      <c r="F13" s="84"/>
      <c r="G13" s="84"/>
      <c r="H13" s="85">
        <f>IFERROR(IF(A13="","",C13*D13*1.014),"")</f>
        <v>0</v>
      </c>
      <c r="I13" s="85">
        <f>IFERROR(IF(A13="","",C13*E13),"")</f>
        <v>0</v>
      </c>
      <c r="J13" s="85">
        <f>IFERROR(IF(A13="","",(C13*E13)-(C13*D13*1.014)+(C13*F13)),"")</f>
        <v>0</v>
      </c>
      <c r="K13" s="86">
        <f>IFERROR(IF(A13="","",J13/H13*100),"")</f>
        <v>0</v>
      </c>
      <c r="L13" s="87">
        <f>IFERROR(IF(A13="","—",IF(K13&lt;-10,"VENDRE — Stop-loss",IF(AND(G13&gt;=24,K13&gt;=0),"RENFORCER",IF(AND(G13&gt;=15,K13&gt;=-5),"CONSERVER","SURVEILLER")))),"—")</f>
        <v>0</v>
      </c>
    </row>
    <row r="14" spans="1:12" ht="20" customHeight="1">
      <c r="A14" s="83"/>
      <c r="B14" s="83"/>
      <c r="C14" s="84"/>
      <c r="D14" s="84"/>
      <c r="E14" s="84"/>
      <c r="F14" s="84"/>
      <c r="G14" s="84"/>
      <c r="H14" s="85">
        <f>IFERROR(IF(A14="","",C14*D14*1.014),"")</f>
        <v>0</v>
      </c>
      <c r="I14" s="85">
        <f>IFERROR(IF(A14="","",C14*E14),"")</f>
        <v>0</v>
      </c>
      <c r="J14" s="85">
        <f>IFERROR(IF(A14="","",(C14*E14)-(C14*D14*1.014)+(C14*F14)),"")</f>
        <v>0</v>
      </c>
      <c r="K14" s="86">
        <f>IFERROR(IF(A14="","",J14/H14*100),"")</f>
        <v>0</v>
      </c>
      <c r="L14" s="87">
        <f>IFERROR(IF(A14="","—",IF(K14&lt;-10,"VENDRE — Stop-loss",IF(AND(G14&gt;=24,K14&gt;=0),"RENFORCER",IF(AND(G14&gt;=15,K14&gt;=-5),"CONSERVER","SURVEILLER")))),"—")</f>
        <v>0</v>
      </c>
    </row>
    <row r="15" spans="1:12" ht="20" customHeight="1">
      <c r="A15" s="83"/>
      <c r="B15" s="83"/>
      <c r="C15" s="84"/>
      <c r="D15" s="84"/>
      <c r="E15" s="84"/>
      <c r="F15" s="84"/>
      <c r="G15" s="84"/>
      <c r="H15" s="85">
        <f>IFERROR(IF(A15="","",C15*D15*1.014),"")</f>
        <v>0</v>
      </c>
      <c r="I15" s="85">
        <f>IFERROR(IF(A15="","",C15*E15),"")</f>
        <v>0</v>
      </c>
      <c r="J15" s="85">
        <f>IFERROR(IF(A15="","",(C15*E15)-(C15*D15*1.014)+(C15*F15)),"")</f>
        <v>0</v>
      </c>
      <c r="K15" s="86">
        <f>IFERROR(IF(A15="","",J15/H15*100),"")</f>
        <v>0</v>
      </c>
      <c r="L15" s="87">
        <f>IFERROR(IF(A15="","—",IF(K15&lt;-10,"VENDRE — Stop-loss",IF(AND(G15&gt;=24,K15&gt;=0),"RENFORCER",IF(AND(G15&gt;=15,K15&gt;=-5),"CONSERVER","SURVEILLER")))),"—")</f>
        <v>0</v>
      </c>
    </row>
    <row r="16" spans="1:12" ht="20" customHeight="1">
      <c r="A16" s="83"/>
      <c r="B16" s="83"/>
      <c r="C16" s="84"/>
      <c r="D16" s="84"/>
      <c r="E16" s="84"/>
      <c r="F16" s="84"/>
      <c r="G16" s="84"/>
      <c r="H16" s="85">
        <f>IFERROR(IF(A16="","",C16*D16*1.014),"")</f>
        <v>0</v>
      </c>
      <c r="I16" s="85">
        <f>IFERROR(IF(A16="","",C16*E16),"")</f>
        <v>0</v>
      </c>
      <c r="J16" s="85">
        <f>IFERROR(IF(A16="","",(C16*E16)-(C16*D16*1.014)+(C16*F16)),"")</f>
        <v>0</v>
      </c>
      <c r="K16" s="86">
        <f>IFERROR(IF(A16="","",J16/H16*100),"")</f>
        <v>0</v>
      </c>
      <c r="L16" s="87">
        <f>IFERROR(IF(A16="","—",IF(K16&lt;-10,"VENDRE — Stop-loss",IF(AND(G16&gt;=24,K16&gt;=0),"RENFORCER",IF(AND(G16&gt;=15,K16&gt;=-5),"CONSERVER","SURVEILLER")))),"—")</f>
        <v>0</v>
      </c>
    </row>
    <row r="17" spans="1:12" ht="20" customHeight="1">
      <c r="A17" s="83"/>
      <c r="B17" s="83"/>
      <c r="C17" s="84"/>
      <c r="D17" s="84"/>
      <c r="E17" s="84"/>
      <c r="F17" s="84"/>
      <c r="G17" s="84"/>
      <c r="H17" s="85">
        <f>IFERROR(IF(A17="","",C17*D17*1.014),"")</f>
        <v>0</v>
      </c>
      <c r="I17" s="85">
        <f>IFERROR(IF(A17="","",C17*E17),"")</f>
        <v>0</v>
      </c>
      <c r="J17" s="85">
        <f>IFERROR(IF(A17="","",(C17*E17)-(C17*D17*1.014)+(C17*F17)),"")</f>
        <v>0</v>
      </c>
      <c r="K17" s="86">
        <f>IFERROR(IF(A17="","",J17/H17*100),"")</f>
        <v>0</v>
      </c>
      <c r="L17" s="87">
        <f>IFERROR(IF(A17="","—",IF(K17&lt;-10,"VENDRE — Stop-loss",IF(AND(G17&gt;=24,K17&gt;=0),"RENFORCER",IF(AND(G17&gt;=15,K17&gt;=-5),"CONSERVER","SURVEILLER")))),"—")</f>
        <v>0</v>
      </c>
    </row>
    <row r="18" spans="1:12" ht="20" customHeight="1">
      <c r="A18" s="83"/>
      <c r="B18" s="83"/>
      <c r="C18" s="84"/>
      <c r="D18" s="84"/>
      <c r="E18" s="84"/>
      <c r="F18" s="84"/>
      <c r="G18" s="84"/>
      <c r="H18" s="85">
        <f>IFERROR(IF(A18="","",C18*D18*1.014),"")</f>
        <v>0</v>
      </c>
      <c r="I18" s="85">
        <f>IFERROR(IF(A18="","",C18*E18),"")</f>
        <v>0</v>
      </c>
      <c r="J18" s="85">
        <f>IFERROR(IF(A18="","",(C18*E18)-(C18*D18*1.014)+(C18*F18)),"")</f>
        <v>0</v>
      </c>
      <c r="K18" s="86">
        <f>IFERROR(IF(A18="","",J18/H18*100),"")</f>
        <v>0</v>
      </c>
      <c r="L18" s="87">
        <f>IFERROR(IF(A18="","—",IF(K18&lt;-10,"VENDRE — Stop-loss",IF(AND(G18&gt;=24,K18&gt;=0),"RENFORCER",IF(AND(G18&gt;=15,K18&gt;=-5),"CONSERVER","SURVEILLER")))),"—")</f>
        <v>0</v>
      </c>
    </row>
    <row r="19" spans="1:12" ht="20" customHeight="1">
      <c r="A19" s="83"/>
      <c r="B19" s="83"/>
      <c r="C19" s="84"/>
      <c r="D19" s="84"/>
      <c r="E19" s="84"/>
      <c r="F19" s="84"/>
      <c r="G19" s="84"/>
      <c r="H19" s="85">
        <f>IFERROR(IF(A19="","",C19*D19*1.014),"")</f>
        <v>0</v>
      </c>
      <c r="I19" s="85">
        <f>IFERROR(IF(A19="","",C19*E19),"")</f>
        <v>0</v>
      </c>
      <c r="J19" s="85">
        <f>IFERROR(IF(A19="","",(C19*E19)-(C19*D19*1.014)+(C19*F19)),"")</f>
        <v>0</v>
      </c>
      <c r="K19" s="86">
        <f>IFERROR(IF(A19="","",J19/H19*100),"")</f>
        <v>0</v>
      </c>
      <c r="L19" s="87">
        <f>IFERROR(IF(A19="","—",IF(K19&lt;-10,"VENDRE — Stop-loss",IF(AND(G19&gt;=24,K19&gt;=0),"RENFORCER",IF(AND(G19&gt;=15,K19&gt;=-5),"CONSERVER","SURVEILLER")))),"—")</f>
        <v>0</v>
      </c>
    </row>
    <row r="20" spans="1:12" ht="5" customHeight="1"/>
    <row r="21" spans="1:12" ht="22" customHeight="1">
      <c r="A21" s="20" t="s">
        <v>410</v>
      </c>
      <c r="B21" s="88"/>
      <c r="C21" s="88"/>
      <c r="D21" s="88"/>
      <c r="E21" s="88"/>
      <c r="F21" s="88"/>
      <c r="G21" s="88"/>
      <c r="H21" s="89">
        <f>IFERROR(SUMIF(A5:A19,"&lt;&gt;",H5:H19),"")</f>
        <v>0</v>
      </c>
      <c r="I21" s="89">
        <f>IFERROR(SUMIF(A5:A19,"&lt;&gt;",I5:I19),"")</f>
        <v>0</v>
      </c>
      <c r="J21" s="89">
        <f>IFERROR(SUMIF(A5:A19,"&lt;&gt;",J5:J19),"")</f>
        <v>0</v>
      </c>
      <c r="K21" s="90">
        <f>IFERROR(J21/H21*100,"")</f>
        <v>0</v>
      </c>
      <c r="L21" s="87">
        <f>IFERROR(IF(J21/H21*100&gt;15,"Portefeuille PERFORMANT",IF(J21/H21*100&gt;0,"Portefeuille POSITIF","Portefeuille EN PERTE")),"")</f>
        <v>0</v>
      </c>
    </row>
    <row r="22" spans="1:12" ht="8" customHeight="1"/>
    <row r="23" spans="1:12" ht="18" customHeight="1">
      <c r="A23" s="91" t="s">
        <v>411</v>
      </c>
      <c r="B23" s="91"/>
      <c r="C23" s="91"/>
      <c r="D23" s="91"/>
      <c r="E23" s="91"/>
      <c r="F23" s="91"/>
      <c r="G23" s="91"/>
      <c r="H23" s="91"/>
      <c r="I23" s="91"/>
      <c r="J23" s="91"/>
      <c r="K23" s="91"/>
      <c r="L23" s="91"/>
    </row>
    <row r="24" spans="1:12" ht="16" customHeight="1">
      <c r="A24" s="92" t="s">
        <v>412</v>
      </c>
      <c r="B24" s="93" t="s">
        <v>413</v>
      </c>
      <c r="C24" s="93"/>
      <c r="D24" s="93"/>
      <c r="E24" s="93"/>
      <c r="F24" s="93"/>
      <c r="G24" s="93"/>
      <c r="H24" s="93"/>
      <c r="I24" s="93"/>
      <c r="J24" s="93"/>
      <c r="K24" s="93"/>
      <c r="L24" s="93"/>
    </row>
    <row r="25" spans="1:12" ht="16" customHeight="1">
      <c r="A25" s="92" t="s">
        <v>414</v>
      </c>
      <c r="B25" s="93" t="s">
        <v>415</v>
      </c>
      <c r="C25" s="93"/>
      <c r="D25" s="93"/>
      <c r="E25" s="93"/>
      <c r="F25" s="93"/>
      <c r="G25" s="93"/>
      <c r="H25" s="93"/>
      <c r="I25" s="93"/>
      <c r="J25" s="93"/>
      <c r="K25" s="93"/>
      <c r="L25" s="93"/>
    </row>
    <row r="26" spans="1:12" ht="16" customHeight="1">
      <c r="A26" s="92" t="s">
        <v>416</v>
      </c>
      <c r="B26" s="93" t="s">
        <v>417</v>
      </c>
      <c r="C26" s="93"/>
      <c r="D26" s="93"/>
      <c r="E26" s="93"/>
      <c r="F26" s="93"/>
      <c r="G26" s="93"/>
      <c r="H26" s="93"/>
      <c r="I26" s="93"/>
      <c r="J26" s="93"/>
      <c r="K26" s="93"/>
      <c r="L26" s="93"/>
    </row>
    <row r="27" spans="1:12" ht="16" customHeight="1">
      <c r="A27" s="92" t="s">
        <v>418</v>
      </c>
      <c r="B27" s="93" t="s">
        <v>419</v>
      </c>
      <c r="C27" s="93"/>
      <c r="D27" s="93"/>
      <c r="E27" s="93"/>
      <c r="F27" s="93"/>
      <c r="G27" s="93"/>
      <c r="H27" s="93"/>
      <c r="I27" s="93"/>
      <c r="J27" s="93"/>
      <c r="K27" s="93"/>
      <c r="L27" s="93"/>
    </row>
  </sheetData>
  <sheetProtection sheet="1" objects="1" scenarios="1" formatColumns="0" formatRows="0"/>
  <mergeCells count="7">
    <mergeCell ref="A1:L1"/>
    <mergeCell ref="A2:L2"/>
    <mergeCell ref="A23:L23"/>
    <mergeCell ref="B24:L24"/>
    <mergeCell ref="B25:L25"/>
    <mergeCell ref="B26:L26"/>
    <mergeCell ref="B27:L2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74151"/>
  </sheetPr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420</v>
      </c>
      <c r="B1" s="1"/>
      <c r="C1" s="1"/>
      <c r="D1" s="1"/>
    </row>
    <row r="2" spans="1:4">
      <c r="A2" s="94" t="s">
        <v>66</v>
      </c>
      <c r="B2" s="94" t="s">
        <v>421</v>
      </c>
      <c r="C2" s="94" t="s">
        <v>422</v>
      </c>
      <c r="D2" s="94" t="s">
        <v>423</v>
      </c>
    </row>
    <row r="3" spans="1:4" ht="18" customHeight="1">
      <c r="A3" s="60" t="s">
        <v>424</v>
      </c>
      <c r="B3" s="60"/>
      <c r="C3" s="60"/>
      <c r="D3" s="60"/>
    </row>
    <row r="4" spans="1:4" ht="28" customHeight="1">
      <c r="A4" s="20" t="s">
        <v>425</v>
      </c>
      <c r="B4" s="95" t="s">
        <v>426</v>
      </c>
      <c r="C4" s="69" t="s">
        <v>427</v>
      </c>
      <c r="D4" s="96" t="s">
        <v>428</v>
      </c>
    </row>
    <row r="5" spans="1:4" ht="28" customHeight="1">
      <c r="A5" s="20" t="s">
        <v>429</v>
      </c>
      <c r="B5" s="95" t="s">
        <v>430</v>
      </c>
      <c r="C5" s="69" t="s">
        <v>427</v>
      </c>
      <c r="D5" s="96" t="s">
        <v>431</v>
      </c>
    </row>
    <row r="6" spans="1:4" ht="28" customHeight="1">
      <c r="A6" s="20" t="s">
        <v>432</v>
      </c>
      <c r="B6" s="95" t="s">
        <v>433</v>
      </c>
      <c r="C6" s="69" t="s">
        <v>427</v>
      </c>
      <c r="D6" s="96" t="s">
        <v>434</v>
      </c>
    </row>
    <row r="7" spans="1:4" ht="28" customHeight="1">
      <c r="A7" s="20" t="s">
        <v>323</v>
      </c>
      <c r="B7" s="95" t="s">
        <v>435</v>
      </c>
      <c r="C7" s="69" t="s">
        <v>436</v>
      </c>
      <c r="D7" s="96" t="s">
        <v>437</v>
      </c>
    </row>
    <row r="8" spans="1:4" ht="28" customHeight="1">
      <c r="A8" s="20" t="s">
        <v>438</v>
      </c>
      <c r="B8" s="95" t="s">
        <v>439</v>
      </c>
      <c r="C8" s="69" t="s">
        <v>440</v>
      </c>
      <c r="D8" s="96" t="s">
        <v>441</v>
      </c>
    </row>
    <row r="9" spans="1:4" ht="28" customHeight="1">
      <c r="A9" s="20" t="s">
        <v>325</v>
      </c>
      <c r="B9" s="95" t="s">
        <v>442</v>
      </c>
      <c r="C9" s="69" t="s">
        <v>436</v>
      </c>
      <c r="D9" s="96" t="s">
        <v>443</v>
      </c>
    </row>
    <row r="10" spans="1:4" ht="28" customHeight="1">
      <c r="A10" s="20" t="s">
        <v>444</v>
      </c>
      <c r="B10" s="95" t="s">
        <v>445</v>
      </c>
      <c r="C10" s="69" t="s">
        <v>427</v>
      </c>
      <c r="D10" s="96" t="s">
        <v>446</v>
      </c>
    </row>
    <row r="11" spans="1:4" ht="28" customHeight="1">
      <c r="A11" s="20" t="s">
        <v>447</v>
      </c>
      <c r="B11" s="95" t="s">
        <v>448</v>
      </c>
      <c r="C11" s="69"/>
      <c r="D11" s="96" t="s">
        <v>449</v>
      </c>
    </row>
    <row r="12" spans="1:4" ht="28" customHeight="1">
      <c r="A12" s="20" t="s">
        <v>450</v>
      </c>
      <c r="B12" s="95" t="s">
        <v>451</v>
      </c>
      <c r="C12" s="69" t="s">
        <v>427</v>
      </c>
      <c r="D12" s="96" t="s">
        <v>452</v>
      </c>
    </row>
    <row r="13" spans="1:4" ht="28" customHeight="1">
      <c r="A13" s="20" t="s">
        <v>453</v>
      </c>
      <c r="B13" s="95" t="s">
        <v>454</v>
      </c>
      <c r="C13" s="69" t="s">
        <v>427</v>
      </c>
      <c r="D13" s="96" t="s">
        <v>455</v>
      </c>
    </row>
    <row r="14" spans="1:4" ht="18" customHeight="1">
      <c r="A14" s="60" t="s">
        <v>456</v>
      </c>
      <c r="B14" s="60"/>
      <c r="C14" s="60"/>
      <c r="D14" s="60"/>
    </row>
    <row r="15" spans="1:4" ht="28" customHeight="1">
      <c r="A15" s="20" t="s">
        <v>457</v>
      </c>
      <c r="B15" s="95" t="s">
        <v>458</v>
      </c>
      <c r="C15" s="69" t="s">
        <v>440</v>
      </c>
      <c r="D15" s="96" t="s">
        <v>459</v>
      </c>
    </row>
    <row r="16" spans="1:4" ht="28" customHeight="1">
      <c r="A16" s="20" t="s">
        <v>460</v>
      </c>
      <c r="B16" s="95" t="s">
        <v>461</v>
      </c>
      <c r="C16" s="69"/>
      <c r="D16" s="96" t="s">
        <v>462</v>
      </c>
    </row>
    <row r="17" spans="1:4" ht="28" customHeight="1">
      <c r="A17" s="20" t="s">
        <v>108</v>
      </c>
      <c r="B17" s="95" t="s">
        <v>461</v>
      </c>
      <c r="C17" s="69"/>
      <c r="D17" s="96" t="s">
        <v>463</v>
      </c>
    </row>
    <row r="18" spans="1:4" ht="28" customHeight="1">
      <c r="A18" s="20" t="s">
        <v>133</v>
      </c>
      <c r="B18" s="95" t="s">
        <v>464</v>
      </c>
      <c r="C18" s="69" t="s">
        <v>436</v>
      </c>
      <c r="D18" s="96" t="s">
        <v>465</v>
      </c>
    </row>
    <row r="19" spans="1:4" ht="28" customHeight="1">
      <c r="A19" s="20" t="s">
        <v>466</v>
      </c>
      <c r="B19" s="95" t="s">
        <v>467</v>
      </c>
      <c r="C19" s="69" t="s">
        <v>440</v>
      </c>
      <c r="D19" s="96" t="s">
        <v>468</v>
      </c>
    </row>
    <row r="20" spans="1:4" ht="28" customHeight="1">
      <c r="A20" s="20" t="s">
        <v>469</v>
      </c>
      <c r="B20" s="95" t="s">
        <v>470</v>
      </c>
      <c r="C20" s="69" t="s">
        <v>440</v>
      </c>
      <c r="D20" s="96" t="s">
        <v>471</v>
      </c>
    </row>
    <row r="21" spans="1:4" ht="18" customHeight="1">
      <c r="A21" s="60" t="s">
        <v>472</v>
      </c>
      <c r="B21" s="60"/>
      <c r="C21" s="60"/>
      <c r="D21" s="60"/>
    </row>
    <row r="22" spans="1:4" ht="28" customHeight="1">
      <c r="A22" s="20" t="s">
        <v>473</v>
      </c>
      <c r="B22" s="95" t="s">
        <v>474</v>
      </c>
      <c r="C22" s="69" t="s">
        <v>440</v>
      </c>
      <c r="D22" s="96" t="s">
        <v>475</v>
      </c>
    </row>
    <row r="23" spans="1:4" ht="28" customHeight="1">
      <c r="A23" s="20" t="s">
        <v>476</v>
      </c>
      <c r="B23" s="95" t="s">
        <v>477</v>
      </c>
      <c r="C23" s="69" t="s">
        <v>478</v>
      </c>
      <c r="D23" s="96" t="s">
        <v>479</v>
      </c>
    </row>
    <row r="24" spans="1:4" ht="28" customHeight="1">
      <c r="A24" s="20" t="s">
        <v>480</v>
      </c>
      <c r="B24" s="95" t="s">
        <v>481</v>
      </c>
      <c r="C24" s="69" t="s">
        <v>440</v>
      </c>
      <c r="D24" s="96" t="s">
        <v>482</v>
      </c>
    </row>
    <row r="25" spans="1:4" ht="28" customHeight="1">
      <c r="A25" s="20" t="s">
        <v>483</v>
      </c>
      <c r="B25" s="95" t="s">
        <v>484</v>
      </c>
      <c r="C25" s="69" t="s">
        <v>440</v>
      </c>
      <c r="D25" s="96" t="s">
        <v>485</v>
      </c>
    </row>
  </sheetData>
  <sheetProtection sheet="1" objects="1" scenarios="1" formatColumns="0" formatRows="0"/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ETUDE</vt:lpstr>
      <vt:lpstr>SYNTHESE</vt:lpstr>
      <vt:lpstr>PROFIL</vt:lpstr>
      <vt:lpstr>PORTEFEUILLE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2026-05-15T13:16:20Z</dcterms:created>
  <dcterms:modified xsi:type="dcterms:W3CDTF">2026-05-15T13:16:20Z</dcterms:modified>
</cp:coreProperties>
</file>