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APPORT" sheetId="1" r:id="rId1"/>
    <sheet name="ETUDE" sheetId="2" r:id="rId2"/>
    <sheet name="SYNTHESE" sheetId="3" r:id="rId3"/>
    <sheet name="PROFIL" sheetId="4" r:id="rId4"/>
    <sheet name="PORTEFEUILLE" sheetId="5" r:id="rId5"/>
    <sheet name="FORMULE" sheetId="6" r:id="rId6"/>
  </sheets>
  <definedNames>
    <definedName name="_xlnm.Print_Area" localSheetId="0">RAPPORT!$A$1:$E$36</definedName>
  </definedNames>
  <calcPr calcId="124519" fullCalcOnLoad="1"/>
</workbook>
</file>

<file path=xl/sharedStrings.xml><?xml version="1.0" encoding="utf-8"?>
<sst xmlns="http://schemas.openxmlformats.org/spreadsheetml/2006/main" count="730" uniqueCount="577">
  <si>
    <t>FICHE D'ANALYSE BOURSIERE BRVM</t>
  </si>
  <si>
    <t>METRIQUES CLES</t>
  </si>
  <si>
    <t>SCORECARD</t>
  </si>
  <si>
    <t>Prix actuel (FCFA)</t>
  </si>
  <si>
    <t>PER</t>
  </si>
  <si>
    <t>PBR</t>
  </si>
  <si>
    <t>ROE (%)</t>
  </si>
  <si>
    <t>VMC — capitalisation</t>
  </si>
  <si>
    <t>Valeur Intrinseque VI</t>
  </si>
  <si>
    <t>Score Fondamental</t>
  </si>
  <si>
    <t>Score Technique</t>
  </si>
  <si>
    <t>SCORE TOTAL /45</t>
  </si>
  <si>
    <t>Signal VI</t>
  </si>
  <si>
    <t>SIGNAL CONTRARIAN BRVM</t>
  </si>
  <si>
    <t>Score Contrarian (/10)</t>
  </si>
  <si>
    <t>Verdict</t>
  </si>
  <si>
    <t>ANALYSE CYCLIQUE  (si applicable — Section G de ETUDE)</t>
  </si>
  <si>
    <t>Indice cycle matières premières</t>
  </si>
  <si>
    <t>PER normalisé cycle</t>
  </si>
  <si>
    <t>Verdict cyclique</t>
  </si>
  <si>
    <t>RECOMMANDATION DE L'ANALYSTE</t>
  </si>
  <si>
    <t>SIGNATURE DE L'ANALYSTE</t>
  </si>
  <si>
    <t>Nom de l'analyste</t>
  </si>
  <si>
    <t>Cabinet / Firme</t>
  </si>
  <si>
    <t>Date du rapport</t>
  </si>
  <si>
    <t>━━━━━━━━━━━━━━━━━━━━━━━━━━━━━━━━━━━━━━━━━━━━━━━━━━━━━━━━━━━━━━━━━━━━━━━━━━━━━━━━━━━━</t>
  </si>
  <si>
    <t>AVERTISSEMENT — Ce document est produit à titre informatif uniquement et ne constitue pas une offre d'achat ou de vente de valeurs mobilières. Les données proviennent de sources réputées fiables mais leur exactitude n'est pas garantie. Les performances passées ne préjugent pas des performances futures. Tout investissement comporte un risque de perte en capital. BRVM — Bourse Régionale des Valeurs Mobilières, UEMOA.</t>
  </si>
  <si>
    <t>Document genere automatiquement — Modele BRVM Analyzer</t>
  </si>
  <si>
    <t>A — ANALYSE FONDAMENTALE</t>
  </si>
  <si>
    <t>A1 — CHIFFRE D'AFFAIRES ou PRODUIT NET BANCAIRE (en millions FCFA)</t>
  </si>
  <si>
    <t>N-4</t>
  </si>
  <si>
    <t>N-3</t>
  </si>
  <si>
    <t>N-2</t>
  </si>
  <si>
    <t>N-1</t>
  </si>
  <si>
    <t>N (dernier)</t>
  </si>
  <si>
    <t>Croissance N/N-4 %</t>
  </si>
  <si>
    <t>TCAM 4 ans %</t>
  </si>
  <si>
    <t>CA / PNB</t>
  </si>
  <si>
    <t>A2 — RESULTAT NET (en millions FCFA)</t>
  </si>
  <si>
    <t>Resultat Net</t>
  </si>
  <si>
    <t>A3 — MARGE NETTE (RN / CA x 100) — 5 dernieres annees</t>
  </si>
  <si>
    <t>Annee</t>
  </si>
  <si>
    <t>RN (M FCFA)</t>
  </si>
  <si>
    <t>CA/PNB (M FCFA)</t>
  </si>
  <si>
    <t>Marge %</t>
  </si>
  <si>
    <t>Interpretation</t>
  </si>
  <si>
    <t>Seuil</t>
  </si>
  <si>
    <t>Moyenne 5 ans %</t>
  </si>
  <si>
    <t>&gt; 5% = bon</t>
  </si>
  <si>
    <t>N</t>
  </si>
  <si>
    <t>A4 — INDICATEURS DE VALORISATION</t>
  </si>
  <si>
    <t>Indicateur [formule]</t>
  </si>
  <si>
    <t>Valeur calculee</t>
  </si>
  <si>
    <t>Zone reference</t>
  </si>
  <si>
    <t>Signal</t>
  </si>
  <si>
    <t>Prix actuel de l'action (FCFA)</t>
  </si>
  <si>
    <t>&lt;-- Saisir le prix actuel</t>
  </si>
  <si>
    <t>BNPA — Benefice Net Par Action (FCFA)</t>
  </si>
  <si>
    <t>&lt;-- RN / Nb titres (rapport annuel)</t>
  </si>
  <si>
    <t>Capitaux Propres (FCFA)</t>
  </si>
  <si>
    <t>&lt;-- Bilan comptable</t>
  </si>
  <si>
    <t>Capitalisation boursiere (FCFA)</t>
  </si>
  <si>
    <t>&lt;-- Prix x Nb titres</t>
  </si>
  <si>
    <t>Nombre de titres en circulation</t>
  </si>
  <si>
    <t>&lt;-- Auto depuis PROFIL onglet (Capital &amp; Actionnariat)</t>
  </si>
  <si>
    <t>PER — Price Earning Ratio  [= Prix / BNPA]</t>
  </si>
  <si>
    <t>Zone : 9-15</t>
  </si>
  <si>
    <t>VMC — Valeur Mathematique Comptable  [= Capitaux Propres / Nb titres]</t>
  </si>
  <si>
    <t>Prix &lt; VMC = bon</t>
  </si>
  <si>
    <t>PBR — Price to Book Ratio  [= Capitalisation / Capitaux Propres]</t>
  </si>
  <si>
    <t>&lt; 1 = decote</t>
  </si>
  <si>
    <t>ROE — Return on Equity (%)  [= RN / Capitaux Propres x 100]</t>
  </si>
  <si>
    <t>&gt; 10% = bon</t>
  </si>
  <si>
    <t>RVC — PER x PBR (Lynch)  [= PER x PBR]</t>
  </si>
  <si>
    <t>&lt; 22 = decote</t>
  </si>
  <si>
    <t>A5 — DIVIDENDES &amp; TAUX DE DISTRIBUTION</t>
  </si>
  <si>
    <t>Dividende NET recu (FCFA)</t>
  </si>
  <si>
    <t>BNPA (FCFA)</t>
  </si>
  <si>
    <t>Taux distrib. %</t>
  </si>
  <si>
    <t>Rendement %</t>
  </si>
  <si>
    <t>Progression %</t>
  </si>
  <si>
    <t>Dividende NET = montant effectivement recu apres prelevement 15% a la source. Taux distribution = (Div NET / 0,85) / BNPA x 100  (reconstitution du brut)</t>
  </si>
  <si>
    <t>TOTAL / MOYENNE</t>
  </si>
  <si>
    <t>A6 — FONDS PROPRES (FCFA)</t>
  </si>
  <si>
    <t>Composante</t>
  </si>
  <si>
    <t>Annee N-1</t>
  </si>
  <si>
    <t>Annee N</t>
  </si>
  <si>
    <t>Variation %</t>
  </si>
  <si>
    <t>Capital souscrit</t>
  </si>
  <si>
    <t>Reserves</t>
  </si>
  <si>
    <t>Report a nouveau</t>
  </si>
  <si>
    <t>Dividendes verses</t>
  </si>
  <si>
    <t>TOTAL FONDS PROPRES</t>
  </si>
  <si>
    <t>A7 — NOTATION FINANCIERE &amp; ACTIVITES RECENTES</t>
  </si>
  <si>
    <t>Indicateur</t>
  </si>
  <si>
    <t>Valeur</t>
  </si>
  <si>
    <t>Source</t>
  </si>
  <si>
    <t>Date rapport</t>
  </si>
  <si>
    <t>Notation court terme</t>
  </si>
  <si>
    <t>A1</t>
  </si>
  <si>
    <t>Agence de notation</t>
  </si>
  <si>
    <t>Notation long terme</t>
  </si>
  <si>
    <t>A+</t>
  </si>
  <si>
    <t>Variation CA/PNB (dernier trimestre)</t>
  </si>
  <si>
    <t>RichBourse</t>
  </si>
  <si>
    <t>Variation Resultat Net (dernier trimestre)</t>
  </si>
  <si>
    <t>A8 — COMPARAISON MARCHE BOURSIER VS EPARGNE</t>
  </si>
  <si>
    <t>Parametre</t>
  </si>
  <si>
    <t>Marche Boursier</t>
  </si>
  <si>
    <t>Epargne (saisir rendement %)</t>
  </si>
  <si>
    <t>Montant investi (FCFA)</t>
  </si>
  <si>
    <t>Prix d'achat historique (FCFA)</t>
  </si>
  <si>
    <t>CMP = Prix x 1,014 (frais 1,4%)</t>
  </si>
  <si>
    <t>Nombre de titres acquis</t>
  </si>
  <si>
    <t>Prix actuel du titre (FCFA)</t>
  </si>
  <si>
    <t>Prix net apres taxe cession 1,4% (FCFA)</t>
  </si>
  <si>
    <t>Plus-value unitaire (FCFA)</t>
  </si>
  <si>
    <t>Plus-value totale (FCFA)</t>
  </si>
  <si>
    <t>Total dividendes recus par titre (FCFA)</t>
  </si>
  <si>
    <t>Rendement dividendes total (FCFA)</t>
  </si>
  <si>
    <t>RENDEMENT TOTAL (FCFA)</t>
  </si>
  <si>
    <t>PERFORMANCE (%)</t>
  </si>
  <si>
    <t>VERDICT</t>
  </si>
  <si>
    <t>&lt;-- Saisir rendement epargne % ici</t>
  </si>
  <si>
    <t>A9 — CONCLUSION ANALYSE FONDAMENTALE (texte libre)</t>
  </si>
  <si>
    <t>B — ANALYSE TECHNIQUE</t>
  </si>
  <si>
    <t>B1 — INDICATEURS TECHNIQUES (saisie depuis graphique)</t>
  </si>
  <si>
    <t>Signal observe</t>
  </si>
  <si>
    <t>Valeur / Niveau</t>
  </si>
  <si>
    <t>Score auto</t>
  </si>
  <si>
    <t>Reference</t>
  </si>
  <si>
    <t>Moyenne Mobile 20 jours (MM20)</t>
  </si>
  <si>
    <t>&lt;-- Saisir signal</t>
  </si>
  <si>
    <t>Zone de survente : cours EN DESSOUS de la MM20</t>
  </si>
  <si>
    <t>Bandes de Bollinger</t>
  </si>
  <si>
    <t>Zone de survente : cours touche la bande inferieure</t>
  </si>
  <si>
    <t>MACD</t>
  </si>
  <si>
    <t>Zone de survente : MACD croise Signal a la hausse</t>
  </si>
  <si>
    <t>RSI (saisir valeur en col C)</t>
  </si>
  <si>
    <t>&lt; 30 survente | 30-70 neutre | &gt; 70 surachat</t>
  </si>
  <si>
    <t>Volume (tendance recente)</t>
  </si>
  <si>
    <t>Volume croissant sur baisse = accumulation = survente</t>
  </si>
  <si>
    <t>SCORE TECHNIQUE (max +5 / min -5)</t>
  </si>
  <si>
    <t>B2 — PRIX MEDIANS (PM)</t>
  </si>
  <si>
    <t>Horizon</t>
  </si>
  <si>
    <t>Plus Haut (FCFA)</t>
  </si>
  <si>
    <t>Plus Bas (FCFA)</t>
  </si>
  <si>
    <t>Prix Median</t>
  </si>
  <si>
    <t>Signal (vs prix actuel B24)</t>
  </si>
  <si>
    <t>52 semaines (1 an)</t>
  </si>
  <si>
    <t>2 ans</t>
  </si>
  <si>
    <t>B3 — PER ACTUALISE (integre la derniere evolution du RN)</t>
  </si>
  <si>
    <t>Source / Formule</t>
  </si>
  <si>
    <t>Lie a B24</t>
  </si>
  <si>
    <t>BNPA N (FCFA)</t>
  </si>
  <si>
    <t>Lie a B25</t>
  </si>
  <si>
    <t>Evolution RN dernier trimestre (%)</t>
  </si>
  <si>
    <t>RichBourse / Rapport trimestriel</t>
  </si>
  <si>
    <t>BNPA actualise (FCFA)</t>
  </si>
  <si>
    <t>= BNPA x (1 + evol%)</t>
  </si>
  <si>
    <t>PER actualise</t>
  </si>
  <si>
    <t>= Prix / BNPA actualise</t>
  </si>
  <si>
    <t>B4 — PRIX CIBLE AUX DIVIDENDES (PCD)</t>
  </si>
  <si>
    <t>Note : Le PCD n'est pertinent que si l'entreprise verse des dividendes. Si dividende = 0, utiliser B5 (Gordon-Shapiro).</t>
  </si>
  <si>
    <t>Formule</t>
  </si>
  <si>
    <t>Evolution RN (%)</t>
  </si>
  <si>
    <t>Meme valeur qu'en B3</t>
  </si>
  <si>
    <t>Dividende brut N (FCFA)</t>
  </si>
  <si>
    <t>&lt;-- Saisir le dernier dividende verse</t>
  </si>
  <si>
    <t>Dividende previsionnel (FCFA)</t>
  </si>
  <si>
    <t>= Dividende x (1 + evol%)</t>
  </si>
  <si>
    <t>Rendement sectoriel BRVM (%)</t>
  </si>
  <si>
    <t>Reference : 5-8% (modifiable)</t>
  </si>
  <si>
    <t>PCD = 100 x DVD_prev / Rendement</t>
  </si>
  <si>
    <t>= 100 x Dprev / Rendement%</t>
  </si>
  <si>
    <t>Zone cible basse (-5%)</t>
  </si>
  <si>
    <t>= PCD x 0.95</t>
  </si>
  <si>
    <t>Zone cible haute (+5%)</t>
  </si>
  <si>
    <t>= PCD x 1.05</t>
  </si>
  <si>
    <t>Signal (prix B24 vs zone cible)</t>
  </si>
  <si>
    <t>Calcul automatique</t>
  </si>
  <si>
    <t>B5 — MODELE DE GORDON-SHAPIRO   P0 = D1 / (r - g)</t>
  </si>
  <si>
    <t>D1 = dividende attendu l'an prochain | r = taux exige | g = taux croissance dividendes</t>
  </si>
  <si>
    <t>Note</t>
  </si>
  <si>
    <t>D1 - Dividende attendu (FCFA)</t>
  </si>
  <si>
    <t>&lt;-- Hypothese ou dernier DVD x (1+g)</t>
  </si>
  <si>
    <t>r - Taux de rentabilite exige (%)</t>
  </si>
  <si>
    <t>Cout du capital / rendement cible (ex: 8%)</t>
  </si>
  <si>
    <t>g - Taux de croissance DVD (%)</t>
  </si>
  <si>
    <t>Croissance annuelle supposee (ex: 2%)</t>
  </si>
  <si>
    <t>P0 = D1 / (r - g)  [FCFA]</t>
  </si>
  <si>
    <t>Prix theorique calcule automatiquement</t>
  </si>
  <si>
    <t>Signal prix actuel vs P0</t>
  </si>
  <si>
    <t>B6 — GESTION DU RISQUE : STOP-LOSS &amp; RISK/REWARD</t>
  </si>
  <si>
    <t>Formule/Note</t>
  </si>
  <si>
    <t>Prix d'achat vise (FCFA)</t>
  </si>
  <si>
    <t>&lt;-- Saisir prix entree prevue</t>
  </si>
  <si>
    <t>Stop-Loss = Prix x 0,90 (FCFA)</t>
  </si>
  <si>
    <t>= Prix x 0.90 (perte max 10%)</t>
  </si>
  <si>
    <t>Objectif Take Profit (FCFA)</t>
  </si>
  <si>
    <t>&lt;-- Saisir objectif de prix</t>
  </si>
  <si>
    <t>Perte potentielle / titre (FCFA)</t>
  </si>
  <si>
    <t>= Prix - Stop</t>
  </si>
  <si>
    <t>Gain potentiel / titre (FCFA)</t>
  </si>
  <si>
    <t>= Objectif - Prix</t>
  </si>
  <si>
    <t>Ratio Risk / Reward</t>
  </si>
  <si>
    <t>= Gain / Perte  (objectif &gt;= 2)</t>
  </si>
  <si>
    <t>B7 — CONCLUSION ANALYSE TECHNIQUE (texte libre)</t>
  </si>
  <si>
    <t>C — ANALYSE CONTRARIAN &amp; OPPORTUNITES DE MARCHE</t>
  </si>
  <si>
    <t>C1 — NORMALISATION DU RESULTAT NET  (recurrent vs exceptionnel)</t>
  </si>
  <si>
    <t>Saisir les elements exceptionnels (positifs = booste le RN, negatifs = penalise le RN). Un mauvais RN publie mais un RN recurrent positif = opportunite contrarian.</t>
  </si>
  <si>
    <t>RN Publie (M FCFA)</t>
  </si>
  <si>
    <t>Dont Exceptionnel (M FCFA)</t>
  </si>
  <si>
    <t>RN Recurrent (M FCFA)</t>
  </si>
  <si>
    <t>Marge Recurrente %</t>
  </si>
  <si>
    <t>BNPA Recurrent N (FCFA)</t>
  </si>
  <si>
    <t>PER Normalise</t>
  </si>
  <si>
    <t>Signal Normalisation RN</t>
  </si>
  <si>
    <t>C2 — COMPARAISON SECTORIELLE BRVM</t>
  </si>
  <si>
    <t>Reference marche</t>
  </si>
  <si>
    <t>Ecart %</t>
  </si>
  <si>
    <t>PER sectoriel moyen BRVM (reference)</t>
  </si>
  <si>
    <t>&lt;-- Auto depuis PROFIL!B5 | Banque~10, Industrie~13, Distribution~14, Telecom~8</t>
  </si>
  <si>
    <t>Rendement dividende sectoriel BRVM (%)</t>
  </si>
  <si>
    <t>&lt;-- Marche BRVM: 4 - 6% en moyenne</t>
  </si>
  <si>
    <t>PER action vs sectoriel</t>
  </si>
  <si>
    <t>Rendement div. action vs sectoriel</t>
  </si>
  <si>
    <t>C3 — FIABILITE DU DIVIDENDE (5 ANS)</t>
  </si>
  <si>
    <t>Score /3</t>
  </si>
  <si>
    <t>Nb annees avec dividende verse (sur 5)</t>
  </si>
  <si>
    <t>CAGR dividende 5 ans (croissance annuelle)</t>
  </si>
  <si>
    <t>SCORE FIABILITE DIVIDENDE</t>
  </si>
  <si>
    <t>/3</t>
  </si>
  <si>
    <t>C4 — SCORE CONTRARIAN BRVM  (detecteur : fondamentaux OK + titre boude par le marche)</t>
  </si>
  <si>
    <t>Critere</t>
  </si>
  <si>
    <t>Detail</t>
  </si>
  <si>
    <t>Score</t>
  </si>
  <si>
    <t>PER action &lt; PER sectoriel (action moins chere que le marche)</t>
  </si>
  <si>
    <t>Prix actuel &lt; VMC (decote sur valeur comptable)</t>
  </si>
  <si>
    <t>ROE &gt;= 10% (rentabilite correcte malgre sentiment negatif)</t>
  </si>
  <si>
    <t>Dividende fiable &gt;= 4 ans sur 5</t>
  </si>
  <si>
    <t>Cours &lt; Prix Median 1 an (survente technique)</t>
  </si>
  <si>
    <t>Marge nette moyenne &gt; 5% (profitabilite structurelle)</t>
  </si>
  <si>
    <t>SCORE CONTRARIAN TOTAL (/10)</t>
  </si>
  <si>
    <t>/10</t>
  </si>
  <si>
    <t>VERDICT CONTRARIAN</t>
  </si>
  <si>
    <t>D — DONNEES SOCIETE  (auto depuis onglet PROFIL — saisir dans PROFIL uniquement)</t>
  </si>
  <si>
    <t>D1 — CAPITAL &amp; ACTIONNARIAT</t>
  </si>
  <si>
    <t>Champ</t>
  </si>
  <si>
    <t>Valeur (auto depuis PROFIL)</t>
  </si>
  <si>
    <t>Capital social (FCFA)</t>
  </si>
  <si>
    <t>Flottant (%)</t>
  </si>
  <si>
    <t>Principaux actionnaires</t>
  </si>
  <si>
    <t>D2 — LIQUIDITE DU TITRE  (critique sur BRVM)</t>
  </si>
  <si>
    <t>Volume moyen journalier (titres)</t>
  </si>
  <si>
    <t>Volume moyen journalier (FCFA)</t>
  </si>
  <si>
    <t>Frequence de cotation (%)</t>
  </si>
  <si>
    <t>Appreciation liquidite</t>
  </si>
  <si>
    <t>D3 — NOTATION &amp; CONFORMITE</t>
  </si>
  <si>
    <t>Note court terme</t>
  </si>
  <si>
    <t>Note long terme</t>
  </si>
  <si>
    <t>Dividende verse regulierement ?</t>
  </si>
  <si>
    <t>E — ANALYSE DU BILAN  (saisir dans PROFIL — section BILAN)</t>
  </si>
  <si>
    <t>E1 — STRUCTURE DE LA DETTE</t>
  </si>
  <si>
    <t>Reference / Seuils</t>
  </si>
  <si>
    <t>Dette long terme (FCFA)</t>
  </si>
  <si>
    <t>Bilan passif non courant</t>
  </si>
  <si>
    <t>Dette court terme (FCFA)</t>
  </si>
  <si>
    <t>Bilan passif courant</t>
  </si>
  <si>
    <t>Dette totale (FCFA)</t>
  </si>
  <si>
    <t>= LT + CT</t>
  </si>
  <si>
    <t>Gearing (Dette totale / Fonds propres %)</t>
  </si>
  <si>
    <t>&lt; 50% sain | 50-100% eleve | &gt; 100% risque</t>
  </si>
  <si>
    <t>Dette nette / RN annuel (nb annees)</t>
  </si>
  <si>
    <t>&lt; 3 ans sain | 3-5 ans acceptable | &gt; 5 ans excessif</t>
  </si>
  <si>
    <t>E2 — SOLVABILITE &amp; COUVERTURE DES INTERETS</t>
  </si>
  <si>
    <t>EBIT (M FCFA) — depuis PROFIL</t>
  </si>
  <si>
    <t>Resultat avant interets et impots</t>
  </si>
  <si>
    <t>Charges financieres nettes (FCFA)</t>
  </si>
  <si>
    <t>Interets nets payes sur la dette</t>
  </si>
  <si>
    <t>Couverture des interets (x)</t>
  </si>
  <si>
    <t>&gt; 3x sain | 1.5-3x vigilance | &lt; 1.5x risque</t>
  </si>
  <si>
    <t>Ratio Fonds propres / Dette totale (%)</t>
  </si>
  <si>
    <t>&gt; 100% solide | 50-100% moyen | &lt; 50% fragile</t>
  </si>
  <si>
    <t>E3 — LIQUIDITE DU BILAN</t>
  </si>
  <si>
    <t>Actifs courants (FCFA)</t>
  </si>
  <si>
    <t>Tresorerie + creances + stocks</t>
  </si>
  <si>
    <t>Passifs courants (FCFA)</t>
  </si>
  <si>
    <t>Dettes court terme &lt; 1 an</t>
  </si>
  <si>
    <t>Ratio de liquidite courant (x)</t>
  </si>
  <si>
    <t>&gt; 2 = tres liquide | 1-2 = OK | &lt; 1 = tension tresorerie</t>
  </si>
  <si>
    <t>Fonds de roulement net (FCFA)</t>
  </si>
  <si>
    <t>&gt; 0 = excedent | &lt; 0 = deficit de liquidite</t>
  </si>
  <si>
    <t>F — ALERTES DE PRIX &amp; VALEUR INTRINSEQUE</t>
  </si>
  <si>
    <t>F1 — VALEUR INTRINSEQUE COMPOSITE  (VMC x2  +  PCD  +  Gordon  quand disponibles)</t>
  </si>
  <si>
    <t>Modele</t>
  </si>
  <si>
    <t>VI estimee (FCFA)</t>
  </si>
  <si>
    <t>Poids</t>
  </si>
  <si>
    <t>Signal vs prix actuel</t>
  </si>
  <si>
    <t>x2</t>
  </si>
  <si>
    <t>x1</t>
  </si>
  <si>
    <t>VALEUR INTRINSEQUE COMPOSITE (VI)</t>
  </si>
  <si>
    <t>composite</t>
  </si>
  <si>
    <t>F2 — ZONES D ALERTE PRIX  (depuis VI composite B238)</t>
  </si>
  <si>
    <t>Zone</t>
  </si>
  <si>
    <t>Prix seuil (FCFA)</t>
  </si>
  <si>
    <t>Ecart vs prix actuel (%)</t>
  </si>
  <si>
    <t>Action recommandee</t>
  </si>
  <si>
    <t>FORTE OPPORTUNITE  (VI x 0.75)</t>
  </si>
  <si>
    <t>Achat agressif — decote &gt; 25% sur VI</t>
  </si>
  <si>
    <t>ACHAT IDEAL  (VI x 0.85)</t>
  </si>
  <si>
    <t>Achat — marge de securite confortable (15-25%)</t>
  </si>
  <si>
    <t>JUSTE VALEUR  (VI x 1.00)</t>
  </si>
  <si>
    <t>Achat si fondamentaux solides — prime nulle</t>
  </si>
  <si>
    <t>ZONE NEUTRE  (VI x 1.10)</t>
  </si>
  <si>
    <t>Surveiller — prime moderee</t>
  </si>
  <si>
    <t>SURACHAT  (VI x 1.20)</t>
  </si>
  <si>
    <t>Allegement conseille — prime &gt; 20% sur VI</t>
  </si>
  <si>
    <t>G — ANALYSE CYCLIQUE  (agro-industrie BRVM : caoutchouc, huile de palme, cacao...)</t>
  </si>
  <si>
    <t>G1 — EXPOSITION AUX MATIERES PREMIERES  (jusqu'a 3 matieres par societe)</t>
  </si>
  <si>
    <t>Liste : choisir la matiere | saisir % CA et prix actuel | moy. LT 10 ans auto-remplie | Pour 'Autre' : laisser D vide et saisir la moy. LT en colonne E</t>
  </si>
  <si>
    <t>Matiere premiere</t>
  </si>
  <si>
    <t>% CA</t>
  </si>
  <si>
    <t>Prix actuel</t>
  </si>
  <si>
    <t>Moy. LT auto</t>
  </si>
  <si>
    <t>Moy. LT (Autre)</t>
  </si>
  <si>
    <t>Ratio cycle</t>
  </si>
  <si>
    <t>Total % CA renseigne</t>
  </si>
  <si>
    <t>G2 — INDICE DE CYCLE COMPOSITE  (pondere par le % du CA de chaque matiere)</t>
  </si>
  <si>
    <t>Interpretation &amp; Conduite a tenir</t>
  </si>
  <si>
    <t>Indice cycle composite (pondere % CA)</t>
  </si>
  <si>
    <t>Phase du cycle detectee</t>
  </si>
  <si>
    <t>Nb matieres renseignees</t>
  </si>
  <si>
    <t>G3 — VALORISATION ADAPTEE AUX CYCLIQUES  (PER normalise sur cycle 5 ans)</t>
  </si>
  <si>
    <t>Signal / Interpretation</t>
  </si>
  <si>
    <t>BPA normalise 5 ans (FCFA)</t>
  </si>
  <si>
    <t>= RN moyen 5 ans / Nb titres. Lisse les pics et creux de cycle.</t>
  </si>
  <si>
    <t>PER normalise cycle (Prix / BPA moyen 5 ans)</t>
  </si>
  <si>
    <t>VERDICT CYCLIQUE FINAL</t>
  </si>
  <si>
    <t>H — PSYCHOLOGIE DU MARCHE &amp; REACTION AUX RESULTATS</t>
  </si>
  <si>
    <t>H1 — REACTION COURS POST-RESULTATS  (saisir dans PROFIL — section Psychologie)</t>
  </si>
  <si>
    <t>Unite</t>
  </si>
  <si>
    <t>Prix avant publication resultats (J-1)</t>
  </si>
  <si>
    <t>FCFA</t>
  </si>
  <si>
    <t>Saisir dans PROFIL &gt; Psychologie</t>
  </si>
  <si>
    <t>Prix apres publication resultats (J+5)</t>
  </si>
  <si>
    <t>Reaction marche (%)</t>
  </si>
  <si>
    <t>%</t>
  </si>
  <si>
    <t>H2 — TENDANCE DIVIDENDES  (auto depuis A5)</t>
  </si>
  <si>
    <t>CAGR 4 ans</t>
  </si>
  <si>
    <t>Dividende NET verse (FCFA)</t>
  </si>
  <si>
    <t>H3 — IMPACT PSYCHOLOGIQUE SUR LE COURS  (rappel des scores)</t>
  </si>
  <si>
    <t>Critere psychologique</t>
  </si>
  <si>
    <t>Tendance dividendes (score auto dans SYNTHESE)</t>
  </si>
  <si>
    <t>Un dividende croissant attire les investisseurs et soutient le cours. Une coupe de dividende provoque souvent une chute brutale (-10% a -30%).</t>
  </si>
  <si>
    <t>Reaction marche post-resultats (score auto dans SYNTHESE)</t>
  </si>
  <si>
    <t>Le marche BRVM punit fortement les mauvaises surprises (illiquidite amplifie les mouvements). Une forte reaction positive est un signal de confiance durable des investisseurs.</t>
  </si>
  <si>
    <t>TABLEAU DE BORD — SYNTHESE DE L'ANALYSE</t>
  </si>
  <si>
    <t>SCORECARD FONDAMENTALE</t>
  </si>
  <si>
    <t>Valeur (auto depuis ETUDE)</t>
  </si>
  <si>
    <t>Zone normale</t>
  </si>
  <si>
    <t>Signal (auto)</t>
  </si>
  <si>
    <t>Score (0-3)</t>
  </si>
  <si>
    <t>Croissance CA (N/N-4 %)</t>
  </si>
  <si>
    <t>&gt; 10%</t>
  </si>
  <si>
    <t>Croissance RN (N/N-4 %)</t>
  </si>
  <si>
    <t>Marge nette moyenne (%)</t>
  </si>
  <si>
    <t>&gt; 5%</t>
  </si>
  <si>
    <t>9 - 15</t>
  </si>
  <si>
    <t>&lt; 1 ideal</t>
  </si>
  <si>
    <t>Rendement dividende (%)</t>
  </si>
  <si>
    <t>&gt; 3%</t>
  </si>
  <si>
    <t>RVC (PER x PBR)</t>
  </si>
  <si>
    <t>&lt; 22</t>
  </si>
  <si>
    <t>Tendance dividende (CAGR 4 ans %)</t>
  </si>
  <si>
    <t>&gt; 0%</t>
  </si>
  <si>
    <t>Reaction marche post-resultats (%)</t>
  </si>
  <si>
    <t>SCORE FONDAMENTAL TOTAL (/30)</t>
  </si>
  <si>
    <t>SCORECARD TECHNIQUE</t>
  </si>
  <si>
    <t>MM20+Bollinger+MACD+RSI+Volume (score B1)</t>
  </si>
  <si>
    <t>-5 a +5</t>
  </si>
  <si>
    <t>Prix Medians PM1 et PM2 (B2)</t>
  </si>
  <si>
    <t>&lt; PM = survente</t>
  </si>
  <si>
    <t>PER actualise (B3)</t>
  </si>
  <si>
    <t>9-15 = normal</t>
  </si>
  <si>
    <t>PCD / Gordon-Shapiro (B4/B5)</t>
  </si>
  <si>
    <t>&lt; PCD = survente</t>
  </si>
  <si>
    <t>Risk/Reward (B6)</t>
  </si>
  <si>
    <t>&gt;= 2 = bon</t>
  </si>
  <si>
    <t>SCORE TECHNIQUE TOTAL (/15)</t>
  </si>
  <si>
    <t>VERDICT GLOBAL</t>
  </si>
  <si>
    <t>Max</t>
  </si>
  <si>
    <t>% atteint</t>
  </si>
  <si>
    <t>Appreciation</t>
  </si>
  <si>
    <t>SCORE TOTAL</t>
  </si>
  <si>
    <t>C — SIGNAL CONTRARIAN BRVM  (depuis ETUDE C4)</t>
  </si>
  <si>
    <t>Score /10</t>
  </si>
  <si>
    <t>PER vs Sectoriel</t>
  </si>
  <si>
    <t>Decote VMC</t>
  </si>
  <si>
    <t>RECOMMANDATION FINALE (texte libre)</t>
  </si>
  <si>
    <t>PROFIL DE LA SOCIETE</t>
  </si>
  <si>
    <t>DONNEES CLES — liees automatiquement a ETUDE et SYNTHESE</t>
  </si>
  <si>
    <t>Nom de la societe</t>
  </si>
  <si>
    <t>PROFIL!B3 -&gt; titre de ETUDE et SYNTHESE</t>
  </si>
  <si>
    <t>Ticker BRVM</t>
  </si>
  <si>
    <t>ex: BIDC, ETIT, SNTS, ONTBF...</t>
  </si>
  <si>
    <t>Secteur d activite</t>
  </si>
  <si>
    <t>Banque | Assurance | Industrie | Distribution | Telecom | Autre</t>
  </si>
  <si>
    <t>Date d analyse</t>
  </si>
  <si>
    <t>ex: 14/05/2026  (texte libre)</t>
  </si>
  <si>
    <t>IDENTIFICATION COMPLETE</t>
  </si>
  <si>
    <t>Nom complet</t>
  </si>
  <si>
    <t>&lt;-- Auto depuis cellules cles ci-dessus</t>
  </si>
  <si>
    <t>Secteur d'activite</t>
  </si>
  <si>
    <t>Pays d'origine</t>
  </si>
  <si>
    <t>Date d'introduction en bourse</t>
  </si>
  <si>
    <t>CAPITAL &amp; ACTIONNARIAT</t>
  </si>
  <si>
    <t>Nombre de titres</t>
  </si>
  <si>
    <t>LIQUIDITE DU TITRE (critique sur BRVM)</t>
  </si>
  <si>
    <t>&lt;-- Source : BRVM.org</t>
  </si>
  <si>
    <t>&lt;-- % seances avec transaction</t>
  </si>
  <si>
    <t>&lt;-- Forte / Moyenne / Faible</t>
  </si>
  <si>
    <t>NOTATION &amp; CONFORMITE</t>
  </si>
  <si>
    <t>&lt;-- Oui / Non</t>
  </si>
  <si>
    <t>SOURCES D'INFORMATION</t>
  </si>
  <si>
    <t>Rapport annuel</t>
  </si>
  <si>
    <t>&lt;-- Lien ou date</t>
  </si>
  <si>
    <t>Site de la societe</t>
  </si>
  <si>
    <t>Profil RichBourse</t>
  </si>
  <si>
    <t>&lt;-- richbourse.com</t>
  </si>
  <si>
    <t>Profil BRVM</t>
  </si>
  <si>
    <t>&lt;-- brvm.org</t>
  </si>
  <si>
    <t>BILAN (depuis rapport annuel)</t>
  </si>
  <si>
    <t>&lt;-- Bilan passif non courant</t>
  </si>
  <si>
    <t>&lt;-- Bilan passif courant</t>
  </si>
  <si>
    <t>EBIT - Res. avant interets et impots (M FCFA)</t>
  </si>
  <si>
    <t>&lt;-- Compte de resultat</t>
  </si>
  <si>
    <t>&lt;-- Bilan actif courant</t>
  </si>
  <si>
    <t>PSYCHOLOGIE DU MARCHE</t>
  </si>
  <si>
    <t>Prix avant publication resultats (J-1, FCFA)</t>
  </si>
  <si>
    <t>&lt;-- Cours de cloture J-1 avant annonce</t>
  </si>
  <si>
    <t>Prix apres resultats J+5 (FCFA)</t>
  </si>
  <si>
    <t>&lt;-- Cours 5 jours apres publication</t>
  </si>
  <si>
    <t>PORTEFEUILLE BRVM — SUIVI DES POSITIONS &amp; RECOMMANDATIONS</t>
  </si>
  <si>
    <t>Saisir Ticker, Secteur, Nb titres, Prix achat, Prix actuel, Dividendes recus/titre, Note ETUDE /39  —  Reste calculé automatiquement</t>
  </si>
  <si>
    <t>Ticker</t>
  </si>
  <si>
    <t>Secteur</t>
  </si>
  <si>
    <t>Nb titres</t>
  </si>
  <si>
    <t>Prix achat moy.
(FCFA)</t>
  </si>
  <si>
    <t>Prix actuel
(FCFA)</t>
  </si>
  <si>
    <t>Div. recus/titre
(FCFA)</t>
  </si>
  <si>
    <t>Note
/39</t>
  </si>
  <si>
    <t>Cout total achat
(auto)</t>
  </si>
  <si>
    <t>Val. actuelle
(auto)</t>
  </si>
  <si>
    <t>PV/MV+Div
(auto)</t>
  </si>
  <si>
    <t>Rend. total %
(auto)</t>
  </si>
  <si>
    <t>Recommandation
(auto)</t>
  </si>
  <si>
    <t>TOTAL PORTEFEUILLE</t>
  </si>
  <si>
    <t>LEGENDE RECOMMANDATIONS</t>
  </si>
  <si>
    <t>RENFORCER</t>
  </si>
  <si>
    <t>Note &gt;= 24/39 ET rendement total &gt;= 0%   — Fondamentaux solides, titre en gain</t>
  </si>
  <si>
    <t>CONSERVER</t>
  </si>
  <si>
    <t>Note &gt;= 15/39 ET rendement &gt; -5%   — Garder la position, surveiller</t>
  </si>
  <si>
    <t>SURVEILLER</t>
  </si>
  <si>
    <t>Situation ambiguë   — Attendre confirmation avant d'agir</t>
  </si>
  <si>
    <t>VENDRE — Stop</t>
  </si>
  <si>
    <t>Rendement total &lt; -10%   — Stop-loss déclenché, limiter la perte</t>
  </si>
  <si>
    <t>REFERENTIEL DES FORMULES &amp; INDICATEURS BRVM</t>
  </si>
  <si>
    <t>Expression mathematique</t>
  </si>
  <si>
    <t>Interpretation / Seuils BRVM</t>
  </si>
  <si>
    <t>ANALYSE FONDAMENTALE</t>
  </si>
  <si>
    <t>Croissance N/N-4</t>
  </si>
  <si>
    <t>(N - N-4) / |N-4| x 100</t>
  </si>
  <si>
    <t>Positif = croissance. Negatif = contraction. Seuil : &gt; 10%/an = excellent</t>
  </si>
  <si>
    <t>TCAM (CAGR)</t>
  </si>
  <si>
    <t>(N / N-4)^(1/4) - 1</t>
  </si>
  <si>
    <t>Taux de Croissance Annuel Moyen sur 4 ans</t>
  </si>
  <si>
    <t>Marge Nette</t>
  </si>
  <si>
    <t>RN / CA x 100</t>
  </si>
  <si>
    <t>&lt; 2% = faible | 2-5% = moyen | &gt; 5% = bon | &gt; 10% = tres bon</t>
  </si>
  <si>
    <t>Prix / BNPA</t>
  </si>
  <si>
    <t>fois</t>
  </si>
  <si>
    <t>Zone normale BRVM : 9-15. &gt; 15 = surevalue, &lt; 9 = sous-evalue</t>
  </si>
  <si>
    <t>VMC</t>
  </si>
  <si>
    <t>Capitaux Propres / Nb titres</t>
  </si>
  <si>
    <t>Prix &lt; VMC = action decotee (achat potentiellement interessant)</t>
  </si>
  <si>
    <t>Capitalisation / Capitaux Propres</t>
  </si>
  <si>
    <t>&lt; 1 = decote sur actif net | &gt; 2 = prime significative</t>
  </si>
  <si>
    <t>ROE</t>
  </si>
  <si>
    <t>RN / Capitaux Propres x 100</t>
  </si>
  <si>
    <t>&lt; 5% = faible | 5-10% = moyen | 10-15% = bon | &gt; 15% = excellent</t>
  </si>
  <si>
    <t>RVC (Lynch)</t>
  </si>
  <si>
    <t>PER x PBR</t>
  </si>
  <si>
    <t>&lt; 22 = decote globale. Indicateur de sous-valorisation composite</t>
  </si>
  <si>
    <t>Taux de distribution</t>
  </si>
  <si>
    <t>DVD / (BNPA x 0.85) x 100</t>
  </si>
  <si>
    <t>0.85 = prefcompte 15% BRVM. &gt; 100% = distribution &gt; benefice</t>
  </si>
  <si>
    <t>Rendement dividende</t>
  </si>
  <si>
    <t>Dividende / Prix x 100</t>
  </si>
  <si>
    <t>&lt; 2% = faible | 2-5% = bon | &gt; 5% = tres attractif</t>
  </si>
  <si>
    <t>ANALYSE TECHNIQUE</t>
  </si>
  <si>
    <t>Prix Median (PM)</t>
  </si>
  <si>
    <t>(Plus Haut + Plus Bas) / 2</t>
  </si>
  <si>
    <t>Prix &lt; PM = zone survente. Calculer sur 1 an ET 2 ans SEPAREMENT</t>
  </si>
  <si>
    <t>RSI</t>
  </si>
  <si>
    <t>Calcule sur graphique</t>
  </si>
  <si>
    <t>&lt; 30 = survente | 30-70 = neutre | &gt; 70 = surachat</t>
  </si>
  <si>
    <t>MACD &gt; Signal = signal haussier</t>
  </si>
  <si>
    <t>Prix / (BNPA x (1 + evol RN%))</t>
  </si>
  <si>
    <t>Integre la derniere variation du RN. Plus precis que le PER historique</t>
  </si>
  <si>
    <t>PCD</t>
  </si>
  <si>
    <t>100 x DVD_prev / Rendement_secteur%</t>
  </si>
  <si>
    <t>Rendement sectoriel BRVM : 5-8%. Applicable seulement si dividende &gt; 0</t>
  </si>
  <si>
    <t>Gordon-Shapiro</t>
  </si>
  <si>
    <t>P0 = D1 / (r - g)</t>
  </si>
  <si>
    <t>D1 = dividende attendu | r = taux exige | g = croissance dividendes</t>
  </si>
  <si>
    <t>GESTION DU RISQUE</t>
  </si>
  <si>
    <t>Stop-Loss (10%)</t>
  </si>
  <si>
    <t>Prix d'achat x 0.90</t>
  </si>
  <si>
    <t>Limite de perte acceptable. Adapter selon profil de risque</t>
  </si>
  <si>
    <t>Risk/Reward</t>
  </si>
  <si>
    <t>Gain potentiel / Perte potentielle</t>
  </si>
  <si>
    <t>ratio</t>
  </si>
  <si>
    <t>&lt; 1 = mauvais | 1-2 = acceptable | &gt;= 2 = bon</t>
  </si>
  <si>
    <t>CMP (frais achat)</t>
  </si>
  <si>
    <t>Prix x 1.014</t>
  </si>
  <si>
    <t>Integre la commission d'achat BRVM de 1.4%</t>
  </si>
  <si>
    <t>Taxe de cession</t>
  </si>
  <si>
    <t>Prix x 1.4%</t>
  </si>
  <si>
    <t>Taxe applicable a la vente sur BRVM</t>
  </si>
  <si>
    <t>SOURCES DE DONNEES RECOMMANDEES</t>
  </si>
  <si>
    <t>MARCHE BRVM</t>
  </si>
  <si>
    <t>Cours &amp; volumes BRVM</t>
  </si>
  <si>
    <t>https://www.brvm.org</t>
  </si>
  <si>
    <t>Cours officiels, volumes, capitalisation, indices</t>
  </si>
  <si>
    <t>Profils societes BRVM</t>
  </si>
  <si>
    <t>https://www.richbourse.com</t>
  </si>
  <si>
    <t>Rapports, bilans, ratios, actualites par societe</t>
  </si>
  <si>
    <t>Actualites &amp; analyses</t>
  </si>
  <si>
    <t>https://www.sika-finance.com</t>
  </si>
  <si>
    <t>News, dividendes, resultats semestriels</t>
  </si>
  <si>
    <t>MATIERES PREMIERES</t>
  </si>
  <si>
    <t>Caoutchouc RSS3/TSR20</t>
  </si>
  <si>
    <t>https://www.indexmundi.com/commodities/?commodity=rubber</t>
  </si>
  <si>
    <t>Prix journalier + historique + graphique</t>
  </si>
  <si>
    <t>Huile de palme CPO</t>
  </si>
  <si>
    <t>https://www.indexmundi.com/commodities/?commodity=palm-oil</t>
  </si>
  <si>
    <t>Cacao</t>
  </si>
  <si>
    <t>https://www.indexmundi.com/commodities/?commodity=cocoa</t>
  </si>
  <si>
    <t>Coton</t>
  </si>
  <si>
    <t>https://www.indexmundi.com/commodities/?commodity=cotton</t>
  </si>
  <si>
    <t>Cafe Robusta</t>
  </si>
  <si>
    <t>https://www.indexmundi.com/commodities/?commodity=coffee-robusta</t>
  </si>
  <si>
    <t>Toutes matieres (synthese)</t>
  </si>
  <si>
    <t>https://www.worldbank.org/en/research/commodity-markets</t>
  </si>
  <si>
    <t>Pink Sheet mensuel — moyennes LT officielles Banque Mondiale</t>
  </si>
  <si>
    <t>TAUX &amp; MACROECONOMIE</t>
  </si>
  <si>
    <t>Taux UEMOA / BCEAO</t>
  </si>
  <si>
    <t>https://www.bceao.int</t>
  </si>
  <si>
    <t>Taux directeur, inflation, statistiques zone UEMOA</t>
  </si>
  <si>
    <t>Taux sans risque UEMOA</t>
  </si>
  <si>
    <t>https://www.boad.org</t>
  </si>
  <si>
    <t>Obligations BOAD — reference taux sans risque</t>
  </si>
  <si>
    <t>Indicateurs macro Afrique</t>
  </si>
  <si>
    <t>https://data.worldbank.org</t>
  </si>
  <si>
    <t>PIB, inflation, taux de change par pays</t>
  </si>
  <si>
    <t>RAPPORTS ANNUELS</t>
  </si>
  <si>
    <t>SOGB</t>
  </si>
  <si>
    <t>https://www.sogb.ci</t>
  </si>
  <si>
    <t>Rapports annuels, chiffres cles, dividendes</t>
  </si>
  <si>
    <t>SAPH</t>
  </si>
  <si>
    <t>https://www.saph.ci</t>
  </si>
  <si>
    <t>PALMCI</t>
  </si>
  <si>
    <t>https://www.palmci.ci</t>
  </si>
  <si>
    <t>Toutes societes BRVM</t>
  </si>
  <si>
    <t>https://www.brvm.org/fr/societes-cotees</t>
  </si>
  <si>
    <t>Acces aux profils et publications officielles</t>
  </si>
</sst>
</file>

<file path=xl/styles.xml><?xml version="1.0" encoding="utf-8"?>
<styleSheet xmlns="http://schemas.openxmlformats.org/spreadsheetml/2006/main">
  <numFmts count="8">
    <numFmt numFmtId="164" formatCode="#,##0"/>
    <numFmt numFmtId="165" formatCode="0&quot;/30&quot;"/>
    <numFmt numFmtId="166" formatCode="0.00"/>
    <numFmt numFmtId="167" formatCode="0&quot;/15&quot;"/>
    <numFmt numFmtId="168" formatCode="0.00%"/>
    <numFmt numFmtId="169" formatCode="#,##0.00"/>
    <numFmt numFmtId="170" formatCode="0.0"/>
    <numFmt numFmtId="171" formatCode="@"/>
  </numFmts>
  <fonts count="51">
    <font>
      <sz val="11"/>
      <color theme="1"/>
      <name val="Calibri"/>
      <family val="2"/>
      <scheme val="minor"/>
    </font>
    <font>
      <sz val="11"/>
      <color rgb="FF1E293B"/>
      <name val="Calibri"/>
      <family val="2"/>
      <scheme val="minor"/>
    </font>
    <font>
      <b/>
      <sz val="16"/>
      <color rgb="FFFFFFFF"/>
      <name val="Calibri"/>
      <family val="2"/>
      <scheme val="minor"/>
    </font>
    <font>
      <b/>
      <sz val="10"/>
      <color rgb="FFFFFFFF"/>
      <name val="Calibri"/>
      <family val="2"/>
      <scheme val="minor"/>
    </font>
    <font>
      <sz val="10"/>
      <color rgb="FF374151"/>
      <name val="Calibri"/>
      <family val="2"/>
      <scheme val="minor"/>
    </font>
    <font>
      <b/>
      <sz val="10"/>
      <color rgb="FF0D1B2A"/>
      <name val="Calibri"/>
      <family val="2"/>
      <scheme val="minor"/>
    </font>
    <font>
      <b/>
      <sz val="11"/>
      <color rgb="FF0D1B2A"/>
      <name val="Calibri"/>
      <family val="2"/>
      <scheme val="minor"/>
    </font>
    <font>
      <b/>
      <sz val="18"/>
      <color rgb="FFFFFFFF"/>
      <name val="Calibri"/>
      <family val="2"/>
      <scheme val="minor"/>
    </font>
    <font>
      <b/>
      <sz val="14"/>
      <color rgb="FF0D1B2A"/>
      <name val="Calibri"/>
      <family val="2"/>
      <scheme val="minor"/>
    </font>
    <font>
      <b/>
      <sz val="10"/>
      <color rgb="FFD97706"/>
      <name val="Calibri"/>
      <family val="2"/>
      <scheme val="minor"/>
    </font>
    <font>
      <sz val="8"/>
      <color rgb="FFD1D5DB"/>
      <name val="Calibri"/>
      <family val="2"/>
      <scheme val="minor"/>
    </font>
    <font>
      <i/>
      <sz val="8"/>
      <color rgb="FF9CA3AF"/>
      <name val="Calibri"/>
      <family val="2"/>
      <scheme val="minor"/>
    </font>
    <font>
      <i/>
      <sz val="8"/>
      <color rgb="FFD1D5DB"/>
      <name val="Calibri"/>
      <family val="2"/>
      <scheme val="minor"/>
    </font>
    <font>
      <b/>
      <sz val="14"/>
      <color rgb="FFFFFFFF"/>
      <name val="Calibri"/>
      <family val="2"/>
      <scheme val="minor"/>
    </font>
    <font>
      <b/>
      <sz val="11"/>
      <color rgb="FFFFFFFF"/>
      <name val="Calibri"/>
      <family val="2"/>
      <scheme val="minor"/>
    </font>
    <font>
      <i/>
      <sz val="8"/>
      <color rgb="FF808080"/>
      <name val="Calibri"/>
      <family val="2"/>
      <scheme val="minor"/>
    </font>
    <font>
      <i/>
      <sz val="10"/>
      <color rgb="FF0D1B2A"/>
      <name val="Calibri"/>
      <family val="2"/>
      <scheme val="minor"/>
    </font>
    <font>
      <b/>
      <sz val="11"/>
      <color rgb="FF1E293B"/>
      <name val="Calibri"/>
      <family val="2"/>
      <scheme val="minor"/>
    </font>
    <font>
      <sz val="11"/>
      <color rgb="FF404040"/>
      <name val="Calibri"/>
      <family val="2"/>
      <scheme val="minor"/>
    </font>
    <font>
      <b/>
      <sz val="10"/>
      <color rgb="FF1F3864"/>
      <name val="Calibri"/>
      <family val="2"/>
      <scheme val="minor"/>
    </font>
    <font>
      <i/>
      <sz val="8"/>
      <color rgb="FF606060"/>
      <name val="Calibri"/>
      <family val="2"/>
      <scheme val="minor"/>
    </font>
    <font>
      <b/>
      <sz val="11"/>
      <color rgb="FF1F3864"/>
      <name val="Calibri"/>
      <family val="2"/>
      <scheme val="minor"/>
    </font>
    <font>
      <i/>
      <sz val="8"/>
      <color rgb="FFD97706"/>
      <name val="Calibri"/>
      <family val="2"/>
      <scheme val="minor"/>
    </font>
    <font>
      <i/>
      <sz val="11"/>
      <color rgb="FF1F3864"/>
      <name val="Calibri"/>
      <family val="2"/>
      <scheme val="minor"/>
    </font>
    <font>
      <i/>
      <sz val="11"/>
      <color rgb="FF0D1B2A"/>
      <name val="Calibri"/>
      <family val="2"/>
      <scheme val="minor"/>
    </font>
    <font>
      <b/>
      <sz val="10"/>
      <color rgb="FF1E293B"/>
      <name val="Calibri"/>
      <family val="2"/>
      <scheme val="minor"/>
    </font>
    <font>
      <b/>
      <sz val="12"/>
      <color rgb="FF0D1B2A"/>
      <name val="Calibri"/>
      <family val="2"/>
      <scheme val="minor"/>
    </font>
    <font>
      <b/>
      <sz val="11"/>
      <color rgb="FFECFDF5"/>
      <name val="Calibri"/>
      <family val="2"/>
      <scheme val="minor"/>
    </font>
    <font>
      <i/>
      <sz val="10"/>
      <color rgb="FF1E293B"/>
      <name val="Calibri"/>
      <family val="2"/>
      <scheme val="minor"/>
    </font>
    <font>
      <b/>
      <sz val="12"/>
      <color rgb="FF1F3864"/>
      <name val="Calibri"/>
      <family val="2"/>
      <scheme val="minor"/>
    </font>
    <font>
      <b/>
      <i/>
      <sz val="11"/>
      <color rgb="FF1E293B"/>
      <name val="Calibri"/>
      <family val="2"/>
      <scheme val="minor"/>
    </font>
    <font>
      <i/>
      <sz val="10"/>
      <color rgb="FF404040"/>
      <name val="Calibri"/>
      <family val="2"/>
      <scheme val="minor"/>
    </font>
    <font>
      <i/>
      <sz val="10"/>
      <color rgb="FF6B7280"/>
      <name val="Calibri"/>
      <family val="2"/>
      <scheme val="minor"/>
    </font>
    <font>
      <i/>
      <sz val="11"/>
      <color rgb="FF1E293B"/>
      <name val="Calibri"/>
      <family val="2"/>
      <scheme val="minor"/>
    </font>
    <font>
      <sz val="11"/>
      <color rgb="FF1F3864"/>
      <name val="Calibri"/>
      <family val="2"/>
      <scheme val="minor"/>
    </font>
    <font>
      <i/>
      <sz val="11"/>
      <color rgb="FF404040"/>
      <name val="Calibri"/>
      <family val="2"/>
      <scheme val="minor"/>
    </font>
    <font>
      <sz val="11"/>
      <color rgb="FF1E3A5F"/>
      <name val="Calibri"/>
      <family val="2"/>
      <scheme val="minor"/>
    </font>
    <font>
      <b/>
      <sz val="10"/>
      <color rgb="FF404040"/>
      <name val="Calibri"/>
      <family val="2"/>
      <scheme val="minor"/>
    </font>
    <font>
      <b/>
      <sz val="14"/>
      <color rgb="FF1F3864"/>
      <name val="Calibri"/>
      <family val="2"/>
      <scheme val="minor"/>
    </font>
    <font>
      <b/>
      <sz val="11"/>
      <color rgb="FF404040"/>
      <name val="Calibri"/>
      <family val="2"/>
      <scheme val="minor"/>
    </font>
    <font>
      <sz val="10"/>
      <color rgb="FF0D1B2A"/>
      <name val="Calibri"/>
      <family val="2"/>
      <scheme val="minor"/>
    </font>
    <font>
      <b/>
      <sz val="12"/>
      <color rgb="FF1E293B"/>
      <name val="Calibri"/>
      <family val="2"/>
      <scheme val="minor"/>
    </font>
    <font>
      <i/>
      <sz val="9"/>
      <color rgb="FFCBD5E1"/>
      <name val="Calibri"/>
      <family val="2"/>
      <scheme val="minor"/>
    </font>
    <font>
      <sz val="11"/>
      <color rgb="FF92400E"/>
      <name val="Calibri"/>
      <family val="2"/>
      <scheme val="minor"/>
    </font>
    <font>
      <sz val="11"/>
      <color rgb="FF064E3B"/>
      <name val="Calibri"/>
      <family val="2"/>
      <scheme val="minor"/>
    </font>
    <font>
      <b/>
      <sz val="11"/>
      <color rgb="FF1E40AF"/>
      <name val="Calibri"/>
      <family val="2"/>
      <scheme val="minor"/>
    </font>
    <font>
      <sz val="11"/>
      <color rgb="FF374151"/>
      <name val="Calibri"/>
      <family val="2"/>
      <scheme val="minor"/>
    </font>
    <font>
      <b/>
      <sz val="10"/>
      <color rgb="FF1E40AF"/>
      <name val="Calibri"/>
      <family val="2"/>
      <scheme val="minor"/>
    </font>
    <font>
      <i/>
      <sz val="10"/>
      <color rgb="FF374151"/>
      <name val="Calibri"/>
      <family val="2"/>
      <scheme val="minor"/>
    </font>
    <font>
      <b/>
      <sz val="11"/>
      <color rgb="FF1E3A5F"/>
      <name val="Calibri"/>
      <family val="2"/>
      <scheme val="minor"/>
    </font>
    <font>
      <sz val="11"/>
      <color rgb="FF1D4ED8"/>
      <name val="Calibri"/>
      <family val="2"/>
      <scheme val="minor"/>
    </font>
  </fonts>
  <fills count="20">
    <fill>
      <patternFill patternType="none"/>
    </fill>
    <fill>
      <patternFill patternType="gray125"/>
    </fill>
    <fill>
      <patternFill patternType="solid">
        <fgColor rgb="FFFFFFFF"/>
        <bgColor indexed="64"/>
      </patternFill>
    </fill>
    <fill>
      <patternFill patternType="solid">
        <fgColor rgb="FF0D1B2A"/>
        <bgColor indexed="64"/>
      </patternFill>
    </fill>
    <fill>
      <patternFill patternType="solid">
        <fgColor rgb="FF1E3A5F"/>
        <bgColor indexed="64"/>
      </patternFill>
    </fill>
    <fill>
      <patternFill patternType="solid">
        <fgColor rgb="FF7C3AED"/>
        <bgColor indexed="64"/>
      </patternFill>
    </fill>
    <fill>
      <patternFill patternType="solid">
        <fgColor rgb="FFF1F5F9"/>
        <bgColor indexed="64"/>
      </patternFill>
    </fill>
    <fill>
      <patternFill patternType="solid">
        <fgColor rgb="FFEDE9FE"/>
        <bgColor indexed="64"/>
      </patternFill>
    </fill>
    <fill>
      <patternFill patternType="solid">
        <fgColor rgb="FFFFFBEB"/>
        <bgColor indexed="64"/>
      </patternFill>
    </fill>
    <fill>
      <patternFill patternType="solid">
        <fgColor rgb="FFDCE8F5"/>
        <bgColor indexed="64"/>
      </patternFill>
    </fill>
    <fill>
      <patternFill patternType="solid">
        <fgColor rgb="FFECFDF5"/>
        <bgColor indexed="64"/>
      </patternFill>
    </fill>
    <fill>
      <patternFill patternType="solid">
        <fgColor rgb="FFD6E4F7"/>
        <bgColor indexed="64"/>
      </patternFill>
    </fill>
    <fill>
      <patternFill patternType="solid">
        <fgColor rgb="FFE2EFDA"/>
        <bgColor indexed="64"/>
      </patternFill>
    </fill>
    <fill>
      <patternFill patternType="solid">
        <fgColor rgb="FF064E3B"/>
        <bgColor indexed="64"/>
      </patternFill>
    </fill>
    <fill>
      <patternFill patternType="solid">
        <fgColor rgb="FF2F5496"/>
        <bgColor indexed="64"/>
      </patternFill>
    </fill>
    <fill>
      <patternFill patternType="solid">
        <fgColor rgb="FFEBF5FB"/>
        <bgColor indexed="64"/>
      </patternFill>
    </fill>
    <fill>
      <patternFill patternType="solid">
        <fgColor rgb="FFF2F2F2"/>
        <bgColor indexed="64"/>
      </patternFill>
    </fill>
    <fill>
      <patternFill patternType="solid">
        <fgColor rgb="FF1F3864"/>
        <bgColor indexed="64"/>
      </patternFill>
    </fill>
    <fill>
      <patternFill patternType="solid">
        <fgColor rgb="FFEFF6FF"/>
        <bgColor indexed="64"/>
      </patternFill>
    </fill>
    <fill>
      <patternFill patternType="solid">
        <fgColor rgb="FFF8FAFF"/>
        <bgColor indexed="64"/>
      </patternFill>
    </fill>
  </fills>
  <borders count="4">
    <border>
      <left/>
      <right/>
      <top/>
      <bottom/>
      <diagonal/>
    </border>
    <border>
      <left/>
      <right/>
      <top/>
      <bottom/>
      <diagonal/>
    </border>
    <border>
      <left style="thin">
        <color rgb="FFBFBFBF"/>
      </left>
      <right style="thin">
        <color rgb="FFBFBFBF"/>
      </right>
      <top style="thin">
        <color rgb="FFBFBFBF"/>
      </top>
      <bottom style="thin">
        <color rgb="FFBFBFBF"/>
      </bottom>
      <diagonal/>
    </border>
    <border>
      <left style="medium">
        <color rgb="FFBFBFBF"/>
      </left>
      <right style="medium">
        <color rgb="FFBFBFBF"/>
      </right>
      <top style="medium">
        <color rgb="FFBFBFBF"/>
      </top>
      <bottom style="medium">
        <color rgb="FFBFBFBF"/>
      </bottom>
      <diagonal/>
    </border>
  </borders>
  <cellStyleXfs count="1">
    <xf numFmtId="0" fontId="0" fillId="0" borderId="0"/>
  </cellStyleXfs>
  <cellXfs count="118">
    <xf numFmtId="0" fontId="0" fillId="0" borderId="0" xfId="0"/>
    <xf numFmtId="0" fontId="1" fillId="2" borderId="1" xfId="0" applyFont="1" applyFill="1" applyBorder="1" applyAlignment="1" applyProtection="1">
      <alignment horizontal="left" vertical="center"/>
      <protection locked="0"/>
    </xf>
    <xf numFmtId="0" fontId="2" fillId="3" borderId="1" xfId="0" applyFont="1" applyFill="1" applyBorder="1" applyAlignment="1" applyProtection="1">
      <alignment horizontal="center" vertical="center"/>
      <protection locked="0"/>
    </xf>
    <xf numFmtId="0" fontId="3" fillId="4" borderId="1" xfId="0" applyFont="1" applyFill="1" applyBorder="1" applyAlignment="1">
      <alignment horizontal="center" vertical="center"/>
    </xf>
    <xf numFmtId="0" fontId="3" fillId="5" borderId="1" xfId="0" applyFont="1" applyFill="1" applyBorder="1" applyAlignment="1" applyProtection="1">
      <alignment horizontal="left" vertical="center"/>
      <protection locked="0"/>
    </xf>
    <xf numFmtId="0" fontId="4" fillId="6" borderId="2" xfId="0" applyFont="1" applyFill="1" applyBorder="1" applyAlignment="1" applyProtection="1">
      <alignment horizontal="left" vertical="center"/>
      <protection locked="0"/>
    </xf>
    <xf numFmtId="164" fontId="5" fillId="7" borderId="2" xfId="0" applyNumberFormat="1" applyFont="1" applyFill="1" applyBorder="1" applyAlignment="1">
      <alignment horizontal="right" vertical="center"/>
    </xf>
    <xf numFmtId="165" fontId="6" fillId="7" borderId="2" xfId="0" applyNumberFormat="1" applyFont="1" applyFill="1" applyBorder="1" applyAlignment="1">
      <alignment horizontal="center" vertical="center"/>
    </xf>
    <xf numFmtId="166" fontId="5" fillId="7" borderId="2" xfId="0" applyNumberFormat="1" applyFont="1" applyFill="1" applyBorder="1" applyAlignment="1">
      <alignment horizontal="right" vertical="center"/>
    </xf>
    <xf numFmtId="167" fontId="6" fillId="7" borderId="2" xfId="0" applyNumberFormat="1" applyFont="1" applyFill="1" applyBorder="1" applyAlignment="1">
      <alignment horizontal="center" vertical="center"/>
    </xf>
    <xf numFmtId="1" fontId="6" fillId="7" borderId="2" xfId="0" applyNumberFormat="1" applyFont="1" applyFill="1" applyBorder="1" applyAlignment="1">
      <alignment horizontal="center" vertical="center"/>
    </xf>
    <xf numFmtId="0" fontId="7" fillId="5" borderId="3" xfId="0" applyFont="1" applyFill="1" applyBorder="1" applyAlignment="1">
      <alignment horizontal="center" vertical="center"/>
    </xf>
    <xf numFmtId="0" fontId="5" fillId="7" borderId="2" xfId="0" applyFont="1" applyFill="1" applyBorder="1" applyAlignment="1">
      <alignment horizontal="center" vertical="center"/>
    </xf>
    <xf numFmtId="0" fontId="8" fillId="7" borderId="2" xfId="0" applyFont="1" applyFill="1" applyBorder="1" applyAlignment="1">
      <alignment horizontal="center" vertical="center"/>
    </xf>
    <xf numFmtId="0" fontId="4" fillId="2" borderId="2" xfId="0" applyFont="1" applyFill="1" applyBorder="1" applyAlignment="1">
      <alignment horizontal="left" vertical="top" wrapText="1"/>
    </xf>
    <xf numFmtId="0" fontId="9" fillId="8" borderId="2" xfId="0" applyFont="1" applyFill="1" applyBorder="1" applyAlignment="1" applyProtection="1">
      <alignment horizontal="left" vertical="center"/>
      <protection locked="0"/>
    </xf>
    <xf numFmtId="0" fontId="10" fillId="2" borderId="1" xfId="0" applyFont="1" applyFill="1" applyBorder="1" applyAlignment="1" applyProtection="1">
      <alignment horizontal="center" vertical="center"/>
      <protection locked="0"/>
    </xf>
    <xf numFmtId="0" fontId="11" fillId="2" borderId="1" xfId="0" applyFont="1" applyFill="1" applyBorder="1" applyAlignment="1" applyProtection="1">
      <alignment horizontal="left" vertical="center" wrapText="1"/>
      <protection locked="0"/>
    </xf>
    <xf numFmtId="0" fontId="12" fillId="2" borderId="1" xfId="0" applyFont="1" applyFill="1" applyBorder="1" applyAlignment="1" applyProtection="1">
      <alignment horizontal="right" vertical="center"/>
      <protection locked="0"/>
    </xf>
    <xf numFmtId="0" fontId="13" fillId="3" borderId="1" xfId="0" applyFont="1" applyFill="1" applyBorder="1" applyAlignment="1" applyProtection="1">
      <alignment horizontal="center" vertical="center"/>
      <protection locked="0"/>
    </xf>
    <xf numFmtId="0" fontId="3" fillId="4" borderId="1" xfId="0" applyFont="1" applyFill="1" applyBorder="1" applyAlignment="1" applyProtection="1">
      <alignment horizontal="center" vertical="center"/>
      <protection locked="0"/>
    </xf>
    <xf numFmtId="0" fontId="14" fillId="4" borderId="1" xfId="0" applyFont="1" applyFill="1" applyBorder="1" applyAlignment="1" applyProtection="1">
      <alignment horizontal="left" vertical="center"/>
      <protection locked="0"/>
    </xf>
    <xf numFmtId="0" fontId="6" fillId="9" borderId="2" xfId="0" applyFont="1" applyFill="1" applyBorder="1" applyAlignment="1" applyProtection="1">
      <alignment horizontal="center" vertical="center"/>
      <protection locked="0"/>
    </xf>
    <xf numFmtId="0" fontId="1" fillId="6" borderId="2" xfId="0" applyFont="1" applyFill="1" applyBorder="1" applyAlignment="1" applyProtection="1">
      <alignment horizontal="left" vertical="center"/>
      <protection locked="0"/>
    </xf>
    <xf numFmtId="164" fontId="1" fillId="8" borderId="2" xfId="0" applyNumberFormat="1" applyFont="1" applyFill="1" applyBorder="1" applyAlignment="1" applyProtection="1">
      <alignment horizontal="right" vertical="center"/>
      <protection locked="0"/>
    </xf>
    <xf numFmtId="166" fontId="1" fillId="10" borderId="2" xfId="0" applyNumberFormat="1" applyFont="1" applyFill="1" applyBorder="1" applyAlignment="1">
      <alignment horizontal="right" vertical="center"/>
    </xf>
    <xf numFmtId="168" fontId="1" fillId="10" borderId="2" xfId="0" applyNumberFormat="1" applyFont="1" applyFill="1" applyBorder="1" applyAlignment="1">
      <alignment horizontal="right" vertical="center"/>
    </xf>
    <xf numFmtId="164" fontId="1" fillId="10" borderId="2" xfId="0" applyNumberFormat="1" applyFont="1" applyFill="1" applyBorder="1" applyAlignment="1">
      <alignment horizontal="right" vertical="center"/>
    </xf>
    <xf numFmtId="0" fontId="1" fillId="10" borderId="2" xfId="0" applyFont="1" applyFill="1" applyBorder="1" applyAlignment="1">
      <alignment horizontal="center" vertical="center"/>
    </xf>
    <xf numFmtId="0" fontId="1" fillId="8" borderId="2" xfId="0" applyFont="1" applyFill="1" applyBorder="1" applyAlignment="1" applyProtection="1">
      <alignment horizontal="center" vertical="center"/>
      <protection locked="0"/>
    </xf>
    <xf numFmtId="0" fontId="1" fillId="2" borderId="2" xfId="0" applyFont="1" applyFill="1" applyBorder="1" applyAlignment="1" applyProtection="1">
      <alignment horizontal="left" vertical="center"/>
      <protection locked="0"/>
    </xf>
    <xf numFmtId="164" fontId="9" fillId="8" borderId="2" xfId="0" applyNumberFormat="1" applyFont="1" applyFill="1" applyBorder="1" applyAlignment="1" applyProtection="1">
      <alignment horizontal="right" vertical="center"/>
      <protection locked="0"/>
    </xf>
    <xf numFmtId="0" fontId="15" fillId="2" borderId="2" xfId="0" applyFont="1" applyFill="1" applyBorder="1" applyAlignment="1" applyProtection="1">
      <alignment horizontal="left" vertical="center"/>
      <protection locked="0"/>
    </xf>
    <xf numFmtId="169" fontId="9" fillId="8" borderId="2" xfId="0" applyNumberFormat="1" applyFont="1" applyFill="1" applyBorder="1" applyAlignment="1" applyProtection="1">
      <alignment horizontal="right" vertical="center"/>
      <protection locked="0"/>
    </xf>
    <xf numFmtId="164" fontId="1" fillId="10" borderId="2" xfId="0" applyNumberFormat="1" applyFont="1" applyFill="1" applyBorder="1" applyAlignment="1" applyProtection="1">
      <alignment horizontal="right" vertical="center"/>
      <protection locked="0"/>
    </xf>
    <xf numFmtId="169" fontId="1" fillId="10" borderId="2" xfId="0" applyNumberFormat="1" applyFont="1" applyFill="1" applyBorder="1" applyAlignment="1">
      <alignment horizontal="right" vertical="center"/>
    </xf>
    <xf numFmtId="0" fontId="16" fillId="11" borderId="1" xfId="0" applyFont="1" applyFill="1" applyBorder="1" applyAlignment="1" applyProtection="1">
      <alignment horizontal="left" vertical="center" wrapText="1"/>
      <protection locked="0"/>
    </xf>
    <xf numFmtId="169" fontId="1" fillId="8" borderId="2" xfId="0" applyNumberFormat="1" applyFont="1" applyFill="1" applyBorder="1" applyAlignment="1" applyProtection="1">
      <alignment horizontal="right" vertical="center"/>
      <protection locked="0"/>
    </xf>
    <xf numFmtId="0" fontId="17" fillId="6" borderId="2" xfId="0" applyFont="1" applyFill="1" applyBorder="1" applyAlignment="1" applyProtection="1">
      <alignment horizontal="left" vertical="center"/>
      <protection locked="0"/>
    </xf>
    <xf numFmtId="0" fontId="1" fillId="8" borderId="2" xfId="0" applyFont="1" applyFill="1" applyBorder="1" applyAlignment="1" applyProtection="1">
      <alignment horizontal="right" vertical="center"/>
      <protection locked="0"/>
    </xf>
    <xf numFmtId="0" fontId="1" fillId="2" borderId="2" xfId="0" applyFont="1" applyFill="1" applyBorder="1" applyAlignment="1" applyProtection="1">
      <alignment horizontal="center" vertical="center"/>
      <protection locked="0"/>
    </xf>
    <xf numFmtId="0" fontId="1" fillId="2" borderId="2" xfId="0" applyFont="1" applyFill="1" applyBorder="1" applyAlignment="1" applyProtection="1">
      <alignment horizontal="right" vertical="center"/>
      <protection locked="0"/>
    </xf>
    <xf numFmtId="169" fontId="18" fillId="12" borderId="2" xfId="0" applyNumberFormat="1" applyFont="1" applyFill="1" applyBorder="1" applyAlignment="1" applyProtection="1">
      <alignment horizontal="right" vertical="center"/>
      <protection locked="0"/>
    </xf>
    <xf numFmtId="164" fontId="18" fillId="12" borderId="2" xfId="0" applyNumberFormat="1" applyFont="1" applyFill="1" applyBorder="1" applyAlignment="1" applyProtection="1">
      <alignment horizontal="right" vertical="center"/>
      <protection locked="0"/>
    </xf>
    <xf numFmtId="166" fontId="18" fillId="12" borderId="2" xfId="0" applyNumberFormat="1" applyFont="1" applyFill="1" applyBorder="1" applyAlignment="1" applyProtection="1">
      <alignment horizontal="right" vertical="center"/>
      <protection locked="0"/>
    </xf>
    <xf numFmtId="0" fontId="19" fillId="12" borderId="2" xfId="0" applyFont="1" applyFill="1" applyBorder="1" applyAlignment="1" applyProtection="1">
      <alignment horizontal="center" vertical="center"/>
      <protection locked="0"/>
    </xf>
    <xf numFmtId="0" fontId="1" fillId="2" borderId="2" xfId="0" applyFont="1" applyFill="1" applyBorder="1" applyAlignment="1" applyProtection="1">
      <alignment horizontal="left" vertical="top" wrapText="1"/>
      <protection locked="0"/>
    </xf>
    <xf numFmtId="1" fontId="18" fillId="12" borderId="2" xfId="0" applyNumberFormat="1" applyFont="1" applyFill="1" applyBorder="1" applyAlignment="1" applyProtection="1">
      <alignment horizontal="center" vertical="center"/>
      <protection locked="0"/>
    </xf>
    <xf numFmtId="0" fontId="20" fillId="6" borderId="2" xfId="0" applyFont="1" applyFill="1" applyBorder="1" applyAlignment="1" applyProtection="1">
      <alignment horizontal="left" vertical="center" wrapText="1"/>
      <protection locked="0"/>
    </xf>
    <xf numFmtId="1" fontId="19" fillId="12" borderId="2" xfId="0" applyNumberFormat="1" applyFont="1" applyFill="1" applyBorder="1" applyAlignment="1" applyProtection="1">
      <alignment horizontal="center" vertical="center"/>
      <protection locked="0"/>
    </xf>
    <xf numFmtId="0" fontId="21" fillId="12" borderId="2" xfId="0" applyFont="1" applyFill="1" applyBorder="1" applyAlignment="1" applyProtection="1">
      <alignment horizontal="center" vertical="center"/>
      <protection locked="0"/>
    </xf>
    <xf numFmtId="166" fontId="1" fillId="8" borderId="2" xfId="0" applyNumberFormat="1" applyFont="1" applyFill="1" applyBorder="1" applyAlignment="1" applyProtection="1">
      <alignment horizontal="right" vertical="center"/>
      <protection locked="0"/>
    </xf>
    <xf numFmtId="0" fontId="22" fillId="8" borderId="1" xfId="0" applyFont="1" applyFill="1" applyBorder="1" applyAlignment="1" applyProtection="1">
      <alignment horizontal="left" vertical="center" wrapText="1"/>
      <protection locked="0"/>
    </xf>
    <xf numFmtId="0" fontId="23" fillId="11" borderId="1" xfId="0" applyFont="1" applyFill="1" applyBorder="1" applyAlignment="1" applyProtection="1">
      <alignment horizontal="center" vertical="center"/>
      <protection locked="0"/>
    </xf>
    <xf numFmtId="169" fontId="19" fillId="12" borderId="2" xfId="0" applyNumberFormat="1" applyFont="1" applyFill="1" applyBorder="1" applyAlignment="1" applyProtection="1">
      <alignment horizontal="right" vertical="center"/>
      <protection locked="0"/>
    </xf>
    <xf numFmtId="0" fontId="24" fillId="11" borderId="1" xfId="0" applyFont="1" applyFill="1" applyBorder="1" applyAlignment="1" applyProtection="1">
      <alignment horizontal="left" vertical="center" wrapText="1"/>
      <protection locked="0"/>
    </xf>
    <xf numFmtId="166" fontId="1" fillId="10" borderId="2" xfId="0" applyNumberFormat="1" applyFont="1" applyFill="1" applyBorder="1" applyAlignment="1" applyProtection="1">
      <alignment horizontal="right" vertical="center"/>
      <protection locked="0"/>
    </xf>
    <xf numFmtId="166" fontId="9" fillId="8" borderId="2" xfId="0" applyNumberFormat="1" applyFont="1" applyFill="1" applyBorder="1" applyAlignment="1" applyProtection="1">
      <alignment horizontal="right" vertical="center"/>
      <protection locked="0"/>
    </xf>
    <xf numFmtId="0" fontId="1" fillId="10" borderId="2" xfId="0" applyFont="1" applyFill="1" applyBorder="1" applyAlignment="1">
      <alignment horizontal="right" vertical="center"/>
    </xf>
    <xf numFmtId="1" fontId="25" fillId="10" borderId="2" xfId="0" applyNumberFormat="1" applyFont="1" applyFill="1" applyBorder="1" applyAlignment="1" applyProtection="1">
      <alignment horizontal="center" vertical="center"/>
      <protection locked="0"/>
    </xf>
    <xf numFmtId="1" fontId="26" fillId="10" borderId="3" xfId="0" applyNumberFormat="1" applyFont="1" applyFill="1" applyBorder="1" applyAlignment="1" applyProtection="1">
      <alignment horizontal="center" vertical="center"/>
      <protection locked="0"/>
    </xf>
    <xf numFmtId="0" fontId="3" fillId="3" borderId="2" xfId="0" applyFont="1" applyFill="1" applyBorder="1" applyAlignment="1" applyProtection="1">
      <alignment horizontal="center" vertical="center"/>
      <protection locked="0"/>
    </xf>
    <xf numFmtId="0" fontId="27" fillId="13" borderId="3" xfId="0" applyFont="1" applyFill="1" applyBorder="1" applyAlignment="1" applyProtection="1">
      <alignment horizontal="center" vertical="center" wrapText="1"/>
      <protection locked="0"/>
    </xf>
    <xf numFmtId="0" fontId="1" fillId="10" borderId="2" xfId="0" applyFont="1" applyFill="1" applyBorder="1" applyAlignment="1" applyProtection="1">
      <alignment horizontal="left" vertical="center"/>
      <protection locked="0"/>
    </xf>
    <xf numFmtId="0" fontId="1" fillId="6" borderId="2" xfId="0" applyFont="1" applyFill="1" applyBorder="1" applyAlignment="1" applyProtection="1">
      <alignment horizontal="center" vertical="center"/>
      <protection locked="0"/>
    </xf>
    <xf numFmtId="0" fontId="28" fillId="10" borderId="2" xfId="0" applyFont="1" applyFill="1" applyBorder="1" applyAlignment="1" applyProtection="1">
      <alignment horizontal="left" vertical="center"/>
      <protection locked="0"/>
    </xf>
    <xf numFmtId="164" fontId="29" fillId="10" borderId="3" xfId="0" applyNumberFormat="1" applyFont="1" applyFill="1" applyBorder="1" applyAlignment="1">
      <alignment horizontal="right" vertical="center"/>
    </xf>
    <xf numFmtId="0" fontId="30" fillId="10" borderId="3" xfId="0" applyFont="1" applyFill="1" applyBorder="1" applyAlignment="1">
      <alignment horizontal="left" vertical="center" wrapText="1"/>
    </xf>
    <xf numFmtId="170" fontId="1" fillId="10" borderId="2" xfId="0" applyNumberFormat="1" applyFont="1" applyFill="1" applyBorder="1" applyAlignment="1">
      <alignment horizontal="right" vertical="center"/>
    </xf>
    <xf numFmtId="0" fontId="31" fillId="2" borderId="2" xfId="0" applyFont="1" applyFill="1" applyBorder="1" applyAlignment="1" applyProtection="1">
      <alignment horizontal="left" vertical="center"/>
      <protection locked="0"/>
    </xf>
    <xf numFmtId="0" fontId="1" fillId="8" borderId="2" xfId="0" applyFont="1" applyFill="1" applyBorder="1" applyAlignment="1" applyProtection="1">
      <alignment horizontal="left" vertical="center"/>
      <protection locked="0"/>
    </xf>
    <xf numFmtId="0" fontId="28" fillId="10" borderId="2" xfId="0" applyFont="1" applyFill="1" applyBorder="1" applyAlignment="1">
      <alignment horizontal="left" vertical="center"/>
    </xf>
    <xf numFmtId="166" fontId="29" fillId="10" borderId="3" xfId="0" applyNumberFormat="1" applyFont="1" applyFill="1" applyBorder="1" applyAlignment="1">
      <alignment horizontal="right" vertical="center"/>
    </xf>
    <xf numFmtId="0" fontId="29" fillId="10" borderId="3" xfId="0" applyFont="1" applyFill="1" applyBorder="1" applyAlignment="1">
      <alignment horizontal="center" vertical="center"/>
    </xf>
    <xf numFmtId="0" fontId="28" fillId="10" borderId="2" xfId="0" applyFont="1" applyFill="1" applyBorder="1" applyAlignment="1">
      <alignment horizontal="left" vertical="center" wrapText="1"/>
    </xf>
    <xf numFmtId="0" fontId="32" fillId="2" borderId="2" xfId="0" applyFont="1" applyFill="1" applyBorder="1" applyAlignment="1" applyProtection="1">
      <alignment horizontal="left" vertical="center"/>
      <protection locked="0"/>
    </xf>
    <xf numFmtId="0" fontId="33" fillId="10" borderId="2" xfId="0" applyFont="1" applyFill="1" applyBorder="1" applyAlignment="1">
      <alignment horizontal="left" vertical="center"/>
    </xf>
    <xf numFmtId="0" fontId="21" fillId="10" borderId="3" xfId="0" applyFont="1" applyFill="1" applyBorder="1" applyAlignment="1">
      <alignment horizontal="center" vertical="center" wrapText="1"/>
    </xf>
    <xf numFmtId="1" fontId="21" fillId="10" borderId="2" xfId="0" applyNumberFormat="1" applyFont="1" applyFill="1" applyBorder="1" applyAlignment="1">
      <alignment horizontal="center" vertical="center"/>
    </xf>
    <xf numFmtId="0" fontId="28" fillId="2" borderId="2" xfId="0" applyFont="1" applyFill="1" applyBorder="1" applyAlignment="1" applyProtection="1">
      <alignment horizontal="left" vertical="center" wrapText="1"/>
      <protection locked="0"/>
    </xf>
    <xf numFmtId="0" fontId="3" fillId="14" borderId="1" xfId="0" applyFont="1" applyFill="1" applyBorder="1" applyAlignment="1" applyProtection="1">
      <alignment horizontal="left" vertical="center"/>
      <protection locked="0"/>
    </xf>
    <xf numFmtId="166" fontId="34" fillId="15" borderId="2" xfId="0" applyNumberFormat="1" applyFont="1" applyFill="1" applyBorder="1" applyAlignment="1" applyProtection="1">
      <alignment horizontal="right" vertical="center"/>
      <protection locked="0"/>
    </xf>
    <xf numFmtId="0" fontId="35" fillId="15" borderId="2" xfId="0" applyFont="1" applyFill="1" applyBorder="1" applyAlignment="1" applyProtection="1">
      <alignment horizontal="center" vertical="center"/>
      <protection locked="0"/>
    </xf>
    <xf numFmtId="0" fontId="1" fillId="16" borderId="2" xfId="0" applyFont="1" applyFill="1" applyBorder="1" applyAlignment="1" applyProtection="1">
      <alignment horizontal="left" vertical="center"/>
      <protection locked="0"/>
    </xf>
    <xf numFmtId="1" fontId="21" fillId="12" borderId="2" xfId="0" applyNumberFormat="1" applyFont="1" applyFill="1" applyBorder="1" applyAlignment="1" applyProtection="1">
      <alignment horizontal="center" vertical="center"/>
      <protection locked="0"/>
    </xf>
    <xf numFmtId="0" fontId="36" fillId="15" borderId="2" xfId="0" applyFont="1" applyFill="1" applyBorder="1" applyAlignment="1" applyProtection="1">
      <alignment horizontal="center" vertical="center"/>
      <protection locked="0"/>
    </xf>
    <xf numFmtId="0" fontId="3" fillId="17" borderId="1" xfId="0" applyFont="1" applyFill="1" applyBorder="1" applyAlignment="1" applyProtection="1">
      <alignment horizontal="left" vertical="center"/>
      <protection locked="0"/>
    </xf>
    <xf numFmtId="1" fontId="37" fillId="12" borderId="2" xfId="0" applyNumberFormat="1" applyFont="1" applyFill="1" applyBorder="1" applyAlignment="1" applyProtection="1">
      <alignment horizontal="center" vertical="center"/>
      <protection locked="0"/>
    </xf>
    <xf numFmtId="0" fontId="18" fillId="16" borderId="2" xfId="0" applyFont="1" applyFill="1" applyBorder="1" applyAlignment="1" applyProtection="1">
      <alignment horizontal="center" vertical="center"/>
      <protection locked="0"/>
    </xf>
    <xf numFmtId="170" fontId="18" fillId="12" borderId="2" xfId="0" applyNumberFormat="1" applyFont="1" applyFill="1" applyBorder="1" applyAlignment="1" applyProtection="1">
      <alignment horizontal="right" vertical="center"/>
      <protection locked="0"/>
    </xf>
    <xf numFmtId="0" fontId="18" fillId="2" borderId="2" xfId="0" applyFont="1" applyFill="1" applyBorder="1" applyAlignment="1" applyProtection="1">
      <alignment horizontal="center" vertical="center"/>
      <protection locked="0"/>
    </xf>
    <xf numFmtId="1" fontId="38" fillId="12" borderId="2" xfId="0" applyNumberFormat="1" applyFont="1" applyFill="1" applyBorder="1" applyAlignment="1" applyProtection="1">
      <alignment horizontal="center" vertical="center"/>
      <protection locked="0"/>
    </xf>
    <xf numFmtId="0" fontId="39" fillId="16" borderId="2" xfId="0" applyFont="1" applyFill="1" applyBorder="1" applyAlignment="1" applyProtection="1">
      <alignment horizontal="center" vertical="center"/>
      <protection locked="0"/>
    </xf>
    <xf numFmtId="0" fontId="29" fillId="12" borderId="2" xfId="0" applyFont="1" applyFill="1" applyBorder="1" applyAlignment="1" applyProtection="1">
      <alignment horizontal="center" vertical="center"/>
      <protection locked="0"/>
    </xf>
    <xf numFmtId="1" fontId="8" fillId="15" borderId="3" xfId="0" applyNumberFormat="1" applyFont="1" applyFill="1" applyBorder="1" applyAlignment="1" applyProtection="1">
      <alignment horizontal="center" vertical="center"/>
      <protection locked="0"/>
    </xf>
    <xf numFmtId="0" fontId="5" fillId="15" borderId="3" xfId="0" applyFont="1" applyFill="1" applyBorder="1" applyAlignment="1" applyProtection="1">
      <alignment horizontal="center" vertical="center" wrapText="1"/>
      <protection locked="0"/>
    </xf>
    <xf numFmtId="166" fontId="40" fillId="15" borderId="2" xfId="0" applyNumberFormat="1" applyFont="1" applyFill="1" applyBorder="1" applyAlignment="1" applyProtection="1">
      <alignment horizontal="center" vertical="center"/>
      <protection locked="0"/>
    </xf>
    <xf numFmtId="0" fontId="24" fillId="15" borderId="2" xfId="0" applyFont="1" applyFill="1" applyBorder="1" applyAlignment="1" applyProtection="1">
      <alignment horizontal="center" vertical="center"/>
      <protection locked="0"/>
    </xf>
    <xf numFmtId="0" fontId="14" fillId="3" borderId="2" xfId="0" applyFont="1" applyFill="1" applyBorder="1" applyAlignment="1" applyProtection="1">
      <alignment horizontal="left" vertical="center"/>
      <protection locked="0"/>
    </xf>
    <xf numFmtId="0" fontId="41" fillId="8" borderId="3" xfId="0" applyFont="1" applyFill="1" applyBorder="1" applyAlignment="1" applyProtection="1">
      <alignment horizontal="left" vertical="center"/>
      <protection locked="0"/>
    </xf>
    <xf numFmtId="171" fontId="41" fillId="8" borderId="3" xfId="0" applyNumberFormat="1" applyFont="1" applyFill="1" applyBorder="1" applyAlignment="1" applyProtection="1">
      <alignment horizontal="left" vertical="center"/>
      <protection locked="0"/>
    </xf>
    <xf numFmtId="0" fontId="42" fillId="4" borderId="1" xfId="0" applyFont="1" applyFill="1" applyBorder="1" applyAlignment="1" applyProtection="1">
      <alignment horizontal="center" vertical="center"/>
      <protection locked="0"/>
    </xf>
    <xf numFmtId="0" fontId="43" fillId="8" borderId="2" xfId="0" applyFont="1" applyFill="1" applyBorder="1" applyAlignment="1" applyProtection="1">
      <alignment horizontal="left" vertical="center"/>
      <protection locked="0"/>
    </xf>
    <xf numFmtId="0" fontId="43" fillId="8" borderId="2" xfId="0" applyFont="1" applyFill="1" applyBorder="1" applyAlignment="1" applyProtection="1">
      <alignment horizontal="right" vertical="center"/>
      <protection locked="0"/>
    </xf>
    <xf numFmtId="164" fontId="44" fillId="10" borderId="2" xfId="0" applyNumberFormat="1" applyFont="1" applyFill="1" applyBorder="1" applyAlignment="1">
      <alignment horizontal="right" vertical="center"/>
    </xf>
    <xf numFmtId="166" fontId="44" fillId="10" borderId="2" xfId="0" applyNumberFormat="1" applyFont="1" applyFill="1" applyBorder="1" applyAlignment="1">
      <alignment horizontal="right" vertical="center"/>
    </xf>
    <xf numFmtId="0" fontId="45" fillId="18" borderId="2" xfId="0" applyFont="1" applyFill="1" applyBorder="1" applyAlignment="1">
      <alignment horizontal="center" vertical="center" wrapText="1"/>
    </xf>
    <xf numFmtId="0" fontId="46" fillId="6" borderId="2" xfId="0" applyFont="1" applyFill="1" applyBorder="1" applyAlignment="1" applyProtection="1">
      <alignment horizontal="center" vertical="center"/>
      <protection locked="0"/>
    </xf>
    <xf numFmtId="164" fontId="14" fillId="4" borderId="2" xfId="0" applyNumberFormat="1" applyFont="1" applyFill="1" applyBorder="1" applyAlignment="1">
      <alignment horizontal="right" vertical="center"/>
    </xf>
    <xf numFmtId="166" fontId="14" fillId="4" borderId="2" xfId="0" applyNumberFormat="1" applyFont="1" applyFill="1" applyBorder="1" applyAlignment="1">
      <alignment horizontal="right" vertical="center"/>
    </xf>
    <xf numFmtId="0" fontId="3" fillId="4" borderId="1" xfId="0" applyFont="1" applyFill="1" applyBorder="1" applyAlignment="1" applyProtection="1">
      <alignment horizontal="left" vertical="center"/>
      <protection locked="0"/>
    </xf>
    <xf numFmtId="0" fontId="47" fillId="18" borderId="2" xfId="0" applyFont="1" applyFill="1" applyBorder="1" applyAlignment="1" applyProtection="1">
      <alignment horizontal="center" vertical="center"/>
      <protection locked="0"/>
    </xf>
    <xf numFmtId="0" fontId="48" fillId="19" borderId="2" xfId="0" applyFont="1" applyFill="1" applyBorder="1" applyAlignment="1" applyProtection="1">
      <alignment horizontal="left" vertical="center"/>
      <protection locked="0"/>
    </xf>
    <xf numFmtId="0" fontId="21" fillId="11" borderId="2" xfId="0" applyFont="1" applyFill="1" applyBorder="1" applyAlignment="1" applyProtection="1">
      <alignment horizontal="center" vertical="center"/>
      <protection locked="0"/>
    </xf>
    <xf numFmtId="0" fontId="34" fillId="11" borderId="2" xfId="0" applyFont="1" applyFill="1" applyBorder="1" applyAlignment="1" applyProtection="1">
      <alignment horizontal="center" vertical="center"/>
      <protection locked="0"/>
    </xf>
    <xf numFmtId="0" fontId="18" fillId="2" borderId="2" xfId="0" applyFont="1" applyFill="1" applyBorder="1" applyAlignment="1" applyProtection="1">
      <alignment horizontal="left" vertical="center" wrapText="1"/>
      <protection locked="0"/>
    </xf>
    <xf numFmtId="0" fontId="49" fillId="18" borderId="2" xfId="0" applyFont="1" applyFill="1" applyBorder="1" applyAlignment="1" applyProtection="1">
      <alignment horizontal="left" vertical="center"/>
      <protection locked="0"/>
    </xf>
    <xf numFmtId="0" fontId="50" fillId="2" borderId="2" xfId="0" applyFont="1" applyFill="1" applyBorder="1" applyAlignment="1" applyProtection="1">
      <alignment horizontal="left" vertical="center"/>
      <protection locked="0"/>
    </xf>
  </cellXfs>
  <cellStyles count="1">
    <cellStyle name="Normal" xfId="0" builtinId="0"/>
  </cellStyles>
  <dxfs count="6">
    <dxf>
      <font>
        <color rgb="FF065F46"/>
      </font>
      <fill>
        <patternFill>
          <bgColor rgb="FFD1FAE5"/>
        </patternFill>
      </fill>
      <border>
        <left style="thin">
          <color auto="1"/>
        </left>
        <right style="thin">
          <color auto="1"/>
        </right>
        <top style="thin">
          <color auto="1"/>
        </top>
        <bottom style="thin">
          <color auto="1"/>
        </bottom>
        <vertical/>
        <horizontal/>
      </border>
    </dxf>
    <dxf>
      <font>
        <color rgb="FF991B1B"/>
      </font>
      <fill>
        <patternFill>
          <bgColor rgb="FFFEE2E2"/>
        </patternFill>
      </fill>
      <border>
        <left style="thin">
          <color auto="1"/>
        </left>
        <right style="thin">
          <color auto="1"/>
        </right>
        <top style="thin">
          <color auto="1"/>
        </top>
        <bottom style="thin">
          <color auto="1"/>
        </bottom>
        <vertical/>
        <horizontal/>
      </border>
    </dxf>
    <dxf>
      <font>
        <color rgb="FF92400E"/>
      </font>
      <fill>
        <patternFill>
          <bgColor rgb="FFFEF3C7"/>
        </patternFill>
      </fill>
      <border>
        <left style="thin">
          <color auto="1"/>
        </left>
        <right style="thin">
          <color auto="1"/>
        </right>
        <top style="thin">
          <color auto="1"/>
        </top>
        <bottom style="thin">
          <color auto="1"/>
        </bottom>
        <vertical/>
        <horizontal/>
      </border>
    </dxf>
    <dxf>
      <font>
        <color rgb="FF065F46"/>
      </font>
      <fill>
        <patternFill>
          <bgColor rgb="FFD1FAE5"/>
        </patternFill>
      </fill>
      <border>
        <left style="thin">
          <color auto="1"/>
        </left>
        <right style="thin">
          <color auto="1"/>
        </right>
        <top style="thin">
          <color auto="1"/>
        </top>
        <bottom style="thin">
          <color auto="1"/>
        </bottom>
        <vertical/>
        <horizontal/>
      </border>
    </dxf>
    <dxf>
      <font>
        <color rgb="FF991B1B"/>
      </font>
      <fill>
        <patternFill>
          <bgColor rgb="FFFEE2E2"/>
        </patternFill>
      </fill>
      <border>
        <left style="thin">
          <color auto="1"/>
        </left>
        <right style="thin">
          <color auto="1"/>
        </right>
        <top style="thin">
          <color auto="1"/>
        </top>
        <bottom style="thin">
          <color auto="1"/>
        </bottom>
        <vertical/>
        <horizontal/>
      </border>
    </dxf>
    <dxf>
      <font>
        <color rgb="FF92400E"/>
      </font>
      <fill>
        <patternFill>
          <bgColor rgb="FFFEF3C7"/>
        </patternFill>
      </fill>
      <border>
        <left style="thin">
          <color auto="1"/>
        </left>
        <right style="thin">
          <color auto="1"/>
        </right>
        <top style="thin">
          <color auto="1"/>
        </top>
        <bottom style="thin">
          <color auto="1"/>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57150</xdr:colOff>
      <xdr:row>0</xdr:row>
      <xdr:rowOff>57150</xdr:rowOff>
    </xdr:from>
    <xdr:to>
      <xdr:col>0</xdr:col>
      <xdr:colOff>948690</xdr:colOff>
      <xdr:row>0</xdr:row>
      <xdr:rowOff>331470</xdr:rowOff>
    </xdr:to>
    <xdr:pic>
      <xdr:nvPicPr>
        <xdr:cNvPr id="2" name="Picture 1" descr="logo.png"/>
        <xdr:cNvPicPr>
          <a:picLocks noChangeAspect="1"/>
        </xdr:cNvPicPr>
      </xdr:nvPicPr>
      <xdr:blipFill>
        <a:blip xmlns:r="http://schemas.openxmlformats.org/officeDocument/2006/relationships" r:embed="rId1"/>
        <a:stretch>
          <a:fillRect/>
        </a:stretch>
      </xdr:blipFill>
      <xdr:spPr>
        <a:xfrm>
          <a:off x="57150" y="57150"/>
          <a:ext cx="891540" cy="27432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brvm.org" TargetMode="External"/><Relationship Id="rId2" Type="http://schemas.openxmlformats.org/officeDocument/2006/relationships/hyperlink" Target="https://www.richbourse.com" TargetMode="External"/><Relationship Id="rId3" Type="http://schemas.openxmlformats.org/officeDocument/2006/relationships/hyperlink" Target="https://www.sika-finance.com" TargetMode="External"/><Relationship Id="rId4" Type="http://schemas.openxmlformats.org/officeDocument/2006/relationships/hyperlink" Target="https://www.indexmundi.com/commodities/?commodity=rubber" TargetMode="External"/><Relationship Id="rId5" Type="http://schemas.openxmlformats.org/officeDocument/2006/relationships/hyperlink" Target="https://www.indexmundi.com/commodities/?commodity=palm-oil" TargetMode="External"/><Relationship Id="rId6" Type="http://schemas.openxmlformats.org/officeDocument/2006/relationships/hyperlink" Target="https://www.indexmundi.com/commodities/?commodity=cocoa" TargetMode="External"/><Relationship Id="rId7" Type="http://schemas.openxmlformats.org/officeDocument/2006/relationships/hyperlink" Target="https://www.indexmundi.com/commodities/?commodity=cotton" TargetMode="External"/><Relationship Id="rId8" Type="http://schemas.openxmlformats.org/officeDocument/2006/relationships/hyperlink" Target="https://www.indexmundi.com/commodities/?commodity=coffee-robusta" TargetMode="External"/><Relationship Id="rId9" Type="http://schemas.openxmlformats.org/officeDocument/2006/relationships/hyperlink" Target="https://www.worldbank.org/en/research/commodity-markets" TargetMode="External"/><Relationship Id="rId10" Type="http://schemas.openxmlformats.org/officeDocument/2006/relationships/hyperlink" Target="https://www.bceao.int" TargetMode="External"/><Relationship Id="rId11" Type="http://schemas.openxmlformats.org/officeDocument/2006/relationships/hyperlink" Target="https://www.boad.org" TargetMode="External"/><Relationship Id="rId12" Type="http://schemas.openxmlformats.org/officeDocument/2006/relationships/hyperlink" Target="https://data.worldbank.org" TargetMode="External"/><Relationship Id="rId13" Type="http://schemas.openxmlformats.org/officeDocument/2006/relationships/hyperlink" Target="https://www.sogb.ci" TargetMode="External"/><Relationship Id="rId14" Type="http://schemas.openxmlformats.org/officeDocument/2006/relationships/hyperlink" Target="https://www.saph.ci" TargetMode="External"/><Relationship Id="rId15" Type="http://schemas.openxmlformats.org/officeDocument/2006/relationships/hyperlink" Target="https://www.palmci.ci" TargetMode="External"/><Relationship Id="rId16" Type="http://schemas.openxmlformats.org/officeDocument/2006/relationships/hyperlink" Target="https://www.brvm.org/fr/societes-cotees" TargetMode="External"/></Relationships>
</file>

<file path=xl/worksheets/sheet1.xml><?xml version="1.0" encoding="utf-8"?>
<worksheet xmlns="http://schemas.openxmlformats.org/spreadsheetml/2006/main" xmlns:r="http://schemas.openxmlformats.org/officeDocument/2006/relationships">
  <sheetPr>
    <tabColor rgb="FF7C3AED"/>
    <pageSetUpPr fitToPage="1"/>
  </sheetPr>
  <dimension ref="A1:E34"/>
  <sheetViews>
    <sheetView showGridLines="0" tabSelected="1" workbookViewId="0"/>
  </sheetViews>
  <sheetFormatPr defaultRowHeight="15"/>
  <cols>
    <col min="1" max="1" width="30.7109375" customWidth="1"/>
    <col min="2" max="2" width="20.7109375" customWidth="1"/>
    <col min="3" max="3" width="2.7109375" customWidth="1"/>
    <col min="4" max="4" width="30.7109375" customWidth="1"/>
    <col min="5" max="5" width="20.7109375" customWidth="1"/>
  </cols>
  <sheetData>
    <row r="1" spans="1:5" ht="55" customHeight="1">
      <c r="A1" s="1"/>
      <c r="B1" s="1"/>
      <c r="C1" s="2" t="s">
        <v>0</v>
      </c>
      <c r="D1" s="2"/>
      <c r="E1" s="2"/>
    </row>
    <row r="2" spans="1:5" ht="18" customHeight="1">
      <c r="A2" s="1"/>
      <c r="B2" s="1"/>
      <c r="C2" s="3">
        <f>IF(PROFIL!B3="","[Completer onglet PROFIL]",PROFIL!B3&amp;"  ("&amp;PROFIL!B4&amp;")  |  "&amp;PROFIL!B5&amp;"  |  "&amp;IF(ISNUMBER(PROFIL!B6),TEXT(PROFIL!B6,"dd/mm/yyyy"),PROFIL!B6))</f>
        <v>0</v>
      </c>
      <c r="D2" s="3"/>
      <c r="E2" s="3"/>
    </row>
    <row r="3" spans="1:5" ht="6" customHeight="1">
      <c r="A3" s="1"/>
      <c r="B3" s="1"/>
      <c r="C3" s="1"/>
      <c r="D3" s="1"/>
      <c r="E3" s="1"/>
    </row>
    <row r="4" spans="1:5" ht="18" customHeight="1">
      <c r="A4" s="4" t="s">
        <v>1</v>
      </c>
      <c r="B4" s="4"/>
      <c r="C4" s="1"/>
      <c r="D4" s="4" t="s">
        <v>2</v>
      </c>
      <c r="E4" s="4"/>
    </row>
    <row r="5" spans="1:5" ht="18" customHeight="1">
      <c r="A5" s="5" t="s">
        <v>3</v>
      </c>
      <c r="B5" s="6">
        <f>IFERROR(ETUDE!B24,"")</f>
        <v>0</v>
      </c>
      <c r="C5" s="1"/>
      <c r="D5" s="5" t="s">
        <v>9</v>
      </c>
      <c r="E5" s="7">
        <f>IFERROR(SYNTHESE!E16,"")</f>
        <v>0</v>
      </c>
    </row>
    <row r="6" spans="1:5" ht="18" customHeight="1">
      <c r="A6" s="5" t="s">
        <v>4</v>
      </c>
      <c r="B6" s="8">
        <f>IFERROR(ETUDE!B30,"")</f>
        <v>0</v>
      </c>
      <c r="C6" s="1"/>
      <c r="D6" s="5" t="s">
        <v>10</v>
      </c>
      <c r="E6" s="9">
        <f>IFERROR(SYNTHESE!E25,"")</f>
        <v>0</v>
      </c>
    </row>
    <row r="7" spans="1:5" ht="18" customHeight="1">
      <c r="A7" s="5" t="s">
        <v>5</v>
      </c>
      <c r="B7" s="8">
        <f>IFERROR(ETUDE!B32,"")</f>
        <v>0</v>
      </c>
      <c r="C7" s="1"/>
      <c r="D7" s="5" t="s">
        <v>11</v>
      </c>
      <c r="E7" s="10">
        <f>IFERROR(SYNTHESE!B31,"")</f>
        <v>0</v>
      </c>
    </row>
    <row r="8" spans="1:5" ht="44" customHeight="1">
      <c r="A8" s="5" t="s">
        <v>6</v>
      </c>
      <c r="B8" s="8">
        <f>IFERROR(ETUDE!B33,"")</f>
        <v>0</v>
      </c>
      <c r="C8" s="1"/>
      <c r="D8" s="11">
        <f>IFERROR(SYNTHESE!E31,"—")</f>
        <v>0</v>
      </c>
      <c r="E8" s="11"/>
    </row>
    <row r="9" spans="1:5" ht="18" customHeight="1">
      <c r="A9" s="5" t="s">
        <v>7</v>
      </c>
      <c r="B9" s="6">
        <f>IFERROR(ETUDE!B31,"")</f>
        <v>0</v>
      </c>
      <c r="C9" s="1"/>
      <c r="D9" s="11"/>
      <c r="E9" s="11"/>
    </row>
    <row r="10" spans="1:5" ht="18" customHeight="1">
      <c r="A10" s="5" t="s">
        <v>8</v>
      </c>
      <c r="B10" s="6">
        <f>IFERROR(ETUDE!B238,"")</f>
        <v>0</v>
      </c>
      <c r="C10" s="1"/>
      <c r="D10" s="11"/>
      <c r="E10" s="11"/>
    </row>
    <row r="11" spans="1:5" ht="18" customHeight="1">
      <c r="D11" s="5" t="s">
        <v>12</v>
      </c>
      <c r="E11" s="12">
        <f>IFERROR(ETUDE!D238,"")</f>
        <v>0</v>
      </c>
    </row>
    <row r="12" spans="1:5" ht="6" customHeight="1">
      <c r="A12" s="1"/>
      <c r="B12" s="1"/>
      <c r="C12" s="1"/>
      <c r="D12" s="1"/>
      <c r="E12" s="1"/>
    </row>
    <row r="13" spans="1:5" ht="18" customHeight="1">
      <c r="A13" s="4" t="s">
        <v>13</v>
      </c>
      <c r="B13" s="4"/>
      <c r="C13" s="4"/>
      <c r="D13" s="4"/>
      <c r="E13" s="4"/>
    </row>
    <row r="14" spans="1:5" ht="22" customHeight="1">
      <c r="A14" s="5" t="s">
        <v>14</v>
      </c>
      <c r="B14" s="13">
        <f>IFERROR(SYNTHESE!A35,"")</f>
        <v>0</v>
      </c>
      <c r="C14" s="1"/>
      <c r="D14" s="5" t="s">
        <v>15</v>
      </c>
      <c r="E14" s="12">
        <f>IFERROR(SYNTHESE!B35,"")</f>
        <v>0</v>
      </c>
    </row>
    <row r="15" spans="1:5" ht="6" customHeight="1">
      <c r="A15" s="1"/>
      <c r="B15" s="1"/>
      <c r="C15" s="1"/>
      <c r="D15" s="1"/>
      <c r="E15" s="1"/>
    </row>
    <row r="16" spans="1:5" ht="18" customHeight="1">
      <c r="A16" s="4" t="s">
        <v>16</v>
      </c>
      <c r="B16" s="4"/>
      <c r="C16" s="4"/>
      <c r="D16" s="4"/>
      <c r="E16" s="4"/>
    </row>
    <row r="17" spans="1:5" ht="18" customHeight="1">
      <c r="A17" s="5" t="s">
        <v>17</v>
      </c>
      <c r="B17" s="12">
        <f>IFERROR(IF(ETUDE!B261="","N/A",ETUDE!B261),"N/A")</f>
        <v>0</v>
      </c>
      <c r="C17" s="1"/>
      <c r="D17" s="5" t="s">
        <v>18</v>
      </c>
      <c r="E17" s="12">
        <f>IFERROR(IF(ETUDE!B268="","N/A",ETUDE!B268),"N/A")</f>
        <v>0</v>
      </c>
    </row>
    <row r="18" spans="1:5" ht="18" customHeight="1">
      <c r="A18" s="5" t="s">
        <v>19</v>
      </c>
      <c r="B18" s="5"/>
      <c r="D18" s="12">
        <f>IFERROR(IF(ETUDE!B269="","—",ETUDE!B269),"—")</f>
        <v>0</v>
      </c>
      <c r="E18" s="12"/>
    </row>
    <row r="19" spans="1:5" ht="6" customHeight="1">
      <c r="A19" s="1"/>
      <c r="B19" s="1"/>
      <c r="C19" s="1"/>
      <c r="D19" s="1"/>
      <c r="E19" s="1"/>
    </row>
    <row r="20" spans="1:5" ht="18" customHeight="1">
      <c r="A20" s="4" t="s">
        <v>20</v>
      </c>
      <c r="B20" s="4"/>
      <c r="C20" s="4"/>
      <c r="D20" s="4"/>
      <c r="E20" s="4"/>
    </row>
    <row r="21" spans="1:5" ht="22" customHeight="1">
      <c r="A21" s="14">
        <f>IFERROR(IF(SYNTHESE!A38="","[Completer la recommandation dans SYNTHESE &gt; ligne 38]",SYNTHESE!A38),"[—]")</f>
        <v>0</v>
      </c>
      <c r="B21" s="14"/>
      <c r="C21" s="14"/>
      <c r="D21" s="14"/>
      <c r="E21" s="14"/>
    </row>
    <row r="22" spans="1:5" ht="22" customHeight="1">
      <c r="A22" s="14"/>
      <c r="B22" s="14"/>
      <c r="C22" s="14"/>
      <c r="D22" s="14"/>
      <c r="E22" s="14"/>
    </row>
    <row r="23" spans="1:5" ht="22" customHeight="1">
      <c r="A23" s="14"/>
      <c r="B23" s="14"/>
      <c r="C23" s="14"/>
      <c r="D23" s="14"/>
      <c r="E23" s="14"/>
    </row>
    <row r="24" spans="1:5" ht="22" customHeight="1">
      <c r="A24" s="14"/>
      <c r="B24" s="14"/>
      <c r="C24" s="14"/>
      <c r="D24" s="14"/>
      <c r="E24" s="14"/>
    </row>
    <row r="25" spans="1:5" ht="6" customHeight="1">
      <c r="A25" s="1"/>
      <c r="B25" s="1"/>
      <c r="C25" s="1"/>
      <c r="D25" s="1"/>
      <c r="E25" s="1"/>
    </row>
    <row r="26" spans="1:5" ht="18" customHeight="1">
      <c r="A26" s="4" t="s">
        <v>21</v>
      </c>
      <c r="B26" s="4"/>
      <c r="C26" s="4"/>
      <c r="D26" s="4"/>
      <c r="E26" s="4"/>
    </row>
    <row r="27" spans="1:5" ht="22" customHeight="1">
      <c r="A27" s="5" t="s">
        <v>22</v>
      </c>
      <c r="B27" s="15"/>
      <c r="C27" s="1"/>
      <c r="D27" s="5" t="s">
        <v>23</v>
      </c>
      <c r="E27" s="15"/>
    </row>
    <row r="28" spans="1:5" ht="22" customHeight="1">
      <c r="A28" s="5" t="s">
        <v>24</v>
      </c>
      <c r="B28" s="15"/>
      <c r="C28" s="15"/>
      <c r="D28" s="15"/>
      <c r="E28" s="15"/>
    </row>
    <row r="29" spans="1:5" ht="6" customHeight="1">
      <c r="A29" s="1"/>
      <c r="B29" s="1"/>
      <c r="C29" s="1"/>
      <c r="D29" s="1"/>
      <c r="E29" s="1"/>
    </row>
    <row r="30" spans="1:5" ht="14" customHeight="1">
      <c r="A30" s="16" t="s">
        <v>25</v>
      </c>
      <c r="B30" s="16"/>
      <c r="C30" s="16"/>
      <c r="D30" s="16"/>
      <c r="E30" s="16"/>
    </row>
    <row r="31" spans="1:5" ht="14" customHeight="1">
      <c r="A31" s="17" t="s">
        <v>26</v>
      </c>
      <c r="B31" s="17"/>
      <c r="C31" s="17"/>
      <c r="D31" s="17"/>
      <c r="E31" s="17"/>
    </row>
    <row r="32" spans="1:5" ht="14" customHeight="1">
      <c r="A32" s="17"/>
      <c r="B32" s="17"/>
      <c r="C32" s="17"/>
      <c r="D32" s="17"/>
      <c r="E32" s="17"/>
    </row>
    <row r="33" spans="1:5" ht="14" customHeight="1">
      <c r="A33" s="17"/>
      <c r="B33" s="17"/>
      <c r="C33" s="17"/>
      <c r="D33" s="17"/>
      <c r="E33" s="17"/>
    </row>
    <row r="34" spans="1:5" ht="12" customHeight="1">
      <c r="A34" s="18" t="s">
        <v>27</v>
      </c>
      <c r="B34" s="18"/>
      <c r="C34" s="18"/>
      <c r="D34" s="18"/>
      <c r="E34" s="18"/>
    </row>
  </sheetData>
  <mergeCells count="23">
    <mergeCell ref="A1:B2"/>
    <mergeCell ref="C1:E1"/>
    <mergeCell ref="C2:E2"/>
    <mergeCell ref="A3:E3"/>
    <mergeCell ref="A4:B4"/>
    <mergeCell ref="D4:E4"/>
    <mergeCell ref="D8:E10"/>
    <mergeCell ref="A12:E12"/>
    <mergeCell ref="A13:E13"/>
    <mergeCell ref="A15:E15"/>
    <mergeCell ref="A16:E16"/>
    <mergeCell ref="A18:B18"/>
    <mergeCell ref="D18:E18"/>
    <mergeCell ref="A19:E19"/>
    <mergeCell ref="A20:E20"/>
    <mergeCell ref="A21:E24"/>
    <mergeCell ref="A25:E25"/>
    <mergeCell ref="A26:E26"/>
    <mergeCell ref="B28:E28"/>
    <mergeCell ref="A29:E29"/>
    <mergeCell ref="A30:E30"/>
    <mergeCell ref="A31:E33"/>
    <mergeCell ref="A34:E34"/>
  </mergeCells>
  <pageMargins left="0.5" right="0.5" top="0.6" bottom="0.6" header="0.3" footer="0.3"/>
  <pageSetup paperSize="9" orientation="portrait"/>
  <drawing r:id="rId1"/>
</worksheet>
</file>

<file path=xl/worksheets/sheet2.xml><?xml version="1.0" encoding="utf-8"?>
<worksheet xmlns="http://schemas.openxmlformats.org/spreadsheetml/2006/main" xmlns:r="http://schemas.openxmlformats.org/officeDocument/2006/relationships">
  <sheetPr>
    <tabColor rgb="FF0EA5E9"/>
  </sheetPr>
  <dimension ref="A1:H287"/>
  <sheetViews>
    <sheetView workbookViewId="0">
      <pane ySplit="1" topLeftCell="A2" activePane="bottomLeft" state="frozen"/>
      <selection pane="bottomLeft"/>
    </sheetView>
  </sheetViews>
  <sheetFormatPr defaultRowHeight="15"/>
  <cols>
    <col min="1" max="1" width="34.7109375" customWidth="1"/>
    <col min="2" max="4" width="13.7109375" customWidth="1"/>
    <col min="5" max="5" width="22.7109375" customWidth="1"/>
    <col min="6" max="6" width="11.7109375" customWidth="1"/>
    <col min="7" max="7" width="18.7109375" customWidth="1"/>
    <col min="8" max="8" width="13.7109375" customWidth="1"/>
  </cols>
  <sheetData>
    <row r="1" spans="1:8" ht="26" customHeight="1">
      <c r="A1" s="19">
        <f>IF(PROFIL!B3="","FICHE D'ANALYSE BRVM — [Completer onglet PROFIL]","FICHE D'ANALYSE BRVM — "&amp;PROFIL!B3&amp;"  ("&amp;PROFIL!B4&amp;")  |  "&amp;PROFIL!B5&amp;"  |  "&amp;IF(ISNUMBER(PROFIL!B6),TEXT(PROFIL!B6,"dd/mm/yyyy"),PROFIL!B6))</f>
        <v>0</v>
      </c>
      <c r="B1" s="19"/>
      <c r="C1" s="19"/>
      <c r="D1" s="19"/>
      <c r="E1" s="19"/>
      <c r="F1" s="19"/>
      <c r="G1" s="19"/>
      <c r="H1" s="19"/>
    </row>
    <row r="2" spans="1:8">
      <c r="A2" s="20">
        <f>IF(PROFIL!B3="","Completer le PROFIL : nom, ticker, secteur, date","Nom : "&amp;PROFIL!B3&amp;"  |  Ticker : "&amp;PROFIL!B4&amp;"  |  Secteur : "&amp;PROFIL!B5&amp;"  |  Date : "&amp;IF(ISNUMBER(PROFIL!B6),TEXT(PROFIL!B6,"dd/mm/yyyy"),PROFIL!B6))</f>
        <v>0</v>
      </c>
      <c r="B2" s="20"/>
      <c r="C2" s="20"/>
      <c r="D2" s="20"/>
      <c r="E2" s="20"/>
      <c r="F2" s="20"/>
      <c r="G2" s="20"/>
      <c r="H2" s="20"/>
    </row>
    <row r="3" spans="1:8" ht="5" customHeight="1"/>
    <row r="4" spans="1:8" ht="22" customHeight="1">
      <c r="A4" s="19" t="s">
        <v>28</v>
      </c>
      <c r="B4" s="19"/>
      <c r="C4" s="19"/>
      <c r="D4" s="19"/>
      <c r="E4" s="19"/>
      <c r="F4" s="19"/>
      <c r="G4" s="19"/>
      <c r="H4" s="19"/>
    </row>
    <row r="5" spans="1:8" ht="5" customHeight="1"/>
    <row r="6" spans="1:8" ht="20" customHeight="1">
      <c r="A6" s="21" t="s">
        <v>29</v>
      </c>
      <c r="B6" s="21"/>
      <c r="C6" s="21"/>
      <c r="D6" s="21"/>
      <c r="E6" s="21"/>
      <c r="F6" s="21"/>
      <c r="G6" s="21"/>
      <c r="H6" s="21"/>
    </row>
    <row r="7" spans="1:8">
      <c r="A7" s="22"/>
      <c r="B7" s="22" t="s">
        <v>30</v>
      </c>
      <c r="C7" s="22" t="s">
        <v>31</v>
      </c>
      <c r="D7" s="22" t="s">
        <v>32</v>
      </c>
      <c r="E7" s="22" t="s">
        <v>33</v>
      </c>
      <c r="F7" s="22" t="s">
        <v>34</v>
      </c>
      <c r="G7" s="22" t="s">
        <v>35</v>
      </c>
      <c r="H7" s="22" t="s">
        <v>36</v>
      </c>
    </row>
    <row r="8" spans="1:8">
      <c r="A8" s="23" t="s">
        <v>37</v>
      </c>
      <c r="B8" s="24"/>
      <c r="C8" s="24"/>
      <c r="D8" s="24"/>
      <c r="E8" s="24"/>
      <c r="F8" s="24"/>
      <c r="G8" s="25">
        <f>IF(B8=0,"",((F8-B8)/B8)*100)</f>
        <v>0</v>
      </c>
      <c r="H8" s="26">
        <f>IF(OR(B8=0,F8=0),"",(F8/B8)^(1/4)-1)</f>
        <v>0</v>
      </c>
    </row>
    <row r="9" spans="1:8" ht="5" customHeight="1"/>
    <row r="10" spans="1:8" ht="20" customHeight="1">
      <c r="A10" s="21" t="s">
        <v>38</v>
      </c>
      <c r="B10" s="21"/>
      <c r="C10" s="21"/>
      <c r="D10" s="21"/>
      <c r="E10" s="21"/>
      <c r="F10" s="21"/>
      <c r="G10" s="21"/>
      <c r="H10" s="21"/>
    </row>
    <row r="11" spans="1:8">
      <c r="A11" s="22"/>
      <c r="B11" s="22" t="s">
        <v>30</v>
      </c>
      <c r="C11" s="22" t="s">
        <v>31</v>
      </c>
      <c r="D11" s="22" t="s">
        <v>32</v>
      </c>
      <c r="E11" s="22" t="s">
        <v>33</v>
      </c>
      <c r="F11" s="22" t="s">
        <v>34</v>
      </c>
      <c r="G11" s="22" t="s">
        <v>35</v>
      </c>
      <c r="H11" s="22" t="s">
        <v>36</v>
      </c>
    </row>
    <row r="12" spans="1:8">
      <c r="A12" s="23" t="s">
        <v>39</v>
      </c>
      <c r="B12" s="24"/>
      <c r="C12" s="24"/>
      <c r="D12" s="24"/>
      <c r="E12" s="24"/>
      <c r="F12" s="24"/>
      <c r="G12" s="25">
        <f>IF(B12=0,"",((F12-B12)/ABS(B12))*100)</f>
        <v>0</v>
      </c>
      <c r="H12" s="26">
        <f>IF(OR(B12=0,F12/B12&lt;0),"N/A",(F12/B12)^(1/4)-1)</f>
        <v>0</v>
      </c>
    </row>
    <row r="13" spans="1:8" ht="5" customHeight="1"/>
    <row r="14" spans="1:8" ht="20" customHeight="1">
      <c r="A14" s="21" t="s">
        <v>40</v>
      </c>
      <c r="B14" s="21"/>
      <c r="C14" s="21"/>
      <c r="D14" s="21"/>
      <c r="E14" s="21"/>
      <c r="F14" s="21"/>
      <c r="G14" s="21"/>
      <c r="H14" s="21"/>
    </row>
    <row r="15" spans="1:8">
      <c r="A15" s="22" t="s">
        <v>41</v>
      </c>
      <c r="B15" s="22" t="s">
        <v>42</v>
      </c>
      <c r="C15" s="22" t="s">
        <v>43</v>
      </c>
      <c r="D15" s="22" t="s">
        <v>44</v>
      </c>
      <c r="E15" s="22" t="s">
        <v>45</v>
      </c>
      <c r="F15" s="22" t="s">
        <v>46</v>
      </c>
      <c r="G15" s="22" t="s">
        <v>47</v>
      </c>
    </row>
    <row r="16" spans="1:8">
      <c r="A16" s="23" t="s">
        <v>30</v>
      </c>
      <c r="B16" s="27">
        <f>B12</f>
        <v>0</v>
      </c>
      <c r="C16" s="27">
        <f>B8</f>
        <v>0</v>
      </c>
      <c r="D16" s="25">
        <f>IFERROR(B16/C16*100,"")</f>
        <v>0</v>
      </c>
      <c r="E16" s="28">
        <f>IFERROR(IF(D16&gt;=10,"Tres rentable",IF(D16&gt;=5,"Rentable",IF(D16&gt;=2,"Faiblement rentable","Tres faible"))),"-")</f>
        <v>0</v>
      </c>
      <c r="F16" s="29" t="s">
        <v>48</v>
      </c>
      <c r="G16" s="25">
        <f>IFERROR(AVERAGE(D16:D20),"")</f>
        <v>0</v>
      </c>
    </row>
    <row r="17" spans="1:8">
      <c r="A17" s="23" t="s">
        <v>31</v>
      </c>
      <c r="B17" s="27">
        <f>C12</f>
        <v>0</v>
      </c>
      <c r="C17" s="27">
        <f>C8</f>
        <v>0</v>
      </c>
      <c r="D17" s="25">
        <f>IFERROR(B17/C17*100,"")</f>
        <v>0</v>
      </c>
      <c r="E17" s="28">
        <f>IFERROR(IF(D17&gt;=10,"Tres rentable",IF(D17&gt;=5,"Rentable",IF(D17&gt;=2,"Faiblement rentable","Tres faible"))),"-")</f>
        <v>0</v>
      </c>
      <c r="F17" s="30"/>
      <c r="G17" s="30"/>
    </row>
    <row r="18" spans="1:8">
      <c r="A18" s="23" t="s">
        <v>32</v>
      </c>
      <c r="B18" s="27">
        <f>D12</f>
        <v>0</v>
      </c>
      <c r="C18" s="27">
        <f>D8</f>
        <v>0</v>
      </c>
      <c r="D18" s="25">
        <f>IFERROR(B18/C18*100,"")</f>
        <v>0</v>
      </c>
      <c r="E18" s="28">
        <f>IFERROR(IF(D18&gt;=10,"Tres rentable",IF(D18&gt;=5,"Rentable",IF(D18&gt;=2,"Faiblement rentable","Tres faible"))),"-")</f>
        <v>0</v>
      </c>
      <c r="F18" s="30"/>
      <c r="G18" s="30"/>
    </row>
    <row r="19" spans="1:8">
      <c r="A19" s="23" t="s">
        <v>33</v>
      </c>
      <c r="B19" s="27">
        <f>E12</f>
        <v>0</v>
      </c>
      <c r="C19" s="27">
        <f>E8</f>
        <v>0</v>
      </c>
      <c r="D19" s="25">
        <f>IFERROR(B19/C19*100,"")</f>
        <v>0</v>
      </c>
      <c r="E19" s="28">
        <f>IFERROR(IF(D19&gt;=10,"Tres rentable",IF(D19&gt;=5,"Rentable",IF(D19&gt;=2,"Faiblement rentable","Tres faible"))),"-")</f>
        <v>0</v>
      </c>
      <c r="F19" s="30"/>
      <c r="G19" s="30"/>
    </row>
    <row r="20" spans="1:8">
      <c r="A20" s="23" t="s">
        <v>49</v>
      </c>
      <c r="B20" s="27">
        <f>F12</f>
        <v>0</v>
      </c>
      <c r="C20" s="27">
        <f>F8</f>
        <v>0</v>
      </c>
      <c r="D20" s="25">
        <f>IFERROR(B20/C20*100,"")</f>
        <v>0</v>
      </c>
      <c r="E20" s="28">
        <f>IFERROR(IF(D20&gt;=10,"Tres rentable",IF(D20&gt;=5,"Rentable",IF(D20&gt;=2,"Faiblement rentable","Tres faible"))),"-")</f>
        <v>0</v>
      </c>
      <c r="F20" s="30"/>
      <c r="G20" s="30"/>
    </row>
    <row r="21" spans="1:8" ht="5" customHeight="1"/>
    <row r="22" spans="1:8" ht="20" customHeight="1">
      <c r="A22" s="21" t="s">
        <v>50</v>
      </c>
      <c r="B22" s="21"/>
      <c r="C22" s="21"/>
      <c r="D22" s="21"/>
      <c r="E22" s="21"/>
      <c r="F22" s="21"/>
      <c r="G22" s="21"/>
      <c r="H22" s="21"/>
    </row>
    <row r="23" spans="1:8">
      <c r="A23" s="22" t="s">
        <v>51</v>
      </c>
      <c r="B23" s="22" t="s">
        <v>52</v>
      </c>
      <c r="C23" s="22" t="s">
        <v>53</v>
      </c>
      <c r="D23" s="22" t="s">
        <v>54</v>
      </c>
      <c r="E23" s="22"/>
      <c r="F23" s="22"/>
      <c r="G23" s="22"/>
      <c r="H23" s="22"/>
    </row>
    <row r="24" spans="1:8">
      <c r="A24" s="23" t="s">
        <v>55</v>
      </c>
      <c r="B24" s="31"/>
      <c r="C24" s="32" t="s">
        <v>56</v>
      </c>
      <c r="D24" s="32"/>
      <c r="E24" s="32"/>
      <c r="F24" s="32"/>
      <c r="G24" s="32"/>
    </row>
    <row r="25" spans="1:8">
      <c r="A25" s="23" t="s">
        <v>57</v>
      </c>
      <c r="B25" s="33"/>
      <c r="C25" s="32" t="s">
        <v>58</v>
      </c>
      <c r="D25" s="32"/>
      <c r="E25" s="32"/>
      <c r="F25" s="32"/>
      <c r="G25" s="32"/>
    </row>
    <row r="26" spans="1:8">
      <c r="A26" s="23" t="s">
        <v>59</v>
      </c>
      <c r="B26" s="31"/>
      <c r="C26" s="32" t="s">
        <v>60</v>
      </c>
      <c r="D26" s="32"/>
      <c r="E26" s="32"/>
      <c r="F26" s="32"/>
      <c r="G26" s="32"/>
    </row>
    <row r="27" spans="1:8">
      <c r="A27" s="23" t="s">
        <v>61</v>
      </c>
      <c r="B27" s="31"/>
      <c r="C27" s="32" t="s">
        <v>62</v>
      </c>
      <c r="D27" s="32"/>
      <c r="E27" s="32"/>
      <c r="F27" s="32"/>
      <c r="G27" s="32"/>
    </row>
    <row r="28" spans="1:8">
      <c r="A28" s="23" t="s">
        <v>63</v>
      </c>
      <c r="B28" s="34">
        <f>IFERROR(PROFIL!B17,"")</f>
        <v>0</v>
      </c>
      <c r="C28" s="32" t="s">
        <v>64</v>
      </c>
      <c r="D28" s="32"/>
      <c r="E28" s="32"/>
      <c r="F28" s="32"/>
      <c r="G28" s="32"/>
    </row>
    <row r="29" spans="1:8" ht="5" customHeight="1"/>
    <row r="30" spans="1:8">
      <c r="A30" s="23" t="s">
        <v>65</v>
      </c>
      <c r="B30" s="25">
        <f>IFERROR(B24/B25,"")</f>
        <v>0</v>
      </c>
      <c r="C30" s="29" t="s">
        <v>66</v>
      </c>
      <c r="D30" s="28">
        <f>IFERROR(IF(B30&gt;15,"Surevalue",IF(B30&lt;9,"Sous-evalue","Zone normale (9-15)")),"-")</f>
        <v>0</v>
      </c>
    </row>
    <row r="31" spans="1:8">
      <c r="A31" s="23" t="s">
        <v>67</v>
      </c>
      <c r="B31" s="35">
        <f>IFERROR(B26/B28,"")</f>
        <v>0</v>
      </c>
      <c r="C31" s="29" t="s">
        <v>68</v>
      </c>
      <c r="D31" s="28">
        <f>IFERROR(IF(B24&gt;B31,"Action surevaluee vs VMC","Action sous-evaluee vs VMC"),"-")</f>
        <v>0</v>
      </c>
    </row>
    <row r="32" spans="1:8">
      <c r="A32" s="23" t="s">
        <v>69</v>
      </c>
      <c r="B32" s="25">
        <f>IFERROR(B27/B26,"")</f>
        <v>0</v>
      </c>
      <c r="C32" s="29" t="s">
        <v>70</v>
      </c>
      <c r="D32" s="28">
        <f>IFERROR(IF(B32&lt;1,"Decote comptable",IF(B32&lt;2,"Normal","Prime elevee")),"-")</f>
        <v>0</v>
      </c>
    </row>
    <row r="33" spans="1:8">
      <c r="A33" s="23" t="s">
        <v>71</v>
      </c>
      <c r="B33" s="25">
        <f>IFERROR(F12*1000000/B26*100,"")</f>
        <v>0</v>
      </c>
      <c r="C33" s="29" t="s">
        <v>72</v>
      </c>
      <c r="D33" s="28">
        <f>IFERROR(IF(B33&gt;=15,"Excellent",IF(B33&gt;=10,"Bon",IF(B33&gt;=5,"Moyen","Faible"))),"-")</f>
        <v>0</v>
      </c>
    </row>
    <row r="34" spans="1:8">
      <c r="A34" s="23" t="s">
        <v>73</v>
      </c>
      <c r="B34" s="25">
        <f>IFERROR(B30*B32,"")</f>
        <v>0</v>
      </c>
      <c r="C34" s="29" t="s">
        <v>74</v>
      </c>
      <c r="D34" s="28">
        <f>IFERROR(IF(B34&lt;22,"Decote globale (achat possible)","Surevaluation"),"-")</f>
        <v>0</v>
      </c>
    </row>
    <row r="35" spans="1:8" ht="5" customHeight="1"/>
    <row r="36" spans="1:8" ht="20" customHeight="1">
      <c r="A36" s="21" t="s">
        <v>75</v>
      </c>
      <c r="B36" s="21"/>
      <c r="C36" s="21"/>
      <c r="D36" s="21"/>
      <c r="E36" s="21"/>
      <c r="F36" s="21"/>
      <c r="G36" s="21"/>
      <c r="H36" s="21"/>
    </row>
    <row r="37" spans="1:8">
      <c r="A37" s="22" t="s">
        <v>41</v>
      </c>
      <c r="B37" s="22" t="s">
        <v>76</v>
      </c>
      <c r="C37" s="22" t="s">
        <v>77</v>
      </c>
      <c r="D37" s="22" t="s">
        <v>78</v>
      </c>
      <c r="E37" s="22" t="s">
        <v>79</v>
      </c>
      <c r="F37" s="22" t="s">
        <v>80</v>
      </c>
    </row>
    <row r="38" spans="1:8" ht="25" customHeight="1">
      <c r="A38" s="36" t="s">
        <v>81</v>
      </c>
      <c r="B38" s="36"/>
      <c r="C38" s="36"/>
      <c r="D38" s="36"/>
      <c r="E38" s="36"/>
      <c r="F38" s="36"/>
    </row>
    <row r="39" spans="1:8">
      <c r="A39" s="23" t="s">
        <v>30</v>
      </c>
      <c r="B39" s="37"/>
      <c r="C39" s="37"/>
      <c r="D39" s="25">
        <f>IFERROR((B39/0.85)/C39*100,"")</f>
        <v>0</v>
      </c>
      <c r="E39" s="25">
        <f>IFERROR(B39/B24*100,"")</f>
        <v>0</v>
      </c>
      <c r="F39" s="30"/>
    </row>
    <row r="40" spans="1:8">
      <c r="A40" s="23" t="s">
        <v>31</v>
      </c>
      <c r="B40" s="37"/>
      <c r="C40" s="37"/>
      <c r="D40" s="25">
        <f>IFERROR((B40/0.85)/C40*100,"")</f>
        <v>0</v>
      </c>
      <c r="E40" s="25">
        <f>IFERROR(B40/B24*100,"")</f>
        <v>0</v>
      </c>
      <c r="F40" s="25">
        <f>IFERROR((B40-B39)/ABS(B39)*100,"")</f>
        <v>0</v>
      </c>
    </row>
    <row r="41" spans="1:8">
      <c r="A41" s="23" t="s">
        <v>32</v>
      </c>
      <c r="B41" s="37"/>
      <c r="C41" s="37"/>
      <c r="D41" s="25">
        <f>IFERROR((B41/0.85)/C41*100,"")</f>
        <v>0</v>
      </c>
      <c r="E41" s="25">
        <f>IFERROR(B41/B24*100,"")</f>
        <v>0</v>
      </c>
      <c r="F41" s="25">
        <f>IFERROR((B41-B40)/ABS(B40)*100,"")</f>
        <v>0</v>
      </c>
    </row>
    <row r="42" spans="1:8">
      <c r="A42" s="23" t="s">
        <v>33</v>
      </c>
      <c r="B42" s="37"/>
      <c r="C42" s="37"/>
      <c r="D42" s="25">
        <f>IFERROR((B42/0.85)/C42*100,"")</f>
        <v>0</v>
      </c>
      <c r="E42" s="25">
        <f>IFERROR(B42/B24*100,"")</f>
        <v>0</v>
      </c>
      <c r="F42" s="25">
        <f>IFERROR((B42-B41)/ABS(B41)*100,"")</f>
        <v>0</v>
      </c>
    </row>
    <row r="43" spans="1:8">
      <c r="A43" s="23" t="s">
        <v>49</v>
      </c>
      <c r="B43" s="37"/>
      <c r="C43" s="37"/>
      <c r="D43" s="25">
        <f>IFERROR((B43/0.85)/C43*100,"")</f>
        <v>0</v>
      </c>
      <c r="E43" s="25">
        <f>IFERROR(B43/B24*100,"")</f>
        <v>0</v>
      </c>
      <c r="F43" s="25">
        <f>IFERROR((B43-B42)/ABS(B42)*100,"")</f>
        <v>0</v>
      </c>
    </row>
    <row r="44" spans="1:8">
      <c r="A44" s="38" t="s">
        <v>82</v>
      </c>
      <c r="B44" s="35">
        <f>SUM(B39:B43)</f>
        <v>0</v>
      </c>
      <c r="C44" s="30"/>
      <c r="D44" s="25">
        <f>IFERROR(AVERAGE(D39:D43),"")</f>
        <v>0</v>
      </c>
      <c r="E44" s="25">
        <f>IFERROR(AVERAGE(E39:E43),"")</f>
        <v>0</v>
      </c>
      <c r="F44" s="30"/>
    </row>
    <row r="45" spans="1:8" ht="20" customHeight="1">
      <c r="A45" s="21" t="s">
        <v>83</v>
      </c>
      <c r="B45" s="21"/>
      <c r="C45" s="21"/>
      <c r="D45" s="21"/>
      <c r="E45" s="21"/>
      <c r="F45" s="21"/>
      <c r="G45" s="21"/>
      <c r="H45" s="21"/>
    </row>
    <row r="46" spans="1:8">
      <c r="A46" s="22" t="s">
        <v>84</v>
      </c>
      <c r="B46" s="22" t="s">
        <v>85</v>
      </c>
      <c r="C46" s="22" t="s">
        <v>86</v>
      </c>
      <c r="D46" s="22" t="s">
        <v>87</v>
      </c>
    </row>
    <row r="47" spans="1:8">
      <c r="A47" s="23" t="s">
        <v>88</v>
      </c>
      <c r="B47" s="24"/>
      <c r="C47" s="24"/>
      <c r="D47" s="25">
        <f>IFERROR((C47-B47)/ABS(B47)*100,"")</f>
        <v>0</v>
      </c>
    </row>
    <row r="48" spans="1:8">
      <c r="A48" s="23" t="s">
        <v>89</v>
      </c>
      <c r="B48" s="24"/>
      <c r="C48" s="24"/>
      <c r="D48" s="25">
        <f>IFERROR((C48-B48)/ABS(B48)*100,"")</f>
        <v>0</v>
      </c>
    </row>
    <row r="49" spans="1:8">
      <c r="A49" s="23" t="s">
        <v>90</v>
      </c>
      <c r="B49" s="24"/>
      <c r="C49" s="24"/>
      <c r="D49" s="25">
        <f>IFERROR((C49-B49)/ABS(B49)*100,"")</f>
        <v>0</v>
      </c>
    </row>
    <row r="50" spans="1:8">
      <c r="A50" s="23" t="s">
        <v>39</v>
      </c>
      <c r="B50" s="24"/>
      <c r="C50" s="24"/>
      <c r="D50" s="25">
        <f>IFERROR((C50-B50)/ABS(B50)*100,"")</f>
        <v>0</v>
      </c>
    </row>
    <row r="51" spans="1:8">
      <c r="A51" s="23" t="s">
        <v>91</v>
      </c>
      <c r="B51" s="24"/>
      <c r="C51" s="24"/>
      <c r="D51" s="25">
        <f>IFERROR((C51-B51)/ABS(B51)*100,"")</f>
        <v>0</v>
      </c>
    </row>
    <row r="52" spans="1:8">
      <c r="A52" s="38" t="s">
        <v>92</v>
      </c>
      <c r="B52" s="27">
        <f>SUM(B47:B51)</f>
        <v>0</v>
      </c>
      <c r="C52" s="27">
        <f>SUM(C47:C51)</f>
        <v>0</v>
      </c>
      <c r="D52" s="25">
        <f>IFERROR((C52-B52)/ABS(B52)*100,"")</f>
        <v>0</v>
      </c>
    </row>
    <row r="53" spans="1:8" ht="5" customHeight="1"/>
    <row r="54" spans="1:8" ht="20" customHeight="1">
      <c r="A54" s="21" t="s">
        <v>93</v>
      </c>
      <c r="B54" s="21"/>
      <c r="C54" s="21"/>
      <c r="D54" s="21"/>
      <c r="E54" s="21"/>
      <c r="F54" s="21"/>
      <c r="G54" s="21"/>
      <c r="H54" s="21"/>
    </row>
    <row r="55" spans="1:8">
      <c r="A55" s="22" t="s">
        <v>94</v>
      </c>
      <c r="B55" s="22" t="s">
        <v>95</v>
      </c>
      <c r="C55" s="22" t="s">
        <v>96</v>
      </c>
      <c r="D55" s="22" t="s">
        <v>97</v>
      </c>
    </row>
    <row r="56" spans="1:8">
      <c r="A56" s="23" t="s">
        <v>98</v>
      </c>
      <c r="B56" s="39" t="s">
        <v>99</v>
      </c>
      <c r="C56" s="40" t="s">
        <v>100</v>
      </c>
      <c r="D56" s="40"/>
    </row>
    <row r="57" spans="1:8">
      <c r="A57" s="23" t="s">
        <v>101</v>
      </c>
      <c r="B57" s="39" t="s">
        <v>102</v>
      </c>
      <c r="C57" s="40" t="s">
        <v>100</v>
      </c>
      <c r="D57" s="40"/>
    </row>
    <row r="58" spans="1:8">
      <c r="A58" s="23" t="s">
        <v>103</v>
      </c>
      <c r="B58" s="39"/>
      <c r="C58" s="40" t="s">
        <v>104</v>
      </c>
      <c r="D58" s="40"/>
    </row>
    <row r="59" spans="1:8">
      <c r="A59" s="23" t="s">
        <v>105</v>
      </c>
      <c r="B59" s="39"/>
      <c r="C59" s="40" t="s">
        <v>104</v>
      </c>
      <c r="D59" s="40"/>
    </row>
    <row r="60" spans="1:8" ht="5" customHeight="1"/>
    <row r="61" spans="1:8" ht="20" customHeight="1">
      <c r="A61" s="21" t="s">
        <v>106</v>
      </c>
      <c r="B61" s="21"/>
      <c r="C61" s="21"/>
      <c r="D61" s="21"/>
      <c r="E61" s="21"/>
      <c r="F61" s="21"/>
      <c r="G61" s="21"/>
      <c r="H61" s="21"/>
    </row>
    <row r="62" spans="1:8">
      <c r="A62" s="22" t="s">
        <v>107</v>
      </c>
      <c r="B62" s="22" t="s">
        <v>108</v>
      </c>
      <c r="C62" s="22" t="s">
        <v>109</v>
      </c>
      <c r="D62" s="22"/>
    </row>
    <row r="63" spans="1:8">
      <c r="A63" s="23" t="s">
        <v>110</v>
      </c>
      <c r="B63" s="24"/>
      <c r="C63" s="41"/>
      <c r="D63" s="30"/>
    </row>
    <row r="64" spans="1:8">
      <c r="A64" s="23" t="s">
        <v>111</v>
      </c>
      <c r="B64" s="24"/>
      <c r="C64" s="41"/>
      <c r="D64" s="30"/>
    </row>
    <row r="65" spans="1:8">
      <c r="A65" s="23" t="s">
        <v>112</v>
      </c>
      <c r="B65" s="42">
        <f>IFERROR(B64*1.014,"")</f>
        <v>0</v>
      </c>
      <c r="C65" s="41"/>
      <c r="D65" s="30"/>
    </row>
    <row r="66" spans="1:8">
      <c r="A66" s="23" t="s">
        <v>113</v>
      </c>
      <c r="B66" s="42">
        <f>IFERROR(B63/B65,"")</f>
        <v>0</v>
      </c>
      <c r="C66" s="41"/>
      <c r="D66" s="30"/>
    </row>
    <row r="67" spans="1:8">
      <c r="A67" s="23" t="s">
        <v>114</v>
      </c>
      <c r="B67" s="43">
        <f>IFERROR(B24,"")</f>
        <v>0</v>
      </c>
      <c r="C67" s="41"/>
      <c r="D67" s="30"/>
    </row>
    <row r="68" spans="1:8">
      <c r="A68" s="23" t="s">
        <v>115</v>
      </c>
      <c r="B68" s="42">
        <f>IFERROR(B67-(B67*0.014),"")</f>
        <v>0</v>
      </c>
      <c r="C68" s="41"/>
      <c r="D68" s="30"/>
    </row>
    <row r="69" spans="1:8">
      <c r="A69" s="23" t="s">
        <v>116</v>
      </c>
      <c r="B69" s="42">
        <f>IFERROR(B68-B65,"")</f>
        <v>0</v>
      </c>
      <c r="C69" s="41"/>
      <c r="D69" s="30"/>
    </row>
    <row r="70" spans="1:8">
      <c r="A70" s="23" t="s">
        <v>117</v>
      </c>
      <c r="B70" s="43">
        <f>IFERROR(B69*B66,"")</f>
        <v>0</v>
      </c>
      <c r="C70" s="41"/>
      <c r="D70" s="30"/>
    </row>
    <row r="71" spans="1:8">
      <c r="A71" s="23" t="s">
        <v>118</v>
      </c>
      <c r="B71" s="37"/>
      <c r="C71" s="41"/>
      <c r="D71" s="30"/>
    </row>
    <row r="72" spans="1:8">
      <c r="A72" s="23" t="s">
        <v>119</v>
      </c>
      <c r="B72" s="43">
        <f>IFERROR(B71*B66,"")</f>
        <v>0</v>
      </c>
      <c r="C72" s="41"/>
      <c r="D72" s="30"/>
    </row>
    <row r="73" spans="1:8">
      <c r="A73" s="38" t="s">
        <v>120</v>
      </c>
      <c r="B73" s="43">
        <f>IFERROR(B70+B72,"")</f>
        <v>0</v>
      </c>
      <c r="C73" s="41"/>
      <c r="D73" s="30"/>
    </row>
    <row r="74" spans="1:8">
      <c r="A74" s="38" t="s">
        <v>121</v>
      </c>
      <c r="B74" s="44">
        <f>IFERROR(B73/B63*100,"")</f>
        <v>0</v>
      </c>
      <c r="C74" s="41"/>
      <c r="D74" s="30"/>
    </row>
    <row r="75" spans="1:8">
      <c r="A75" s="38" t="s">
        <v>122</v>
      </c>
      <c r="B75" s="45">
        <f>IFERROR(IF(B74&gt;C74,"MARCHE BOURSIER","EPARGNE"),"Saisir les donnees")</f>
        <v>0</v>
      </c>
      <c r="C75" s="32" t="s">
        <v>123</v>
      </c>
      <c r="D75" s="30"/>
    </row>
    <row r="76" spans="1:8" ht="5" customHeight="1"/>
    <row r="77" spans="1:8" ht="20" customHeight="1">
      <c r="A77" s="21" t="s">
        <v>124</v>
      </c>
      <c r="B77" s="21"/>
      <c r="C77" s="21"/>
      <c r="D77" s="21"/>
      <c r="E77" s="21"/>
      <c r="F77" s="21"/>
      <c r="G77" s="21"/>
      <c r="H77" s="21"/>
    </row>
    <row r="78" spans="1:8" ht="40" customHeight="1">
      <c r="A78" s="46"/>
      <c r="B78" s="46"/>
      <c r="C78" s="46"/>
      <c r="D78" s="46"/>
      <c r="E78" s="46"/>
      <c r="F78" s="46"/>
      <c r="G78" s="46"/>
      <c r="H78" s="46"/>
    </row>
    <row r="79" spans="1:8">
      <c r="A79" s="46"/>
      <c r="B79" s="46"/>
      <c r="C79" s="46"/>
      <c r="D79" s="46"/>
      <c r="E79" s="46"/>
      <c r="F79" s="46"/>
      <c r="G79" s="46"/>
      <c r="H79" s="46"/>
    </row>
    <row r="80" spans="1:8">
      <c r="A80" s="46"/>
      <c r="B80" s="46"/>
      <c r="C80" s="46"/>
      <c r="D80" s="46"/>
      <c r="E80" s="46"/>
      <c r="F80" s="46"/>
      <c r="G80" s="46"/>
      <c r="H80" s="46"/>
    </row>
    <row r="81" spans="1:8" ht="22" customHeight="1">
      <c r="A81" s="19" t="s">
        <v>125</v>
      </c>
      <c r="B81" s="19"/>
      <c r="C81" s="19"/>
      <c r="D81" s="19"/>
      <c r="E81" s="19"/>
      <c r="F81" s="19"/>
      <c r="G81" s="19"/>
      <c r="H81" s="19"/>
    </row>
    <row r="83" spans="1:8" ht="5" customHeight="1"/>
    <row r="84" spans="1:8" ht="20" customHeight="1">
      <c r="A84" s="21" t="s">
        <v>126</v>
      </c>
      <c r="B84" s="21"/>
      <c r="C84" s="21"/>
      <c r="D84" s="21"/>
      <c r="E84" s="21"/>
      <c r="F84" s="21"/>
      <c r="G84" s="21"/>
      <c r="H84" s="21"/>
    </row>
    <row r="85" spans="1:8">
      <c r="A85" s="22" t="s">
        <v>94</v>
      </c>
      <c r="B85" s="22" t="s">
        <v>127</v>
      </c>
      <c r="C85" s="22" t="s">
        <v>128</v>
      </c>
      <c r="D85" s="22" t="s">
        <v>129</v>
      </c>
      <c r="E85" s="22" t="s">
        <v>130</v>
      </c>
    </row>
    <row r="86" spans="1:8">
      <c r="A86" s="23" t="s">
        <v>131</v>
      </c>
      <c r="B86" s="32" t="s">
        <v>132</v>
      </c>
      <c r="C86" s="41"/>
      <c r="D86" s="47">
        <f>IFERROR(IF(ISNUMBER(SEARCH("survente",B86)),1,IF(ISNUMBER(SEARCH("surachat",B86)),-1,0)),0)</f>
        <v>0</v>
      </c>
      <c r="E86" s="48" t="s">
        <v>133</v>
      </c>
    </row>
    <row r="87" spans="1:8">
      <c r="A87" s="23" t="s">
        <v>134</v>
      </c>
      <c r="B87" s="32" t="s">
        <v>132</v>
      </c>
      <c r="C87" s="41"/>
      <c r="D87" s="47">
        <f>IFERROR(IF(ISNUMBER(SEARCH("survente",B87)),1,IF(ISNUMBER(SEARCH("surachat",B87)),-1,0)),0)</f>
        <v>0</v>
      </c>
      <c r="E87" s="48" t="s">
        <v>135</v>
      </c>
    </row>
    <row r="88" spans="1:8">
      <c r="A88" s="23" t="s">
        <v>136</v>
      </c>
      <c r="B88" s="32" t="s">
        <v>132</v>
      </c>
      <c r="C88" s="41"/>
      <c r="D88" s="47">
        <f>IFERROR(IF(ISNUMBER(SEARCH("survente",B88)),1,IF(ISNUMBER(SEARCH("surachat",B88)),-1,0)),0)</f>
        <v>0</v>
      </c>
      <c r="E88" s="48" t="s">
        <v>137</v>
      </c>
    </row>
    <row r="89" spans="1:8">
      <c r="A89" s="23" t="s">
        <v>138</v>
      </c>
      <c r="B89" s="32" t="s">
        <v>132</v>
      </c>
      <c r="C89" s="41"/>
      <c r="D89" s="47">
        <f>IFERROR(IF(ISNUMBER(SEARCH("survente",B89)),1,IF(ISNUMBER(SEARCH("surachat",B89)),-1,0)),0)</f>
        <v>0</v>
      </c>
      <c r="E89" s="48" t="s">
        <v>139</v>
      </c>
    </row>
    <row r="90" spans="1:8">
      <c r="A90" s="23" t="s">
        <v>140</v>
      </c>
      <c r="B90" s="32" t="s">
        <v>132</v>
      </c>
      <c r="C90" s="41"/>
      <c r="D90" s="47">
        <f>IFERROR(IF(ISNUMBER(SEARCH("survente",B90)),1,IF(ISNUMBER(SEARCH("surachat",B90)),-1,0)),0)</f>
        <v>0</v>
      </c>
      <c r="E90" s="48" t="s">
        <v>141</v>
      </c>
    </row>
    <row r="91" spans="1:8">
      <c r="A91" s="38" t="s">
        <v>142</v>
      </c>
      <c r="B91" s="30"/>
      <c r="C91" s="30"/>
      <c r="D91" s="49">
        <f>SUM(D86:D90)</f>
        <v>0</v>
      </c>
      <c r="E91" s="50">
        <f>IFERROR(IF(D91&gt;0,"Zone SURVENTE - Achat possible",IF(D91&lt;0,"Zone SURACHAT - Vente possible","NEUTRE")),"-")</f>
        <v>0</v>
      </c>
    </row>
    <row r="92" spans="1:8" ht="5" customHeight="1"/>
    <row r="93" spans="1:8" ht="20" customHeight="1">
      <c r="A93" s="21" t="s">
        <v>143</v>
      </c>
      <c r="B93" s="21"/>
      <c r="C93" s="21"/>
      <c r="D93" s="21"/>
      <c r="E93" s="21"/>
      <c r="F93" s="21"/>
      <c r="G93" s="21"/>
      <c r="H93" s="21"/>
    </row>
    <row r="94" spans="1:8">
      <c r="A94" s="22" t="s">
        <v>144</v>
      </c>
      <c r="B94" s="22" t="s">
        <v>145</v>
      </c>
      <c r="C94" s="22" t="s">
        <v>146</v>
      </c>
      <c r="D94" s="22" t="s">
        <v>147</v>
      </c>
      <c r="E94" s="22" t="s">
        <v>148</v>
      </c>
    </row>
    <row r="95" spans="1:8">
      <c r="A95" s="23" t="s">
        <v>149</v>
      </c>
      <c r="B95" s="24"/>
      <c r="C95" s="24"/>
      <c r="D95" s="35">
        <f>IFERROR((B95+C95)/2,"")</f>
        <v>0</v>
      </c>
      <c r="E95" s="28">
        <f>IFERROR(IF(B24&lt;D95,"EN DESSOUS du PM - Survente","AU-DESSUS du PM - Surachat"),"-")</f>
        <v>0</v>
      </c>
    </row>
    <row r="96" spans="1:8">
      <c r="A96" s="23" t="s">
        <v>150</v>
      </c>
      <c r="B96" s="24"/>
      <c r="C96" s="24"/>
      <c r="D96" s="35">
        <f>IFERROR((B96+C96)/2,"")</f>
        <v>0</v>
      </c>
      <c r="E96" s="28">
        <f>IFERROR(IF(B24&lt;D96,"EN DESSOUS du PM - Survente","AU-DESSUS du PM - Surachat"),"-")</f>
        <v>0</v>
      </c>
    </row>
    <row r="97" spans="1:8" ht="5" customHeight="1"/>
    <row r="98" spans="1:8" ht="20" customHeight="1">
      <c r="A98" s="21" t="s">
        <v>151</v>
      </c>
      <c r="B98" s="21"/>
      <c r="C98" s="21"/>
      <c r="D98" s="21"/>
      <c r="E98" s="21"/>
      <c r="F98" s="21"/>
      <c r="G98" s="21"/>
      <c r="H98" s="21"/>
    </row>
    <row r="99" spans="1:8">
      <c r="A99" s="22" t="s">
        <v>107</v>
      </c>
      <c r="B99" s="22" t="s">
        <v>95</v>
      </c>
      <c r="C99" s="22" t="s">
        <v>152</v>
      </c>
      <c r="D99" s="22" t="s">
        <v>54</v>
      </c>
    </row>
    <row r="100" spans="1:8">
      <c r="A100" s="23" t="s">
        <v>3</v>
      </c>
      <c r="B100" s="43">
        <f>B24</f>
        <v>0</v>
      </c>
      <c r="C100" s="40" t="s">
        <v>153</v>
      </c>
      <c r="D100" s="30"/>
    </row>
    <row r="101" spans="1:8">
      <c r="A101" s="23" t="s">
        <v>154</v>
      </c>
      <c r="B101" s="42">
        <f>B25</f>
        <v>0</v>
      </c>
      <c r="C101" s="40" t="s">
        <v>155</v>
      </c>
      <c r="D101" s="30"/>
    </row>
    <row r="102" spans="1:8">
      <c r="A102" s="23" t="s">
        <v>156</v>
      </c>
      <c r="B102" s="51"/>
      <c r="C102" s="40" t="s">
        <v>157</v>
      </c>
      <c r="D102" s="30"/>
    </row>
    <row r="103" spans="1:8">
      <c r="A103" s="23" t="s">
        <v>158</v>
      </c>
      <c r="B103" s="42">
        <f>IFERROR(B25*(1+B102/100),"")</f>
        <v>0</v>
      </c>
      <c r="C103" s="40" t="s">
        <v>159</v>
      </c>
      <c r="D103" s="30"/>
    </row>
    <row r="104" spans="1:8">
      <c r="A104" s="23" t="s">
        <v>160</v>
      </c>
      <c r="B104" s="44">
        <f>IFERROR(B24/B103,"")</f>
        <v>0</v>
      </c>
      <c r="C104" s="40" t="s">
        <v>161</v>
      </c>
      <c r="D104" s="28">
        <f>IFERROR(IF(B104&gt;15,"Surevalue - Surachat",IF(B104&lt;9,"Sous-evalue - Survente","Normal (9-15)")),"-")</f>
        <v>0</v>
      </c>
    </row>
    <row r="105" spans="1:8" ht="5" customHeight="1"/>
    <row r="106" spans="1:8" ht="20" customHeight="1">
      <c r="A106" s="21" t="s">
        <v>162</v>
      </c>
      <c r="B106" s="21"/>
      <c r="C106" s="21"/>
      <c r="D106" s="21"/>
      <c r="E106" s="21"/>
      <c r="F106" s="21"/>
      <c r="G106" s="21"/>
      <c r="H106" s="21"/>
    </row>
    <row r="107" spans="1:8" ht="25" customHeight="1">
      <c r="A107" s="52" t="s">
        <v>163</v>
      </c>
      <c r="B107" s="52"/>
      <c r="C107" s="52"/>
      <c r="D107" s="52"/>
      <c r="E107" s="52"/>
      <c r="F107" s="52"/>
      <c r="G107" s="52"/>
      <c r="H107" s="52"/>
    </row>
    <row r="108" spans="1:8">
      <c r="A108" s="22" t="s">
        <v>107</v>
      </c>
      <c r="B108" s="22" t="s">
        <v>95</v>
      </c>
      <c r="C108" s="22" t="s">
        <v>164</v>
      </c>
      <c r="D108" s="22" t="s">
        <v>54</v>
      </c>
    </row>
    <row r="109" spans="1:8">
      <c r="A109" s="23" t="s">
        <v>165</v>
      </c>
      <c r="B109" s="51"/>
      <c r="C109" s="40" t="s">
        <v>166</v>
      </c>
      <c r="D109" s="30"/>
    </row>
    <row r="110" spans="1:8">
      <c r="A110" s="23" t="s">
        <v>167</v>
      </c>
      <c r="B110" s="37"/>
      <c r="C110" s="40" t="s">
        <v>168</v>
      </c>
      <c r="D110" s="30"/>
    </row>
    <row r="111" spans="1:8">
      <c r="A111" s="23" t="s">
        <v>169</v>
      </c>
      <c r="B111" s="42">
        <f>IFERROR(IF(B110=0,"Aucun dividende",B110*(1+B109/100)),"")</f>
        <v>0</v>
      </c>
      <c r="C111" s="40" t="s">
        <v>170</v>
      </c>
      <c r="D111" s="30"/>
    </row>
    <row r="112" spans="1:8">
      <c r="A112" s="23" t="s">
        <v>171</v>
      </c>
      <c r="B112" s="51">
        <v>6.5</v>
      </c>
      <c r="C112" s="40" t="s">
        <v>172</v>
      </c>
      <c r="D112" s="30"/>
    </row>
    <row r="113" spans="1:8">
      <c r="A113" s="23" t="s">
        <v>173</v>
      </c>
      <c r="B113" s="42">
        <f>IFERROR(IF(B110=0,"N/A",100*B111/B112),"")</f>
        <v>0</v>
      </c>
      <c r="C113" s="40" t="s">
        <v>174</v>
      </c>
      <c r="D113" s="30"/>
    </row>
    <row r="114" spans="1:8">
      <c r="A114" s="23" t="s">
        <v>175</v>
      </c>
      <c r="B114" s="42">
        <f>IFERROR(IF(ISNUMBER(B113),B113*0.95,"N/A"),"")</f>
        <v>0</v>
      </c>
      <c r="C114" s="40" t="s">
        <v>176</v>
      </c>
      <c r="D114" s="30"/>
    </row>
    <row r="115" spans="1:8">
      <c r="A115" s="23" t="s">
        <v>177</v>
      </c>
      <c r="B115" s="42">
        <f>IFERROR(IF(ISNUMBER(B113),B113*1.05,"N/A"),"")</f>
        <v>0</v>
      </c>
      <c r="C115" s="40" t="s">
        <v>178</v>
      </c>
      <c r="D115" s="30"/>
    </row>
    <row r="116" spans="1:8">
      <c r="A116" s="23" t="s">
        <v>179</v>
      </c>
      <c r="B116" s="50">
        <f>IFERROR(IF(NOT(ISNUMBER(B113)),"PCD N/A - pas de dividende",IF(B24&lt;B114,"EN DESSOUS zone cible - Survente",IF(B24&gt;B115,"AU-DESSUS zone cible - Surachat","DANS LA ZONE CIBLE"))),"")</f>
        <v>0</v>
      </c>
      <c r="C116" s="40" t="s">
        <v>180</v>
      </c>
      <c r="D116" s="30"/>
    </row>
    <row r="117" spans="1:8" ht="5" customHeight="1"/>
    <row r="118" spans="1:8" ht="20" customHeight="1">
      <c r="A118" s="21" t="s">
        <v>181</v>
      </c>
      <c r="B118" s="21"/>
      <c r="C118" s="21"/>
      <c r="D118" s="21"/>
      <c r="E118" s="21"/>
      <c r="F118" s="21"/>
      <c r="G118" s="21"/>
      <c r="H118" s="21"/>
    </row>
    <row r="119" spans="1:8">
      <c r="A119" s="53" t="s">
        <v>182</v>
      </c>
      <c r="B119" s="53"/>
      <c r="C119" s="53"/>
      <c r="D119" s="53"/>
      <c r="E119" s="53"/>
      <c r="F119" s="53"/>
      <c r="G119" s="53"/>
      <c r="H119" s="53"/>
    </row>
    <row r="120" spans="1:8">
      <c r="A120" s="22" t="s">
        <v>107</v>
      </c>
      <c r="B120" s="22" t="s">
        <v>95</v>
      </c>
      <c r="C120" s="22" t="s">
        <v>183</v>
      </c>
      <c r="D120" s="22" t="s">
        <v>54</v>
      </c>
    </row>
    <row r="121" spans="1:8">
      <c r="A121" s="23" t="s">
        <v>184</v>
      </c>
      <c r="B121" s="37"/>
      <c r="C121" s="40" t="s">
        <v>185</v>
      </c>
      <c r="D121" s="30"/>
    </row>
    <row r="122" spans="1:8">
      <c r="A122" s="23" t="s">
        <v>186</v>
      </c>
      <c r="B122" s="51">
        <v>8</v>
      </c>
      <c r="C122" s="40" t="s">
        <v>187</v>
      </c>
      <c r="D122" s="30"/>
    </row>
    <row r="123" spans="1:8">
      <c r="A123" s="23" t="s">
        <v>188</v>
      </c>
      <c r="B123" s="51">
        <v>2</v>
      </c>
      <c r="C123" s="40" t="s">
        <v>189</v>
      </c>
      <c r="D123" s="30"/>
    </row>
    <row r="124" spans="1:8">
      <c r="A124" s="23" t="s">
        <v>190</v>
      </c>
      <c r="B124" s="54">
        <f>IFERROR(IF(B121=0,"Saisir D1",B121/((B122/100)-(B123/100))),"")</f>
        <v>0</v>
      </c>
      <c r="C124" s="40" t="s">
        <v>191</v>
      </c>
      <c r="D124" s="30"/>
    </row>
    <row r="125" spans="1:8">
      <c r="A125" s="23" t="s">
        <v>192</v>
      </c>
      <c r="B125" s="50">
        <f>IFERROR(IF(NOT(ISNUMBER(B124)),"Saisir D1",IF(B24&lt;B124*0.95,"Prix SOUS P0 - Opportunite achat",IF(B24&gt;B124*1.05,"Prix SUR P0 - Surevalue","Dans la zone P0"))),"")</f>
        <v>0</v>
      </c>
      <c r="C125" s="40" t="s">
        <v>180</v>
      </c>
      <c r="D125" s="30"/>
    </row>
    <row r="127" spans="1:8" ht="5" customHeight="1"/>
    <row r="128" spans="1:8" ht="20" customHeight="1">
      <c r="A128" s="21" t="s">
        <v>193</v>
      </c>
      <c r="B128" s="21"/>
      <c r="C128" s="21"/>
      <c r="D128" s="21"/>
      <c r="E128" s="21"/>
      <c r="F128" s="21"/>
      <c r="G128" s="21"/>
      <c r="H128" s="21"/>
    </row>
    <row r="129" spans="1:8">
      <c r="A129" s="22" t="s">
        <v>107</v>
      </c>
      <c r="B129" s="22" t="s">
        <v>95</v>
      </c>
      <c r="C129" s="22" t="s">
        <v>194</v>
      </c>
      <c r="D129" s="22" t="s">
        <v>54</v>
      </c>
    </row>
    <row r="130" spans="1:8">
      <c r="A130" s="23" t="s">
        <v>195</v>
      </c>
      <c r="B130" s="24"/>
      <c r="C130" s="40" t="s">
        <v>196</v>
      </c>
      <c r="D130" s="30"/>
    </row>
    <row r="131" spans="1:8">
      <c r="A131" s="23" t="s">
        <v>197</v>
      </c>
      <c r="B131" s="42">
        <f>IFERROR(B130*0.90,"")</f>
        <v>0</v>
      </c>
      <c r="C131" s="40" t="s">
        <v>198</v>
      </c>
      <c r="D131" s="30"/>
    </row>
    <row r="132" spans="1:8">
      <c r="A132" s="23" t="s">
        <v>199</v>
      </c>
      <c r="B132" s="24"/>
      <c r="C132" s="40" t="s">
        <v>200</v>
      </c>
      <c r="D132" s="30"/>
    </row>
    <row r="133" spans="1:8">
      <c r="A133" s="23" t="s">
        <v>201</v>
      </c>
      <c r="B133" s="42">
        <f>IFERROR(B130-B131,"")</f>
        <v>0</v>
      </c>
      <c r="C133" s="40" t="s">
        <v>202</v>
      </c>
      <c r="D133" s="30"/>
    </row>
    <row r="134" spans="1:8">
      <c r="A134" s="23" t="s">
        <v>203</v>
      </c>
      <c r="B134" s="42">
        <f>IFERROR(B132-B130,"")</f>
        <v>0</v>
      </c>
      <c r="C134" s="40" t="s">
        <v>204</v>
      </c>
      <c r="D134" s="30"/>
    </row>
    <row r="135" spans="1:8">
      <c r="A135" s="23" t="s">
        <v>205</v>
      </c>
      <c r="B135" s="44">
        <f>IFERROR(B134/B133,"")</f>
        <v>0</v>
      </c>
      <c r="C135" s="40" t="s">
        <v>206</v>
      </c>
      <c r="D135" s="28">
        <f>IFERROR(IF(B135&gt;=2,"Bon (&gt;= 2:1)",IF(B135&gt;=1,"Acceptable (1:1)","Mauvais")),"")</f>
        <v>0</v>
      </c>
    </row>
    <row r="136" spans="1:8" ht="5" customHeight="1"/>
    <row r="137" spans="1:8" ht="20" customHeight="1">
      <c r="A137" s="21" t="s">
        <v>207</v>
      </c>
      <c r="B137" s="21"/>
      <c r="C137" s="21"/>
      <c r="D137" s="21"/>
      <c r="E137" s="21"/>
      <c r="F137" s="21"/>
      <c r="G137" s="21"/>
      <c r="H137" s="21"/>
    </row>
    <row r="138" spans="1:8" ht="40" customHeight="1">
      <c r="A138" s="46"/>
      <c r="B138" s="46"/>
      <c r="C138" s="46"/>
      <c r="D138" s="46"/>
      <c r="E138" s="46"/>
      <c r="F138" s="46"/>
      <c r="G138" s="46"/>
      <c r="H138" s="46"/>
    </row>
    <row r="139" spans="1:8">
      <c r="A139" s="46"/>
      <c r="B139" s="46"/>
      <c r="C139" s="46"/>
      <c r="D139" s="46"/>
      <c r="E139" s="46"/>
      <c r="F139" s="46"/>
      <c r="G139" s="46"/>
      <c r="H139" s="46"/>
    </row>
    <row r="140" spans="1:8">
      <c r="A140" s="46"/>
      <c r="B140" s="46"/>
      <c r="C140" s="46"/>
      <c r="D140" s="46"/>
      <c r="E140" s="46"/>
      <c r="F140" s="46"/>
      <c r="G140" s="46"/>
      <c r="H140" s="46"/>
    </row>
    <row r="141" spans="1:8" ht="26" customHeight="1">
      <c r="A141" s="19" t="s">
        <v>208</v>
      </c>
      <c r="B141" s="19"/>
      <c r="C141" s="19"/>
      <c r="D141" s="19"/>
      <c r="E141" s="19"/>
      <c r="F141" s="19"/>
      <c r="G141" s="19"/>
      <c r="H141" s="19"/>
    </row>
    <row r="143" spans="1:8" ht="5" customHeight="1"/>
    <row r="144" spans="1:8" ht="20" customHeight="1">
      <c r="A144" s="21" t="s">
        <v>209</v>
      </c>
      <c r="B144" s="21"/>
      <c r="C144" s="21"/>
      <c r="D144" s="21"/>
      <c r="E144" s="21"/>
      <c r="F144" s="21"/>
      <c r="G144" s="21"/>
      <c r="H144" s="21"/>
    </row>
    <row r="145" spans="1:8" ht="30" customHeight="1">
      <c r="A145" s="55" t="s">
        <v>210</v>
      </c>
      <c r="B145" s="55"/>
      <c r="C145" s="55"/>
      <c r="D145" s="55"/>
      <c r="E145" s="55"/>
      <c r="F145" s="55"/>
      <c r="G145" s="55"/>
      <c r="H145" s="55"/>
    </row>
    <row r="146" spans="1:8">
      <c r="A146" s="22" t="s">
        <v>41</v>
      </c>
      <c r="B146" s="22" t="s">
        <v>211</v>
      </c>
      <c r="C146" s="22" t="s">
        <v>212</v>
      </c>
      <c r="D146" s="22" t="s">
        <v>213</v>
      </c>
      <c r="E146" s="22" t="s">
        <v>214</v>
      </c>
    </row>
    <row r="147" spans="1:8">
      <c r="A147" s="23" t="s">
        <v>30</v>
      </c>
      <c r="B147" s="27">
        <f>B12</f>
        <v>0</v>
      </c>
      <c r="C147" s="24"/>
      <c r="D147" s="27">
        <f>IFERROR(B147-C147,"")</f>
        <v>0</v>
      </c>
      <c r="E147" s="25">
        <f>IFERROR(D147/B8*100,"")</f>
        <v>0</v>
      </c>
    </row>
    <row r="148" spans="1:8">
      <c r="A148" s="23" t="s">
        <v>31</v>
      </c>
      <c r="B148" s="27">
        <f>C12</f>
        <v>0</v>
      </c>
      <c r="C148" s="24"/>
      <c r="D148" s="27">
        <f>IFERROR(B148-C148,"")</f>
        <v>0</v>
      </c>
      <c r="E148" s="25">
        <f>IFERROR(D148/C8*100,"")</f>
        <v>0</v>
      </c>
    </row>
    <row r="149" spans="1:8">
      <c r="A149" s="23" t="s">
        <v>32</v>
      </c>
      <c r="B149" s="27">
        <f>D12</f>
        <v>0</v>
      </c>
      <c r="C149" s="24"/>
      <c r="D149" s="27">
        <f>IFERROR(B149-C149,"")</f>
        <v>0</v>
      </c>
      <c r="E149" s="25">
        <f>IFERROR(D149/D8*100,"")</f>
        <v>0</v>
      </c>
    </row>
    <row r="150" spans="1:8">
      <c r="A150" s="23" t="s">
        <v>33</v>
      </c>
      <c r="B150" s="27">
        <f>E12</f>
        <v>0</v>
      </c>
      <c r="C150" s="24"/>
      <c r="D150" s="27">
        <f>IFERROR(B150-C150,"")</f>
        <v>0</v>
      </c>
      <c r="E150" s="25">
        <f>IFERROR(D150/E8*100,"")</f>
        <v>0</v>
      </c>
    </row>
    <row r="151" spans="1:8">
      <c r="A151" s="23" t="s">
        <v>49</v>
      </c>
      <c r="B151" s="27">
        <f>F12</f>
        <v>0</v>
      </c>
      <c r="C151" s="24"/>
      <c r="D151" s="27">
        <f>IFERROR(B151-C151,"")</f>
        <v>0</v>
      </c>
      <c r="E151" s="25">
        <f>IFERROR(D151/F8*100,"")</f>
        <v>0</v>
      </c>
    </row>
    <row r="152" spans="1:8" ht="5" customHeight="1"/>
    <row r="153" spans="1:8">
      <c r="A153" s="23" t="s">
        <v>215</v>
      </c>
      <c r="B153" s="35">
        <f>IFERROR(D151*1000000/B28,"")</f>
        <v>0</v>
      </c>
      <c r="C153" s="23" t="s">
        <v>216</v>
      </c>
      <c r="D153" s="25">
        <f>IFERROR(B24/B153,"")</f>
        <v>0</v>
      </c>
      <c r="E153" s="28">
        <f>IFERROR(IF(D153&gt;15,"PER normalise eleve",IF(D153&lt;9,"Sous-evalue normalise","Normal (9-15)")),"-")</f>
        <v>0</v>
      </c>
    </row>
    <row r="154" spans="1:8">
      <c r="A154" s="23" t="s">
        <v>217</v>
      </c>
      <c r="B154" s="28">
        <f>IFERROR(IF(C151&lt;0,"Mauvais resultat PONCTUEL — RN recurrent &gt; RN publie — opportunite contrarian potentielle",IF(C151&gt;0,"Resultat FLATTE par elements exceptionnels — prudence sur la valorisation","Pas d'element exceptionnel detecte — RN publie = RN recurrent")),"-")</f>
        <v>0</v>
      </c>
    </row>
    <row r="155" spans="1:8" ht="5" customHeight="1"/>
    <row r="156" spans="1:8" ht="20" customHeight="1">
      <c r="A156" s="21" t="s">
        <v>218</v>
      </c>
      <c r="B156" s="21"/>
      <c r="C156" s="21"/>
      <c r="D156" s="21"/>
      <c r="E156" s="21"/>
      <c r="F156" s="21"/>
      <c r="G156" s="21"/>
      <c r="H156" s="21"/>
    </row>
    <row r="157" spans="1:8">
      <c r="A157" s="22" t="s">
        <v>107</v>
      </c>
      <c r="B157" s="22" t="s">
        <v>95</v>
      </c>
      <c r="C157" s="22" t="s">
        <v>219</v>
      </c>
      <c r="D157" s="22" t="s">
        <v>220</v>
      </c>
      <c r="E157" s="22" t="s">
        <v>54</v>
      </c>
    </row>
    <row r="158" spans="1:8">
      <c r="A158" s="23" t="s">
        <v>221</v>
      </c>
      <c r="B158" s="56">
        <f>IFERROR(CHOOSE(MATCH(PROFIL!B5,{"Banque","Assurance","Industrie","Distribution","Telecom","Autre"},0),10,12,13,14,8,12),12)</f>
        <v>0</v>
      </c>
      <c r="C158" s="32" t="s">
        <v>222</v>
      </c>
      <c r="D158" s="32"/>
      <c r="E158" s="32"/>
      <c r="F158" s="32"/>
      <c r="G158" s="32"/>
    </row>
    <row r="159" spans="1:8">
      <c r="A159" s="23" t="s">
        <v>223</v>
      </c>
      <c r="B159" s="57">
        <v>5</v>
      </c>
      <c r="C159" s="32" t="s">
        <v>224</v>
      </c>
      <c r="D159" s="32"/>
      <c r="E159" s="32"/>
      <c r="F159" s="32"/>
      <c r="G159" s="32"/>
    </row>
    <row r="160" spans="1:8" ht="5" customHeight="1"/>
    <row r="161" spans="1:8">
      <c r="A161" s="23" t="s">
        <v>225</v>
      </c>
      <c r="B161" s="56">
        <f>IFERROR(B30,"")</f>
        <v>0</v>
      </c>
      <c r="C161" s="41">
        <f>B158</f>
        <v>0</v>
      </c>
      <c r="D161" s="25">
        <f>IFERROR((B30/B158-1)*100,"")</f>
        <v>0</v>
      </c>
      <c r="E161" s="28">
        <f>IFERROR(IF((B30/B158-1)*100&lt;=-20,"Forte decote sectorielle — opportunite",IF((B30/B158-1)*100&lt;=-5,"Legere decote sectorielle",IF((B30/B158-1)*100&lt;=15,"Dans la norme sectorielle","Prime elevee vs secteur — prudence"))),"-")</f>
        <v>0</v>
      </c>
    </row>
    <row r="162" spans="1:8">
      <c r="A162" s="23" t="s">
        <v>226</v>
      </c>
      <c r="B162" s="56">
        <f>IFERROR(AVERAGE(E39:E43),"")</f>
        <v>0</v>
      </c>
      <c r="C162" s="41">
        <f>B159</f>
        <v>0</v>
      </c>
      <c r="D162" s="25">
        <f>IFERROR((AVERAGE(E39:E43)/B159-1)*100,"")</f>
        <v>0</v>
      </c>
      <c r="E162" s="28">
        <f>IFERROR(IF(AVERAGE(E39:E43)&gt;=B159*1.2,"Rendement superieur au marche — attractif",IF(AVERAGE(E39:E43)&gt;=B159,"Dans la moyenne du marche","Rendement inferieur au marche")),"-")</f>
        <v>0</v>
      </c>
    </row>
    <row r="163" spans="1:8" ht="5" customHeight="1"/>
    <row r="164" spans="1:8" ht="20" customHeight="1">
      <c r="A164" s="21" t="s">
        <v>227</v>
      </c>
      <c r="B164" s="21"/>
      <c r="C164" s="21"/>
      <c r="D164" s="21"/>
      <c r="E164" s="21"/>
      <c r="F164" s="21"/>
      <c r="G164" s="21"/>
      <c r="H164" s="21"/>
    </row>
    <row r="165" spans="1:8">
      <c r="A165" s="22" t="s">
        <v>94</v>
      </c>
      <c r="B165" s="22" t="s">
        <v>95</v>
      </c>
      <c r="C165" s="22" t="s">
        <v>45</v>
      </c>
      <c r="D165" s="22" t="s">
        <v>228</v>
      </c>
    </row>
    <row r="166" spans="1:8">
      <c r="A166" s="23" t="s">
        <v>229</v>
      </c>
      <c r="B166" s="58">
        <f>COUNTIF(B39:B43,"&gt;0")</f>
        <v>0</v>
      </c>
      <c r="C166" s="28">
        <f>IFERROR(IF(B166=5,"Regulier 5/5 — fiable",IF(B166&gt;=4,"Quasi-regulier 4/5",IF(B166&gt;=3,"Irregulier 3/5","Tres irregulier — risque dividende"))),"-")</f>
        <v>0</v>
      </c>
      <c r="D166" s="58">
        <f>IF(B166=5,2,IF(B166&gt;=4,1,0))</f>
        <v>0</v>
      </c>
    </row>
    <row r="167" spans="1:8">
      <c r="A167" s="23" t="s">
        <v>230</v>
      </c>
      <c r="B167" s="26">
        <f>IFERROR(IF(OR(B39&lt;=0,B43&lt;=0),"N/A",(B43/B39)^(1/4)-1),"N/A")</f>
        <v>0</v>
      </c>
      <c r="C167" s="28">
        <f>IFERROR(IF(NOT(ISNUMBER(B167)),"Dividende absent",IF(B167&gt;0.05,"Forte croissance dividende",IF(B167&gt;0,"Croissance modeste","Dividende en baisse"))),"-")</f>
        <v>0</v>
      </c>
      <c r="D167" s="58">
        <f>IFERROR(IF(ISNUMBER(B167),IF(B167&gt;0,1,0),0),0)</f>
        <v>0</v>
      </c>
    </row>
    <row r="168" spans="1:8">
      <c r="A168" s="38" t="s">
        <v>231</v>
      </c>
      <c r="B168" s="59">
        <f>IFERROR(D166+D167,0)</f>
        <v>0</v>
      </c>
      <c r="C168" s="28">
        <f>IFERROR(IF(D166+D167&gt;=3,"Dividende tres fiable",IF(D166+D167&gt;=2,"Dividende assez fiable","Dividende peu fiable — risque")),"-")</f>
        <v>0</v>
      </c>
      <c r="D168" s="40" t="s">
        <v>232</v>
      </c>
    </row>
    <row r="169" spans="1:8" ht="5" customHeight="1"/>
    <row r="170" spans="1:8" ht="20" customHeight="1">
      <c r="A170" s="21" t="s">
        <v>233</v>
      </c>
      <c r="B170" s="21"/>
      <c r="C170" s="21"/>
      <c r="D170" s="21"/>
      <c r="E170" s="21"/>
      <c r="F170" s="21"/>
      <c r="G170" s="21"/>
      <c r="H170" s="21"/>
    </row>
    <row r="171" spans="1:8">
      <c r="A171" s="22" t="s">
        <v>234</v>
      </c>
      <c r="B171" s="22" t="s">
        <v>54</v>
      </c>
      <c r="C171" s="22" t="s">
        <v>235</v>
      </c>
      <c r="D171" s="22" t="s">
        <v>236</v>
      </c>
    </row>
    <row r="172" spans="1:8">
      <c r="A172" s="23" t="s">
        <v>237</v>
      </c>
      <c r="B172" s="28">
        <f>IFERROR(IF(B30&lt;B158,"OUI","NON"),"-")</f>
        <v>0</v>
      </c>
      <c r="C172" s="28">
        <f>IFERROR("PER="&amp;ROUND(B30,1)&amp;" vs sectoriel="&amp;B158,"-")</f>
        <v>0</v>
      </c>
      <c r="D172" s="58">
        <f>IFERROR(IF(B30&lt;B158*0.85,2,IF(B30&lt;B158,1,0)),0)</f>
        <v>0</v>
      </c>
    </row>
    <row r="173" spans="1:8">
      <c r="A173" s="23" t="s">
        <v>238</v>
      </c>
      <c r="B173" s="28">
        <f>IFERROR(IF(B24&lt;B31,"OUI — decote comptable","NON"),"-")</f>
        <v>0</v>
      </c>
      <c r="C173" s="28">
        <f>IFERROR("Prix="&amp;B24&amp;" FCFA  vs VMC="&amp;ROUND(B31,0)&amp;" FCFA","-")</f>
        <v>0</v>
      </c>
      <c r="D173" s="58">
        <f>IFERROR(IF(B24&lt;B31*0.85,2,IF(B24&lt;B31,1,0)),0)</f>
        <v>0</v>
      </c>
    </row>
    <row r="174" spans="1:8">
      <c r="A174" s="23" t="s">
        <v>239</v>
      </c>
      <c r="B174" s="28">
        <f>IFERROR(IF(B33&gt;=10,"OUI","NON"),"-")</f>
        <v>0</v>
      </c>
      <c r="C174" s="28">
        <f>IFERROR("ROE="&amp;ROUND(B33,1)&amp;"%","-")</f>
        <v>0</v>
      </c>
      <c r="D174" s="58">
        <f>IFERROR(IF(B33&gt;=15,2,IF(B33&gt;=10,1,0)),0)</f>
        <v>0</v>
      </c>
    </row>
    <row r="175" spans="1:8">
      <c r="A175" s="23" t="s">
        <v>240</v>
      </c>
      <c r="B175" s="28">
        <f>IFERROR(IF(B168&gt;=2,"OUI","NON"),"-")</f>
        <v>0</v>
      </c>
      <c r="C175" s="28">
        <f>IFERROR(C168,"-")</f>
        <v>0</v>
      </c>
      <c r="D175" s="58">
        <f>IFERROR(MIN(B168,2),0)</f>
        <v>0</v>
      </c>
    </row>
    <row r="176" spans="1:8">
      <c r="A176" s="23" t="s">
        <v>241</v>
      </c>
      <c r="B176" s="28">
        <f>IFERROR(IF(B24&lt;D95,"OUI — survente","NON"),"-")</f>
        <v>0</v>
      </c>
      <c r="C176" s="28">
        <f>IFERROR("Prix="&amp;B24&amp;" FCFA  vs PM1an="&amp;ROUND(D95,0)&amp;" FCFA","-")</f>
        <v>0</v>
      </c>
      <c r="D176" s="58">
        <f>IFERROR(IF(B24&lt;D95,1,0),0)</f>
        <v>0</v>
      </c>
    </row>
    <row r="177" spans="1:8">
      <c r="A177" s="23" t="s">
        <v>242</v>
      </c>
      <c r="B177" s="28">
        <f>IFERROR(IF(G16&gt;=5,"OUI","NON"),"-")</f>
        <v>0</v>
      </c>
      <c r="C177" s="28">
        <f>IFERROR("Marge moy="&amp;ROUND(G16,1)&amp;"%","-")</f>
        <v>0</v>
      </c>
      <c r="D177" s="58">
        <f>IFERROR(IF(G16&gt;=10,2,IF(G16&gt;=5,1,0)),0)</f>
        <v>0</v>
      </c>
    </row>
    <row r="178" spans="1:8">
      <c r="A178" s="38" t="s">
        <v>243</v>
      </c>
      <c r="B178" s="30"/>
      <c r="C178" s="40" t="s">
        <v>244</v>
      </c>
      <c r="D178" s="60">
        <f>IFERROR(SUM(D172:D177),0)</f>
        <v>0</v>
      </c>
    </row>
    <row r="179" spans="1:8" ht="30" customHeight="1">
      <c r="A179" s="61" t="s">
        <v>245</v>
      </c>
      <c r="B179" s="61"/>
      <c r="C179" s="61"/>
      <c r="D179" s="61"/>
      <c r="E179" s="62">
        <f>IFERROR(IF(D178&gt;=7,"FORTE OPPORTUNITE CONTRARIAN — fondamentaux sains, titre boude",IF(D178&gt;=5,"A SURVEILLER — signaux contrarians partiels","PAS DE SIGNAL CONTRARIAN — attendre")),"-")</f>
        <v>0</v>
      </c>
      <c r="F179" s="62"/>
      <c r="G179" s="62"/>
      <c r="H179" s="62"/>
    </row>
    <row r="180" spans="1:8" ht="5" customHeight="1"/>
    <row r="181" spans="1:8" ht="5" customHeight="1"/>
    <row r="182" spans="1:8" ht="22" customHeight="1">
      <c r="A182" s="19" t="s">
        <v>246</v>
      </c>
      <c r="B182" s="19"/>
      <c r="C182" s="19"/>
      <c r="D182" s="19"/>
      <c r="E182" s="19"/>
      <c r="F182" s="19"/>
      <c r="G182" s="19"/>
      <c r="H182" s="19"/>
    </row>
    <row r="183" spans="1:8" ht="5" customHeight="1"/>
    <row r="184" spans="1:8" ht="20" customHeight="1">
      <c r="A184" s="21" t="s">
        <v>247</v>
      </c>
      <c r="B184" s="21"/>
      <c r="C184" s="21"/>
      <c r="D184" s="21"/>
      <c r="E184" s="21"/>
      <c r="F184" s="21"/>
      <c r="G184" s="21"/>
      <c r="H184" s="21"/>
    </row>
    <row r="185" spans="1:8">
      <c r="A185" s="22" t="s">
        <v>248</v>
      </c>
      <c r="B185" s="22" t="s">
        <v>249</v>
      </c>
      <c r="C185" s="22"/>
      <c r="D185" s="22"/>
      <c r="E185" s="22"/>
      <c r="F185" s="22"/>
      <c r="G185" s="22"/>
      <c r="H185" s="22"/>
    </row>
    <row r="186" spans="1:8">
      <c r="A186" s="23" t="s">
        <v>250</v>
      </c>
      <c r="B186" s="34">
        <f>IFERROR(PROFIL!B16,"")</f>
        <v>0</v>
      </c>
      <c r="C186" s="30"/>
      <c r="D186" s="30"/>
      <c r="E186" s="30"/>
      <c r="F186" s="30"/>
      <c r="G186" s="30"/>
      <c r="H186" s="30"/>
    </row>
    <row r="187" spans="1:8">
      <c r="A187" s="23" t="s">
        <v>63</v>
      </c>
      <c r="B187" s="34">
        <f>IFERROR(PROFIL!B17,"")</f>
        <v>0</v>
      </c>
      <c r="C187" s="30"/>
      <c r="D187" s="30"/>
      <c r="E187" s="30"/>
      <c r="F187" s="30"/>
      <c r="G187" s="30"/>
      <c r="H187" s="30"/>
    </row>
    <row r="188" spans="1:8">
      <c r="A188" s="23" t="s">
        <v>251</v>
      </c>
      <c r="B188" s="63">
        <f>IFERROR(PROFIL!B18,"")</f>
        <v>0</v>
      </c>
      <c r="C188" s="30"/>
      <c r="D188" s="30"/>
      <c r="E188" s="30"/>
      <c r="F188" s="30"/>
      <c r="G188" s="30"/>
      <c r="H188" s="30"/>
    </row>
    <row r="189" spans="1:8">
      <c r="A189" s="23" t="s">
        <v>252</v>
      </c>
      <c r="B189" s="63">
        <f>IFERROR(PROFIL!B19,"")</f>
        <v>0</v>
      </c>
      <c r="C189" s="30"/>
      <c r="D189" s="30"/>
      <c r="E189" s="30"/>
      <c r="F189" s="30"/>
      <c r="G189" s="30"/>
      <c r="H189" s="30"/>
    </row>
    <row r="190" spans="1:8" ht="5" customHeight="1"/>
    <row r="191" spans="1:8" ht="20" customHeight="1">
      <c r="A191" s="21" t="s">
        <v>253</v>
      </c>
      <c r="B191" s="21"/>
      <c r="C191" s="21"/>
      <c r="D191" s="21"/>
      <c r="E191" s="21"/>
      <c r="F191" s="21"/>
      <c r="G191" s="21"/>
      <c r="H191" s="21"/>
    </row>
    <row r="192" spans="1:8">
      <c r="A192" s="22" t="s">
        <v>248</v>
      </c>
      <c r="B192" s="22" t="s">
        <v>249</v>
      </c>
      <c r="C192" s="22"/>
      <c r="D192" s="22"/>
      <c r="E192" s="22"/>
      <c r="F192" s="22"/>
      <c r="G192" s="22"/>
      <c r="H192" s="22"/>
    </row>
    <row r="193" spans="1:8">
      <c r="A193" s="23" t="s">
        <v>254</v>
      </c>
      <c r="B193" s="34">
        <f>IFERROR(PROFIL!B22,"")</f>
        <v>0</v>
      </c>
      <c r="C193" s="30"/>
      <c r="D193" s="30"/>
      <c r="E193" s="30"/>
      <c r="F193" s="30"/>
      <c r="G193" s="30"/>
      <c r="H193" s="30"/>
    </row>
    <row r="194" spans="1:8">
      <c r="A194" s="23" t="s">
        <v>255</v>
      </c>
      <c r="B194" s="34">
        <f>IFERROR(PROFIL!B23,"")</f>
        <v>0</v>
      </c>
      <c r="C194" s="30"/>
      <c r="D194" s="30"/>
      <c r="E194" s="30"/>
      <c r="F194" s="30"/>
      <c r="G194" s="30"/>
      <c r="H194" s="30"/>
    </row>
    <row r="195" spans="1:8">
      <c r="A195" s="23" t="s">
        <v>256</v>
      </c>
      <c r="B195" s="63">
        <f>IFERROR(PROFIL!B24,"")</f>
        <v>0</v>
      </c>
      <c r="C195" s="30"/>
      <c r="D195" s="30"/>
      <c r="E195" s="30"/>
      <c r="F195" s="30"/>
      <c r="G195" s="30"/>
      <c r="H195" s="30"/>
    </row>
    <row r="196" spans="1:8">
      <c r="A196" s="23" t="s">
        <v>257</v>
      </c>
      <c r="B196" s="63">
        <f>IFERROR(PROFIL!B25,"")</f>
        <v>0</v>
      </c>
      <c r="C196" s="30"/>
      <c r="D196" s="30"/>
      <c r="E196" s="30"/>
      <c r="F196" s="30"/>
      <c r="G196" s="30"/>
      <c r="H196" s="30"/>
    </row>
    <row r="197" spans="1:8" ht="5" customHeight="1"/>
    <row r="198" spans="1:8" ht="20" customHeight="1">
      <c r="A198" s="21" t="s">
        <v>258</v>
      </c>
      <c r="B198" s="21"/>
      <c r="C198" s="21"/>
      <c r="D198" s="21"/>
      <c r="E198" s="21"/>
      <c r="F198" s="21"/>
      <c r="G198" s="21"/>
      <c r="H198" s="21"/>
    </row>
    <row r="199" spans="1:8">
      <c r="A199" s="22" t="s">
        <v>248</v>
      </c>
      <c r="B199" s="22" t="s">
        <v>249</v>
      </c>
      <c r="C199" s="22"/>
      <c r="D199" s="22"/>
      <c r="E199" s="22"/>
      <c r="F199" s="22"/>
      <c r="G199" s="22"/>
      <c r="H199" s="22"/>
    </row>
    <row r="200" spans="1:8">
      <c r="A200" s="23" t="s">
        <v>100</v>
      </c>
      <c r="B200" s="63">
        <f>IFERROR(PROFIL!B28,"")</f>
        <v>0</v>
      </c>
      <c r="C200" s="30"/>
      <c r="D200" s="30"/>
      <c r="E200" s="30"/>
      <c r="F200" s="30"/>
      <c r="G200" s="30"/>
      <c r="H200" s="30"/>
    </row>
    <row r="201" spans="1:8">
      <c r="A201" s="23" t="s">
        <v>259</v>
      </c>
      <c r="B201" s="63">
        <f>IFERROR(PROFIL!B29,"")</f>
        <v>0</v>
      </c>
      <c r="C201" s="30"/>
      <c r="D201" s="30"/>
      <c r="E201" s="30"/>
      <c r="F201" s="30"/>
      <c r="G201" s="30"/>
      <c r="H201" s="30"/>
    </row>
    <row r="202" spans="1:8">
      <c r="A202" s="23" t="s">
        <v>260</v>
      </c>
      <c r="B202" s="63">
        <f>IFERROR(PROFIL!B30,"")</f>
        <v>0</v>
      </c>
      <c r="C202" s="30"/>
      <c r="D202" s="30"/>
      <c r="E202" s="30"/>
      <c r="F202" s="30"/>
      <c r="G202" s="30"/>
      <c r="H202" s="30"/>
    </row>
    <row r="203" spans="1:8">
      <c r="A203" s="23" t="s">
        <v>261</v>
      </c>
      <c r="B203" s="63">
        <f>IFERROR(PROFIL!B31,"")</f>
        <v>0</v>
      </c>
      <c r="C203" s="30"/>
      <c r="D203" s="30"/>
      <c r="E203" s="30"/>
      <c r="F203" s="30"/>
      <c r="G203" s="30"/>
      <c r="H203" s="30"/>
    </row>
    <row r="204" spans="1:8" ht="5" customHeight="1"/>
    <row r="205" spans="1:8" ht="5" customHeight="1"/>
    <row r="206" spans="1:8" ht="22" customHeight="1">
      <c r="A206" s="19" t="s">
        <v>262</v>
      </c>
      <c r="B206" s="19"/>
      <c r="C206" s="19"/>
      <c r="D206" s="19"/>
      <c r="E206" s="19"/>
      <c r="F206" s="19"/>
      <c r="G206" s="19"/>
      <c r="H206" s="19"/>
    </row>
    <row r="207" spans="1:8" ht="5" customHeight="1"/>
    <row r="208" spans="1:8" ht="20" customHeight="1">
      <c r="A208" s="21" t="s">
        <v>263</v>
      </c>
      <c r="B208" s="21"/>
      <c r="C208" s="21"/>
      <c r="D208" s="21"/>
      <c r="E208" s="21"/>
      <c r="F208" s="21"/>
      <c r="G208" s="21"/>
      <c r="H208" s="21"/>
    </row>
    <row r="209" spans="1:8">
      <c r="A209" s="22" t="s">
        <v>94</v>
      </c>
      <c r="B209" s="22" t="s">
        <v>95</v>
      </c>
      <c r="C209" s="22"/>
      <c r="D209" s="22" t="s">
        <v>264</v>
      </c>
      <c r="E209" s="22"/>
      <c r="F209" s="22"/>
      <c r="G209" s="22"/>
      <c r="H209" s="22"/>
    </row>
    <row r="210" spans="1:8">
      <c r="A210" s="23" t="s">
        <v>265</v>
      </c>
      <c r="B210" s="27">
        <f>IFERROR(PROFIL!B40,"")</f>
        <v>0</v>
      </c>
      <c r="C210" s="30"/>
      <c r="D210" s="48" t="s">
        <v>266</v>
      </c>
      <c r="E210" s="30"/>
      <c r="F210" s="30"/>
      <c r="G210" s="30"/>
      <c r="H210" s="30"/>
    </row>
    <row r="211" spans="1:8">
      <c r="A211" s="23" t="s">
        <v>267</v>
      </c>
      <c r="B211" s="27">
        <f>IFERROR(PROFIL!B41,"")</f>
        <v>0</v>
      </c>
      <c r="C211" s="30"/>
      <c r="D211" s="48" t="s">
        <v>268</v>
      </c>
      <c r="E211" s="30"/>
      <c r="F211" s="30"/>
      <c r="G211" s="30"/>
      <c r="H211" s="30"/>
    </row>
    <row r="212" spans="1:8">
      <c r="A212" s="23" t="s">
        <v>269</v>
      </c>
      <c r="B212" s="27">
        <f>IFERROR(IFERROR(PROFIL!B40,0)+IFERROR(PROFIL!B41,0),"")</f>
        <v>0</v>
      </c>
      <c r="C212" s="30"/>
      <c r="D212" s="48" t="s">
        <v>270</v>
      </c>
      <c r="E212" s="30"/>
      <c r="F212" s="30"/>
      <c r="G212" s="30"/>
      <c r="H212" s="30"/>
    </row>
    <row r="213" spans="1:8">
      <c r="A213" s="23" t="s">
        <v>271</v>
      </c>
      <c r="B213" s="25">
        <f>IFERROR((IFERROR(PROFIL!B40,0)+IFERROR(PROFIL!B41,0))/B26*100,"")</f>
        <v>0</v>
      </c>
      <c r="C213" s="30"/>
      <c r="D213" s="48" t="s">
        <v>272</v>
      </c>
      <c r="E213" s="30"/>
      <c r="F213" s="30"/>
      <c r="G213" s="30"/>
      <c r="H213" s="30"/>
    </row>
    <row r="214" spans="1:8">
      <c r="A214" s="23" t="s">
        <v>273</v>
      </c>
      <c r="B214" s="25">
        <f>IFERROR((IFERROR(PROFIL!B40,0)+IFERROR(PROFIL!B41,0))/(F12*1000000),"")</f>
        <v>0</v>
      </c>
      <c r="C214" s="30"/>
      <c r="D214" s="48" t="s">
        <v>274</v>
      </c>
      <c r="E214" s="30"/>
      <c r="F214" s="30"/>
      <c r="G214" s="30"/>
      <c r="H214" s="30"/>
    </row>
    <row r="215" spans="1:8" ht="5" customHeight="1"/>
    <row r="216" spans="1:8" ht="20" customHeight="1">
      <c r="A216" s="21" t="s">
        <v>275</v>
      </c>
      <c r="B216" s="21"/>
      <c r="C216" s="21"/>
      <c r="D216" s="21"/>
      <c r="E216" s="21"/>
      <c r="F216" s="21"/>
      <c r="G216" s="21"/>
      <c r="H216" s="21"/>
    </row>
    <row r="217" spans="1:8">
      <c r="A217" s="22" t="s">
        <v>94</v>
      </c>
      <c r="B217" s="22" t="s">
        <v>95</v>
      </c>
      <c r="C217" s="22"/>
      <c r="D217" s="22" t="s">
        <v>264</v>
      </c>
      <c r="E217" s="22"/>
      <c r="F217" s="22"/>
      <c r="G217" s="22"/>
      <c r="H217" s="22"/>
    </row>
    <row r="218" spans="1:8">
      <c r="A218" s="23" t="s">
        <v>276</v>
      </c>
      <c r="B218" s="27">
        <f>IFERROR(PROFIL!B42,"")</f>
        <v>0</v>
      </c>
      <c r="C218" s="30"/>
      <c r="D218" s="48" t="s">
        <v>277</v>
      </c>
      <c r="E218" s="30"/>
      <c r="F218" s="30"/>
      <c r="G218" s="30"/>
      <c r="H218" s="30"/>
    </row>
    <row r="219" spans="1:8">
      <c r="A219" s="23" t="s">
        <v>278</v>
      </c>
      <c r="B219" s="27">
        <f>IFERROR(PROFIL!B43,"")</f>
        <v>0</v>
      </c>
      <c r="C219" s="30"/>
      <c r="D219" s="48" t="s">
        <v>279</v>
      </c>
      <c r="E219" s="30"/>
      <c r="F219" s="30"/>
      <c r="G219" s="30"/>
      <c r="H219" s="30"/>
    </row>
    <row r="220" spans="1:8">
      <c r="A220" s="23" t="s">
        <v>280</v>
      </c>
      <c r="B220" s="25">
        <f>IFERROR(PROFIL!B42*1000000/PROFIL!B43,"")</f>
        <v>0</v>
      </c>
      <c r="C220" s="30"/>
      <c r="D220" s="48" t="s">
        <v>281</v>
      </c>
      <c r="E220" s="30"/>
      <c r="F220" s="30"/>
      <c r="G220" s="30"/>
      <c r="H220" s="30"/>
    </row>
    <row r="221" spans="1:8">
      <c r="A221" s="23" t="s">
        <v>282</v>
      </c>
      <c r="B221" s="25">
        <f>IFERROR(B26/(IFERROR(PROFIL!B40,0)+IFERROR(PROFIL!B41,0))*100,"")</f>
        <v>0</v>
      </c>
      <c r="C221" s="30"/>
      <c r="D221" s="48" t="s">
        <v>283</v>
      </c>
      <c r="E221" s="30"/>
      <c r="F221" s="30"/>
      <c r="G221" s="30"/>
      <c r="H221" s="30"/>
    </row>
    <row r="222" spans="1:8" ht="5" customHeight="1"/>
    <row r="223" spans="1:8" ht="20" customHeight="1">
      <c r="A223" s="21" t="s">
        <v>284</v>
      </c>
      <c r="B223" s="21"/>
      <c r="C223" s="21"/>
      <c r="D223" s="21"/>
      <c r="E223" s="21"/>
      <c r="F223" s="21"/>
      <c r="G223" s="21"/>
      <c r="H223" s="21"/>
    </row>
    <row r="224" spans="1:8">
      <c r="A224" s="22" t="s">
        <v>94</v>
      </c>
      <c r="B224" s="22" t="s">
        <v>95</v>
      </c>
      <c r="C224" s="22"/>
      <c r="D224" s="22" t="s">
        <v>264</v>
      </c>
      <c r="E224" s="22"/>
      <c r="F224" s="22"/>
      <c r="G224" s="22"/>
      <c r="H224" s="22"/>
    </row>
    <row r="225" spans="1:8">
      <c r="A225" s="23" t="s">
        <v>285</v>
      </c>
      <c r="B225" s="27">
        <f>IFERROR(PROFIL!B44,"")</f>
        <v>0</v>
      </c>
      <c r="C225" s="30"/>
      <c r="D225" s="48" t="s">
        <v>286</v>
      </c>
      <c r="E225" s="30"/>
      <c r="F225" s="30"/>
      <c r="G225" s="30"/>
      <c r="H225" s="30"/>
    </row>
    <row r="226" spans="1:8">
      <c r="A226" s="23" t="s">
        <v>287</v>
      </c>
      <c r="B226" s="27">
        <f>IFERROR(PROFIL!B45,"")</f>
        <v>0</v>
      </c>
      <c r="C226" s="30"/>
      <c r="D226" s="48" t="s">
        <v>288</v>
      </c>
      <c r="E226" s="30"/>
      <c r="F226" s="30"/>
      <c r="G226" s="30"/>
      <c r="H226" s="30"/>
    </row>
    <row r="227" spans="1:8">
      <c r="A227" s="23" t="s">
        <v>289</v>
      </c>
      <c r="B227" s="25">
        <f>IFERROR(PROFIL!B44/PROFIL!B45,"")</f>
        <v>0</v>
      </c>
      <c r="C227" s="30"/>
      <c r="D227" s="48" t="s">
        <v>290</v>
      </c>
      <c r="E227" s="30"/>
      <c r="F227" s="30"/>
      <c r="G227" s="30"/>
      <c r="H227" s="30"/>
    </row>
    <row r="228" spans="1:8">
      <c r="A228" s="23" t="s">
        <v>291</v>
      </c>
      <c r="B228" s="27">
        <f>IFERROR(PROFIL!B44-PROFIL!B45,"")</f>
        <v>0</v>
      </c>
      <c r="C228" s="30"/>
      <c r="D228" s="48" t="s">
        <v>292</v>
      </c>
      <c r="E228" s="30"/>
      <c r="F228" s="30"/>
      <c r="G228" s="30"/>
      <c r="H228" s="30"/>
    </row>
    <row r="229" spans="1:8" ht="5" customHeight="1"/>
    <row r="230" spans="1:8" ht="5" customHeight="1"/>
    <row r="231" spans="1:8" ht="22" customHeight="1">
      <c r="A231" s="19" t="s">
        <v>293</v>
      </c>
      <c r="B231" s="19"/>
      <c r="C231" s="19"/>
      <c r="D231" s="19"/>
      <c r="E231" s="19"/>
      <c r="F231" s="19"/>
      <c r="G231" s="19"/>
      <c r="H231" s="19"/>
    </row>
    <row r="232" spans="1:8" ht="5" customHeight="1"/>
    <row r="233" spans="1:8" ht="20" customHeight="1">
      <c r="A233" s="21" t="s">
        <v>294</v>
      </c>
      <c r="B233" s="21"/>
      <c r="C233" s="21"/>
      <c r="D233" s="21"/>
      <c r="E233" s="21"/>
      <c r="F233" s="21"/>
      <c r="G233" s="21"/>
      <c r="H233" s="21"/>
    </row>
    <row r="234" spans="1:8">
      <c r="A234" s="22" t="s">
        <v>295</v>
      </c>
      <c r="B234" s="22" t="s">
        <v>296</v>
      </c>
      <c r="C234" s="22" t="s">
        <v>297</v>
      </c>
      <c r="D234" s="22" t="s">
        <v>298</v>
      </c>
      <c r="E234" s="22"/>
      <c r="F234" s="22"/>
      <c r="G234" s="22"/>
      <c r="H234" s="22"/>
    </row>
    <row r="235" spans="1:8">
      <c r="A235" s="23">
        <f>IF(ISNUMBER(B31),"VMC  =  "&amp;TEXT(ROUND(B31,0),"#,##0")&amp;" FCFA","VMC — N/A")</f>
        <v>0</v>
      </c>
      <c r="B235" s="27">
        <f>IFERROR(B31,"")</f>
        <v>0</v>
      </c>
      <c r="C235" s="64" t="s">
        <v>299</v>
      </c>
      <c r="D235" s="65">
        <f>IFERROR(IF(B24&lt;B31,"Prix SOUS VMC — decote comptable","Prix AU-DESSUS VMC"),"")</f>
        <v>0</v>
      </c>
      <c r="E235" s="30"/>
      <c r="F235" s="30"/>
      <c r="G235" s="30"/>
      <c r="H235" s="30"/>
    </row>
    <row r="236" spans="1:8">
      <c r="A236" s="23">
        <f>IF(ISNUMBER(B113),"PCD  =  "&amp;TEXT(ROUND(B113,0),"#,##0")&amp;" FCFA","PCD — N/A (pas de dividende)")</f>
        <v>0</v>
      </c>
      <c r="B236" s="27">
        <f>IFERROR(IF(ISNUMBER(B113),B113,""),"")</f>
        <v>0</v>
      </c>
      <c r="C236" s="64" t="s">
        <v>300</v>
      </c>
      <c r="D236" s="65">
        <f>IFERROR(IF(NOT(ISNUMBER(B113)),"Non disponible — dividend = 0",IF(B24&lt;B113,"Prix SOUS PCD — survente","Prix AU-DESSUS PCD — surachat")),"N/A")</f>
        <v>0</v>
      </c>
      <c r="E236" s="30"/>
      <c r="F236" s="30"/>
      <c r="G236" s="30"/>
      <c r="H236" s="30"/>
    </row>
    <row r="237" spans="1:8">
      <c r="A237" s="23">
        <f>IF(ISNUMBER(B124),"Gordon P0  =  "&amp;TEXT(ROUND(B124,0),"#,##0")&amp;" FCFA","Gordon P0 — N/A (saisir D1)")</f>
        <v>0</v>
      </c>
      <c r="B237" s="27">
        <f>IFERROR(IF(ISNUMBER(B124),B124,""),"")</f>
        <v>0</v>
      </c>
      <c r="C237" s="64" t="s">
        <v>300</v>
      </c>
      <c r="D237" s="65">
        <f>IFERROR(IF(NOT(ISNUMBER(B124)),"Non disponible — saisir D1",IF(B24&lt;B124,"Prix SOUS P0 — opportunite","Prix AU-DESSUS P0 — surevalue")),"N/A")</f>
        <v>0</v>
      </c>
      <c r="E237" s="30"/>
      <c r="F237" s="30"/>
      <c r="G237" s="30"/>
      <c r="H237" s="30"/>
    </row>
    <row r="238" spans="1:8" ht="30" customHeight="1">
      <c r="A238" s="38" t="s">
        <v>301</v>
      </c>
      <c r="B238" s="66">
        <f>IFERROR((B31*2+IF(ISNUMBER(B113),B113,0)+IF(ISNUMBER(B124),B124,0))/(2+IF(ISNUMBER(B113),1,0)+IF(ISNUMBER(B124),1,0)),"")</f>
        <v>0</v>
      </c>
      <c r="C238" s="64" t="s">
        <v>302</v>
      </c>
      <c r="D238" s="67">
        <f>IFERROR(IF(B24&lt;B238*0.75,"FORTE OPPORTUNITE — decote &gt; 25%",IF(B24&lt;B238*0.85,"Achat ideal — decote 15-25%",IF(B24&lt;B238,"Legerement sous-evalue",IF(B24&lt;B238*1.20,"Zone normale / prime moderee","ATTENTION — surevaluation &gt; 20%")))),"Saisir prix actuel (B24)")</f>
        <v>0</v>
      </c>
      <c r="E238" s="30"/>
      <c r="F238" s="30"/>
      <c r="G238" s="30"/>
      <c r="H238" s="30"/>
    </row>
    <row r="239" spans="1:8" ht="5" customHeight="1"/>
    <row r="240" spans="1:8" ht="20" customHeight="1">
      <c r="A240" s="21" t="s">
        <v>303</v>
      </c>
      <c r="B240" s="21"/>
      <c r="C240" s="21"/>
      <c r="D240" s="21"/>
      <c r="E240" s="21"/>
      <c r="F240" s="21"/>
      <c r="G240" s="21"/>
      <c r="H240" s="21"/>
    </row>
    <row r="241" spans="1:8">
      <c r="A241" s="22" t="s">
        <v>304</v>
      </c>
      <c r="B241" s="22" t="s">
        <v>305</v>
      </c>
      <c r="C241" s="22" t="s">
        <v>306</v>
      </c>
      <c r="D241" s="22" t="s">
        <v>307</v>
      </c>
      <c r="E241" s="22"/>
      <c r="F241" s="22"/>
      <c r="G241" s="22"/>
      <c r="H241" s="22"/>
    </row>
    <row r="242" spans="1:8">
      <c r="A242" s="23" t="s">
        <v>308</v>
      </c>
      <c r="B242" s="27">
        <f>IFERROR(B238*0.75,"")</f>
        <v>0</v>
      </c>
      <c r="C242" s="68">
        <f>IFERROR((B24/(B238*0.75)-1)*100,"")</f>
        <v>0</v>
      </c>
      <c r="D242" s="69" t="s">
        <v>309</v>
      </c>
      <c r="E242" s="30"/>
      <c r="F242" s="30"/>
      <c r="G242" s="30"/>
      <c r="H242" s="30"/>
    </row>
    <row r="243" spans="1:8">
      <c r="A243" s="23" t="s">
        <v>310</v>
      </c>
      <c r="B243" s="27">
        <f>IFERROR(B238*0.85,"")</f>
        <v>0</v>
      </c>
      <c r="C243" s="68">
        <f>IFERROR((B24/(B238*0.85)-1)*100,"")</f>
        <v>0</v>
      </c>
      <c r="D243" s="69" t="s">
        <v>311</v>
      </c>
      <c r="E243" s="30"/>
      <c r="F243" s="30"/>
      <c r="G243" s="30"/>
      <c r="H243" s="30"/>
    </row>
    <row r="244" spans="1:8">
      <c r="A244" s="23" t="s">
        <v>312</v>
      </c>
      <c r="B244" s="27">
        <f>IFERROR(B238,"")</f>
        <v>0</v>
      </c>
      <c r="C244" s="68">
        <f>IFERROR((B24/B238-1)*100,"")</f>
        <v>0</v>
      </c>
      <c r="D244" s="69" t="s">
        <v>313</v>
      </c>
      <c r="E244" s="30"/>
      <c r="F244" s="30"/>
      <c r="G244" s="30"/>
      <c r="H244" s="30"/>
    </row>
    <row r="245" spans="1:8">
      <c r="A245" s="23" t="s">
        <v>314</v>
      </c>
      <c r="B245" s="27">
        <f>IFERROR(B238*1.10,"")</f>
        <v>0</v>
      </c>
      <c r="C245" s="68">
        <f>IFERROR((B24/(B238*1.10)-1)*100,"")</f>
        <v>0</v>
      </c>
      <c r="D245" s="69" t="s">
        <v>315</v>
      </c>
      <c r="E245" s="30"/>
      <c r="F245" s="30"/>
      <c r="G245" s="30"/>
      <c r="H245" s="30"/>
    </row>
    <row r="246" spans="1:8">
      <c r="A246" s="23" t="s">
        <v>316</v>
      </c>
      <c r="B246" s="27">
        <f>IFERROR(B238*1.20,"")</f>
        <v>0</v>
      </c>
      <c r="C246" s="68">
        <f>IFERROR((B24/(B238*1.20)-1)*100,"")</f>
        <v>0</v>
      </c>
      <c r="D246" s="69" t="s">
        <v>317</v>
      </c>
      <c r="E246" s="30"/>
      <c r="F246" s="30"/>
      <c r="G246" s="30"/>
      <c r="H246" s="30"/>
    </row>
    <row r="247" spans="1:8" ht="5" customHeight="1"/>
    <row r="248" spans="1:8" ht="5" customHeight="1"/>
    <row r="249" spans="1:8" ht="22" customHeight="1">
      <c r="A249" s="19" t="s">
        <v>318</v>
      </c>
      <c r="B249" s="19"/>
      <c r="C249" s="19"/>
      <c r="D249" s="19"/>
      <c r="E249" s="19"/>
      <c r="F249" s="19"/>
      <c r="G249" s="19"/>
      <c r="H249" s="19"/>
    </row>
    <row r="250" spans="1:8" ht="5" customHeight="1"/>
    <row r="251" spans="1:8" ht="20" customHeight="1">
      <c r="A251" s="21" t="s">
        <v>319</v>
      </c>
      <c r="B251" s="21"/>
      <c r="C251" s="21"/>
      <c r="D251" s="21"/>
      <c r="E251" s="21"/>
      <c r="F251" s="21"/>
      <c r="G251" s="21"/>
      <c r="H251" s="21"/>
    </row>
    <row r="252" spans="1:8" ht="14" customHeight="1">
      <c r="A252" s="52" t="s">
        <v>320</v>
      </c>
      <c r="B252" s="52"/>
      <c r="C252" s="52"/>
      <c r="D252" s="52"/>
      <c r="E252" s="52"/>
      <c r="F252" s="52"/>
      <c r="G252" s="52"/>
      <c r="H252" s="52"/>
    </row>
    <row r="253" spans="1:8">
      <c r="A253" s="22" t="s">
        <v>321</v>
      </c>
      <c r="B253" s="22" t="s">
        <v>322</v>
      </c>
      <c r="C253" s="22" t="s">
        <v>323</v>
      </c>
      <c r="D253" s="22" t="s">
        <v>324</v>
      </c>
      <c r="E253" s="22" t="s">
        <v>325</v>
      </c>
      <c r="F253" s="22" t="s">
        <v>326</v>
      </c>
      <c r="G253" s="22" t="s">
        <v>54</v>
      </c>
      <c r="H253" s="22"/>
    </row>
    <row r="254" spans="1:8" ht="18" customHeight="1">
      <c r="A254" s="70"/>
      <c r="B254" s="51"/>
      <c r="C254" s="51"/>
      <c r="D254" s="25">
        <f>IFERROR(CHOOSE(MATCH(A254,{"Caoutchouc RSS3 (USD/kg)","Huile de palme CPO (USD/t)","Cacao (USD/t)","Coton (USD/lb)","Cafe Robusta (USD/t)"},0),1.65,820,2500,0.85,1800),"")</f>
        <v>0</v>
      </c>
      <c r="E254" s="51"/>
      <c r="F254" s="25">
        <f>IFERROR(IF(AND(ISNUMBER(C254),OR(D254&lt;&gt;"",ISNUMBER(E254))),C254/IF(D254&lt;&gt;"",D254,E254),""),"")</f>
        <v>0</v>
      </c>
      <c r="G254" s="71">
        <f>IFERROR(IF(NOT(ISNUMBER(F254)),"—",IF(F254&lt;0.85,"BAS — opportunite acheteur",IF(F254&lt;1.15,"MILIEU — cycle normal","HAUT — PER annuel trompeur"))),"—")</f>
        <v>0</v>
      </c>
      <c r="H254" s="30"/>
    </row>
    <row r="255" spans="1:8" ht="18" customHeight="1">
      <c r="A255" s="70"/>
      <c r="B255" s="51"/>
      <c r="C255" s="51"/>
      <c r="D255" s="25">
        <f>IFERROR(CHOOSE(MATCH(A255,{"Caoutchouc RSS3 (USD/kg)","Huile de palme CPO (USD/t)","Cacao (USD/t)","Coton (USD/lb)","Cafe Robusta (USD/t)"},0),1.65,820,2500,0.85,1800),"")</f>
        <v>0</v>
      </c>
      <c r="E255" s="51"/>
      <c r="F255" s="25">
        <f>IFERROR(IF(AND(ISNUMBER(C255),OR(D255&lt;&gt;"",ISNUMBER(E255))),C255/IF(D255&lt;&gt;"",D255,E255),""),"")</f>
        <v>0</v>
      </c>
      <c r="G255" s="71">
        <f>IFERROR(IF(NOT(ISNUMBER(F255)),"—",IF(F255&lt;0.85,"BAS — opportunite acheteur",IF(F255&lt;1.15,"MILIEU — cycle normal","HAUT — PER annuel trompeur"))),"—")</f>
        <v>0</v>
      </c>
      <c r="H255" s="30"/>
    </row>
    <row r="256" spans="1:8" ht="18" customHeight="1">
      <c r="A256" s="70"/>
      <c r="B256" s="51"/>
      <c r="C256" s="51"/>
      <c r="D256" s="25">
        <f>IFERROR(CHOOSE(MATCH(A256,{"Caoutchouc RSS3 (USD/kg)","Huile de palme CPO (USD/t)","Cacao (USD/t)","Coton (USD/lb)","Cafe Robusta (USD/t)"},0),1.65,820,2500,0.85,1800),"")</f>
        <v>0</v>
      </c>
      <c r="E256" s="51"/>
      <c r="F256" s="25">
        <f>IFERROR(IF(AND(ISNUMBER(C256),OR(D256&lt;&gt;"",ISNUMBER(E256))),C256/IF(D256&lt;&gt;"",D256,E256),""),"")</f>
        <v>0</v>
      </c>
      <c r="G256" s="71">
        <f>IFERROR(IF(NOT(ISNUMBER(F256)),"—",IF(F256&lt;0.85,"BAS — opportunite acheteur",IF(F256&lt;1.15,"MILIEU — cycle normal","HAUT — PER annuel trompeur"))),"—")</f>
        <v>0</v>
      </c>
      <c r="H256" s="30"/>
    </row>
    <row r="257" spans="1:8">
      <c r="A257" s="23" t="s">
        <v>327</v>
      </c>
      <c r="B257" s="68">
        <f>IFERROR(SUM(B254:B256),"")</f>
        <v>0</v>
      </c>
      <c r="C257" s="71">
        <f>IFERROR(IF(ABS(SUM(B254:B256)-100)&lt;0.1,"Total = 100% OK","ATTENTION : total "&amp;TEXT(SUM(B254:B256),"0.0")&amp;"% — verifier les %"),"—")</f>
        <v>0</v>
      </c>
      <c r="D257" s="30"/>
      <c r="E257" s="30"/>
      <c r="F257" s="30"/>
      <c r="G257" s="30"/>
      <c r="H257" s="30"/>
    </row>
    <row r="258" spans="1:8" ht="5" customHeight="1"/>
    <row r="259" spans="1:8" ht="20" customHeight="1">
      <c r="A259" s="21" t="s">
        <v>328</v>
      </c>
      <c r="B259" s="21"/>
      <c r="C259" s="21"/>
      <c r="D259" s="21"/>
      <c r="E259" s="21"/>
      <c r="F259" s="21"/>
      <c r="G259" s="21"/>
      <c r="H259" s="21"/>
    </row>
    <row r="260" spans="1:8">
      <c r="A260" s="22" t="s">
        <v>94</v>
      </c>
      <c r="B260" s="22" t="s">
        <v>95</v>
      </c>
      <c r="C260" s="22"/>
      <c r="D260" s="22" t="s">
        <v>329</v>
      </c>
      <c r="E260" s="22"/>
      <c r="F260" s="22"/>
      <c r="G260" s="22"/>
      <c r="H260" s="22"/>
    </row>
    <row r="261" spans="1:8">
      <c r="A261" s="23" t="s">
        <v>330</v>
      </c>
      <c r="B261" s="72">
        <f>IFERROR((IF(AND(A254&lt;&gt;"",ISNUMBER(F254)),B254*F254,0)+IF(AND(A255&lt;&gt;"",ISNUMBER(F255)),B255*F255,0)+IF(AND(A256&lt;&gt;"",ISNUMBER(F256)),B256*F256,0))/(IF(AND(A254&lt;&gt;"",ISNUMBER(F254)),B254,0)+IF(AND(A255&lt;&gt;"",ISNUMBER(F255)),B255,0)+IF(AND(A256&lt;&gt;"",ISNUMBER(F256)),B256,0)),"")</f>
        <v>0</v>
      </c>
      <c r="C261" s="30"/>
      <c r="D261" s="71">
        <f>IFERROR("Indice "&amp;TEXT(B261,"0.00")&amp;" — "&amp; IF(B261&lt;0.85,"en dessous moy LT : bas de cycle",IF(B261&lt;1.15,"proche moy LT : milieu de cycle","au-dessus moy LT : haut de cycle")),"")</f>
        <v>0</v>
      </c>
      <c r="E261" s="30"/>
      <c r="F261" s="30"/>
      <c r="G261" s="30"/>
      <c r="H261" s="30"/>
    </row>
    <row r="262" spans="1:8" ht="40" customHeight="1">
      <c r="A262" s="38" t="s">
        <v>331</v>
      </c>
      <c r="B262" s="73">
        <f>IFERROR(IF(B261&lt;0.85,"BAS DE CYCLE",IF(B261&lt;1.15,"MILIEU DE CYCLE","HAUT DE CYCLE")),"—")</f>
        <v>0</v>
      </c>
      <c r="C262" s="30"/>
      <c r="D262" s="74">
        <f>IFERROR(IF(B261&lt;0.85,"ACHETER : RN comprime par bas cycle, actifs (plantations) solides. PER eleve = normal, ne pas vendre sur cette base.",IF(B261&lt;1.15,"ANALYSE STANDARD applicable. PER historique fiable.","PRUDENCE : RN gonfle par haut cycle. PER bas = TROMPEUR. Preferer PER normalise cycle (G3) avant toute decision.")),"")</f>
        <v>0</v>
      </c>
      <c r="E262" s="30"/>
      <c r="F262" s="30"/>
      <c r="G262" s="30"/>
      <c r="H262" s="30"/>
    </row>
    <row r="263" spans="1:8">
      <c r="A263" s="23" t="s">
        <v>332</v>
      </c>
      <c r="B263" s="28">
        <f>IFERROR(COUNTA(A254:A256),0)</f>
        <v>0</v>
      </c>
      <c r="C263" s="30"/>
      <c r="D263" s="71">
        <f>IFERROR(IF(COUNTA(A254:A256)&gt;=2,"Multi-matieres : diversification naturelle — cycles partiellement decoreles (ex: SOGB)","Mono-matiere : exposition totale au cycle unique (ex: SAPH, PALMCI)"),"")</f>
        <v>0</v>
      </c>
      <c r="E263" s="30"/>
      <c r="F263" s="30"/>
      <c r="G263" s="30"/>
      <c r="H263" s="30"/>
    </row>
    <row r="264" spans="1:8" ht="5" customHeight="1"/>
    <row r="265" spans="1:8" ht="20" customHeight="1">
      <c r="A265" s="21" t="s">
        <v>333</v>
      </c>
      <c r="B265" s="21"/>
      <c r="C265" s="21"/>
      <c r="D265" s="21"/>
      <c r="E265" s="21"/>
      <c r="F265" s="21"/>
      <c r="G265" s="21"/>
      <c r="H265" s="21"/>
    </row>
    <row r="266" spans="1:8">
      <c r="A266" s="22" t="s">
        <v>94</v>
      </c>
      <c r="B266" s="22" t="s">
        <v>95</v>
      </c>
      <c r="C266" s="22"/>
      <c r="D266" s="22" t="s">
        <v>334</v>
      </c>
      <c r="E266" s="22"/>
      <c r="F266" s="22"/>
      <c r="G266" s="22"/>
      <c r="H266" s="22"/>
    </row>
    <row r="267" spans="1:8">
      <c r="A267" s="23" t="s">
        <v>335</v>
      </c>
      <c r="B267" s="27">
        <f>IFERROR(AVERAGE(B12:F12)*1000000/B28,"")</f>
        <v>0</v>
      </c>
      <c r="C267" s="30"/>
      <c r="D267" s="75" t="s">
        <v>336</v>
      </c>
      <c r="E267" s="30"/>
      <c r="F267" s="30"/>
      <c r="G267" s="30"/>
      <c r="H267" s="30"/>
    </row>
    <row r="268" spans="1:8">
      <c r="A268" s="38" t="s">
        <v>337</v>
      </c>
      <c r="B268" s="72">
        <f>IFERROR(B24/B267,"")</f>
        <v>0</v>
      </c>
      <c r="C268" s="30"/>
      <c r="D268" s="76">
        <f>IFERROR(IF(B268&lt;9,"Sous-evalue sur cycle complet — forte opportunite",IF(B268&lt;15,"Zone normale sur cycle — achat raisonnable",IF(B268&lt;22,"Prime moderee sur cycle — attendre correction","Fortement surevalue sur cycle — eviter"))),"Saisir donnees A1 et A2")</f>
        <v>0</v>
      </c>
      <c r="E268" s="30"/>
      <c r="F268" s="30"/>
      <c r="G268" s="30"/>
      <c r="H268" s="30"/>
    </row>
    <row r="269" spans="1:8" ht="28" customHeight="1">
      <c r="A269" s="38" t="s">
        <v>338</v>
      </c>
      <c r="B269" s="77">
        <f>IFERROR(IF(AND(B261&lt;0.85,B268&lt;15),"ACHAT FORT — bas cycle + sous-evalue sur cycle",IF(AND(B261&lt;1.15,B268&lt;15),"ACHAT — milieu cycle + juste valorisation cycle",IF(AND(B261&gt;1.15,B268&lt;9),"SURVEILLER — haut cycle mais tres sous-evalue cycle",IF(AND(B261&gt;1.15,B268&gt;=15),"EVITER — haut cycle ET surevalue sur cycle","NEUTRE — analyser fondamentaux en detail")))),"Saisir matieres en G1")</f>
        <v>0</v>
      </c>
      <c r="C269" s="77"/>
      <c r="D269" s="77"/>
      <c r="E269" s="30"/>
      <c r="F269" s="30"/>
      <c r="G269" s="30"/>
      <c r="H269" s="30"/>
    </row>
    <row r="270" spans="1:8" ht="5" customHeight="1"/>
    <row r="271" spans="1:8" ht="5" customHeight="1"/>
    <row r="272" spans="1:8" ht="22" customHeight="1">
      <c r="A272" s="19" t="s">
        <v>339</v>
      </c>
      <c r="B272" s="19"/>
      <c r="C272" s="19"/>
      <c r="D272" s="19"/>
      <c r="E272" s="19"/>
      <c r="F272" s="19"/>
      <c r="G272" s="19"/>
      <c r="H272" s="19"/>
    </row>
    <row r="273" spans="1:8" ht="20" customHeight="1">
      <c r="A273" s="21" t="s">
        <v>340</v>
      </c>
      <c r="B273" s="21"/>
      <c r="C273" s="21"/>
      <c r="D273" s="21"/>
      <c r="E273" s="21"/>
      <c r="F273" s="21"/>
      <c r="G273" s="21"/>
      <c r="H273" s="21"/>
    </row>
    <row r="274" spans="1:8">
      <c r="A274" s="22" t="s">
        <v>94</v>
      </c>
      <c r="B274" s="22" t="s">
        <v>95</v>
      </c>
      <c r="C274" s="22" t="s">
        <v>341</v>
      </c>
      <c r="D274" s="22" t="s">
        <v>54</v>
      </c>
      <c r="E274" s="22" t="s">
        <v>183</v>
      </c>
      <c r="F274" s="22"/>
      <c r="G274" s="22"/>
      <c r="H274" s="22"/>
    </row>
    <row r="275" spans="1:8">
      <c r="A275" s="23" t="s">
        <v>342</v>
      </c>
      <c r="B275" s="27">
        <f>IFERROR(PROFIL!B48,"")</f>
        <v>0</v>
      </c>
      <c r="C275" s="40" t="s">
        <v>343</v>
      </c>
      <c r="D275" s="32" t="s">
        <v>344</v>
      </c>
      <c r="E275" s="32"/>
    </row>
    <row r="276" spans="1:8">
      <c r="A276" s="23" t="s">
        <v>345</v>
      </c>
      <c r="B276" s="27">
        <f>IFERROR(PROFIL!B49,"")</f>
        <v>0</v>
      </c>
      <c r="C276" s="40" t="s">
        <v>343</v>
      </c>
    </row>
    <row r="277" spans="1:8">
      <c r="A277" s="38" t="s">
        <v>346</v>
      </c>
      <c r="B277" s="25">
        <f>IFERROR(IF(AND(ISNUMBER(PROFIL!B48),ISNUMBER(PROFIL!B49),PROFIL!B48&gt;0),(PROFIL!B49-PROFIL!B48)/PROFIL!B48*100,""),"")</f>
        <v>0</v>
      </c>
      <c r="C277" s="40" t="s">
        <v>347</v>
      </c>
      <c r="D277" s="28">
        <f>IFERROR(IF(OR(NOT(ISNUMBER(PROFIL!B48)),NOT(ISNUMBER(PROFIL!B49))),"Saisir J-1 et J+5 dans PROFIL",IF((PROFIL!B49-PROFIL!B48)/PROFIL!B48*100&gt;=5,"Accueil tres favorable — marche recompense les resultats",IF((PROFIL!B49-PROFIL!B48)/PROFIL!B48*100&gt;=0,"Accueil positif — marche satisfait",IF((PROFIL!B49-PROFIL!B48)/PROFIL!B48*100&gt;=-5,"Reaction mitigee — marche decu","PUNITION MARCHE — resultats fortement sanctionnes")))),"")</f>
        <v>0</v>
      </c>
    </row>
    <row r="278" spans="1:8" ht="5" customHeight="1"/>
    <row r="279" spans="1:8" ht="20" customHeight="1">
      <c r="A279" s="21" t="s">
        <v>348</v>
      </c>
      <c r="B279" s="21"/>
      <c r="C279" s="21"/>
      <c r="D279" s="21"/>
      <c r="E279" s="21"/>
      <c r="F279" s="21"/>
      <c r="G279" s="21"/>
      <c r="H279" s="21"/>
    </row>
    <row r="280" spans="1:8">
      <c r="A280" s="22" t="s">
        <v>94</v>
      </c>
      <c r="B280" s="22" t="s">
        <v>30</v>
      </c>
      <c r="C280" s="22" t="s">
        <v>31</v>
      </c>
      <c r="D280" s="22" t="s">
        <v>32</v>
      </c>
      <c r="E280" s="22" t="s">
        <v>33</v>
      </c>
      <c r="F280" s="22" t="s">
        <v>49</v>
      </c>
      <c r="G280" s="22" t="s">
        <v>349</v>
      </c>
      <c r="H280" s="22" t="s">
        <v>54</v>
      </c>
    </row>
    <row r="281" spans="1:8">
      <c r="A281" s="23" t="s">
        <v>350</v>
      </c>
      <c r="B281" s="35">
        <f>IFERROR(ETUDE!B39,"")</f>
        <v>0</v>
      </c>
      <c r="C281" s="35">
        <f>IFERROR(ETUDE!B40,"")</f>
        <v>0</v>
      </c>
      <c r="D281" s="35">
        <f>IFERROR(ETUDE!B41,"")</f>
        <v>0</v>
      </c>
      <c r="E281" s="35">
        <f>IFERROR(ETUDE!B42,"")</f>
        <v>0</v>
      </c>
      <c r="F281" s="35">
        <f>IFERROR(ETUDE!B43,"")</f>
        <v>0</v>
      </c>
      <c r="G281" s="25">
        <f>IFERROR(ETUDE!B167*100,"N/A")</f>
        <v>0</v>
      </c>
      <c r="H281" s="28">
        <f>IFERROR(IF(NOT(ISNUMBER(ETUDE!B167)),"Pas de dividende",IF(ETUDE!B167&gt;=0.10,"Dividende CROISSANT fort (&gt;10%/an)",IF(ETUDE!B167&gt;=0.02,"Dividende croissant (2-10%/an)",IF(ETUDE!B167&gt;=0,"Dividende stable / faible croissance","DIVIDENDE EN BAISSE — signal negatif pour le marche")))),"N/A")</f>
        <v>0</v>
      </c>
    </row>
    <row r="282" spans="1:8" ht="5" customHeight="1"/>
    <row r="283" spans="1:8" ht="20" customHeight="1">
      <c r="A283" s="21" t="s">
        <v>351</v>
      </c>
      <c r="B283" s="21"/>
      <c r="C283" s="21"/>
      <c r="D283" s="21"/>
      <c r="E283" s="21"/>
      <c r="F283" s="21"/>
      <c r="G283" s="21"/>
      <c r="H283" s="21"/>
    </row>
    <row r="284" spans="1:8">
      <c r="A284" s="22" t="s">
        <v>352</v>
      </c>
      <c r="B284" s="22" t="s">
        <v>228</v>
      </c>
      <c r="C284" s="22"/>
      <c r="D284" s="22" t="s">
        <v>45</v>
      </c>
      <c r="E284" s="22"/>
      <c r="F284" s="22"/>
      <c r="G284" s="22"/>
      <c r="H284" s="22"/>
    </row>
    <row r="285" spans="1:8">
      <c r="A285" s="23" t="s">
        <v>353</v>
      </c>
      <c r="B285" s="78">
        <f>IFERROR(IF(NOT(ISNUMBER(ETUDE!B167)),0,IF(ETUDE!B167&gt;=0.10,3,IF(ETUDE!B167&gt;=0.02,2,IF(ETUDE!B167&gt;=0,1,0)))),0)</f>
        <v>0</v>
      </c>
      <c r="D285" s="79" t="s">
        <v>354</v>
      </c>
      <c r="E285" s="79"/>
      <c r="F285" s="79"/>
      <c r="G285" s="79"/>
      <c r="H285" s="79"/>
    </row>
    <row r="286" spans="1:8" ht="28" customHeight="1">
      <c r="A286" s="23" t="s">
        <v>355</v>
      </c>
      <c r="B286" s="78">
        <f>IFERROR(IF(OR(NOT(ISNUMBER(PROFIL!B48)),NOT(ISNUMBER(PROFIL!B49))),0,IF((PROFIL!B49-PROFIL!B48)/PROFIL!B48*100&gt;=5,3,IF((PROFIL!B49-PROFIL!B48)/PROFIL!B48*100&gt;=0,2,IF((PROFIL!B49-PROFIL!B48)/PROFIL!B48*100&gt;=-5,1,0)))),0)</f>
        <v>0</v>
      </c>
      <c r="D286" s="79" t="s">
        <v>356</v>
      </c>
      <c r="E286" s="79"/>
      <c r="F286" s="79"/>
      <c r="G286" s="79"/>
      <c r="H286" s="79"/>
    </row>
    <row r="287" spans="1:8" ht="5" customHeight="1"/>
  </sheetData>
  <sheetProtection sheet="1" objects="1" scenarios="1" formatColumns="0" formatRows="0"/>
  <mergeCells count="64">
    <mergeCell ref="A1:H1"/>
    <mergeCell ref="A2:H2"/>
    <mergeCell ref="A4:H4"/>
    <mergeCell ref="A6:H6"/>
    <mergeCell ref="A10:H10"/>
    <mergeCell ref="A14:H14"/>
    <mergeCell ref="A22:H22"/>
    <mergeCell ref="C24:G24"/>
    <mergeCell ref="C25:G25"/>
    <mergeCell ref="C26:G26"/>
    <mergeCell ref="C27:G27"/>
    <mergeCell ref="C28:G28"/>
    <mergeCell ref="A36:H36"/>
    <mergeCell ref="A38:F38"/>
    <mergeCell ref="A45:H45"/>
    <mergeCell ref="A54:H54"/>
    <mergeCell ref="A61:H61"/>
    <mergeCell ref="A77:H77"/>
    <mergeCell ref="A78:H80"/>
    <mergeCell ref="A81:H81"/>
    <mergeCell ref="A84:H84"/>
    <mergeCell ref="A93:H93"/>
    <mergeCell ref="A98:H98"/>
    <mergeCell ref="A106:H106"/>
    <mergeCell ref="A107:H107"/>
    <mergeCell ref="A118:H118"/>
    <mergeCell ref="A119:H119"/>
    <mergeCell ref="A128:H128"/>
    <mergeCell ref="A137:H137"/>
    <mergeCell ref="A138:H140"/>
    <mergeCell ref="A141:H141"/>
    <mergeCell ref="A144:H144"/>
    <mergeCell ref="A145:H145"/>
    <mergeCell ref="A156:H156"/>
    <mergeCell ref="C158:G158"/>
    <mergeCell ref="C159:G159"/>
    <mergeCell ref="A164:H164"/>
    <mergeCell ref="A170:H170"/>
    <mergeCell ref="A179:D179"/>
    <mergeCell ref="E179:H179"/>
    <mergeCell ref="A182:H182"/>
    <mergeCell ref="A184:H184"/>
    <mergeCell ref="A191:H191"/>
    <mergeCell ref="A198:H198"/>
    <mergeCell ref="A206:H206"/>
    <mergeCell ref="A208:H208"/>
    <mergeCell ref="A216:H216"/>
    <mergeCell ref="A223:H223"/>
    <mergeCell ref="A231:H231"/>
    <mergeCell ref="A233:H233"/>
    <mergeCell ref="A240:H240"/>
    <mergeCell ref="A249:H249"/>
    <mergeCell ref="A251:H251"/>
    <mergeCell ref="A252:H252"/>
    <mergeCell ref="A259:H259"/>
    <mergeCell ref="A265:H265"/>
    <mergeCell ref="B269:D269"/>
    <mergeCell ref="A272:H272"/>
    <mergeCell ref="A273:H273"/>
    <mergeCell ref="D275:E275"/>
    <mergeCell ref="A279:H279"/>
    <mergeCell ref="A283:H283"/>
    <mergeCell ref="D285:H285"/>
    <mergeCell ref="D286:H286"/>
  </mergeCells>
  <conditionalFormatting sqref="B172:B177">
    <cfRule type="containsText" dxfId="0" priority="14" operator="containsText" text="OUI">
      <formula>NOT(ISERROR(SEARCH("OUI",B172)))</formula>
    </cfRule>
    <cfRule type="containsText" dxfId="1" priority="15" operator="containsText" text="NON">
      <formula>NOT(ISERROR(SEARCH("NON",B172)))</formula>
    </cfRule>
  </conditionalFormatting>
  <conditionalFormatting sqref="D30:D34">
    <cfRule type="containsText" dxfId="0" priority="1" operator="containsText" text="Sous-evalue">
      <formula>NOT(ISERROR(SEARCH("Sous-evalue",D30)))</formula>
    </cfRule>
    <cfRule type="containsText" dxfId="0" priority="2" operator="containsText" text="sous-evaluee">
      <formula>NOT(ISERROR(SEARCH("sous-evaluee",D30)))</formula>
    </cfRule>
    <cfRule type="containsText" dxfId="0" priority="3" operator="containsText" text="Decote">
      <formula>NOT(ISERROR(SEARCH("Decote",D30)))</formula>
    </cfRule>
    <cfRule type="containsText" dxfId="0" priority="4" operator="containsText" text="Excellent">
      <formula>NOT(ISERROR(SEARCH("Excellent",D30)))</formula>
    </cfRule>
    <cfRule type="containsText" dxfId="0" priority="5" operator="containsText" text="Bon">
      <formula>NOT(ISERROR(SEARCH("Bon",D30)))</formula>
    </cfRule>
    <cfRule type="containsText" dxfId="0" priority="6" operator="containsText" text="SURVENTE">
      <formula>NOT(ISERROR(SEARCH("SURVENTE",D30)))</formula>
    </cfRule>
    <cfRule type="containsText" dxfId="1" priority="7" operator="containsText" text="Surevalue">
      <formula>NOT(ISERROR(SEARCH("Surevalue",D30)))</formula>
    </cfRule>
    <cfRule type="containsText" dxfId="1" priority="8" operator="containsText" text="surevaluee">
      <formula>NOT(ISERROR(SEARCH("surevaluee",D30)))</formula>
    </cfRule>
    <cfRule type="containsText" dxfId="1" priority="9" operator="containsText" text="Prime">
      <formula>NOT(ISERROR(SEARCH("Prime",D30)))</formula>
    </cfRule>
    <cfRule type="containsText" dxfId="1" priority="10" operator="containsText" text="Faible">
      <formula>NOT(ISERROR(SEARCH("Faible",D30)))</formula>
    </cfRule>
    <cfRule type="containsText" dxfId="1" priority="11" operator="containsText" text="SURACHAT">
      <formula>NOT(ISERROR(SEARCH("SURACHAT",D30)))</formula>
    </cfRule>
    <cfRule type="containsText" dxfId="2" priority="12" operator="containsText" text="Normal">
      <formula>NOT(ISERROR(SEARCH("Normal",D30)))</formula>
    </cfRule>
    <cfRule type="containsText" dxfId="2" priority="13" operator="containsText" text="Moyen">
      <formula>NOT(ISERROR(SEARCH("Moyen",D30)))</formula>
    </cfRule>
  </conditionalFormatting>
  <dataValidations count="1">
    <dataValidation type="list" allowBlank="1" showInputMessage="1" showErrorMessage="1" promptTitle="Matiere premiere" prompt="Choisir dans la liste. Pour 'Autre' : saisir moy. LT en col. E" sqref="A254:A256">
      <formula1>"Caoutchouc RSS3 (USD/kg),Huile de palme CPO (USD/t),Cacao (USD/t),Coton (USD/lb),Cafe Robusta (USD/t),Autre"</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E3A5F"/>
  </sheetPr>
  <dimension ref="A1:E42"/>
  <sheetViews>
    <sheetView workbookViewId="0">
      <pane ySplit="1" topLeftCell="A2" activePane="bottomLeft" state="frozen"/>
      <selection pane="bottomLeft"/>
    </sheetView>
  </sheetViews>
  <sheetFormatPr defaultRowHeight="15"/>
  <cols>
    <col min="1" max="1" width="30.7109375" customWidth="1"/>
    <col min="2" max="2" width="16.7109375" customWidth="1"/>
    <col min="3" max="3" width="20.7109375" customWidth="1"/>
    <col min="4" max="4" width="16.7109375" customWidth="1"/>
    <col min="5" max="5" width="20.7109375" customWidth="1"/>
  </cols>
  <sheetData>
    <row r="1" spans="1:5" ht="22" customHeight="1">
      <c r="A1" s="19" t="s">
        <v>357</v>
      </c>
      <c r="B1" s="19"/>
      <c r="C1" s="19"/>
      <c r="D1" s="19"/>
      <c r="E1" s="19"/>
    </row>
    <row r="2" spans="1:5" ht="16" customHeight="1">
      <c r="A2" s="20">
        <f>IF(PROFIL!B3="","Completer le PROFIL",PROFIL!B3&amp;"  ("&amp;PROFIL!B4&amp;")  |  "&amp;PROFIL!B5&amp;"  |  Prix : "&amp;ETUDE!B24&amp;" FCFA  |  Date : "&amp;IF(ISNUMBER(PROFIL!B6),TEXT(PROFIL!B6,"dd/mm/yyyy"),PROFIL!B6))</f>
        <v>0</v>
      </c>
      <c r="B2" s="20"/>
      <c r="C2" s="20"/>
      <c r="D2" s="20"/>
      <c r="E2" s="20"/>
    </row>
    <row r="3" spans="1:5" ht="5" customHeight="1"/>
    <row r="4" spans="1:5" ht="18" customHeight="1">
      <c r="A4" s="80" t="s">
        <v>358</v>
      </c>
      <c r="B4" s="80"/>
      <c r="C4" s="80"/>
      <c r="D4" s="80"/>
      <c r="E4" s="80"/>
    </row>
    <row r="5" spans="1:5">
      <c r="A5" s="22" t="s">
        <v>234</v>
      </c>
      <c r="B5" s="22" t="s">
        <v>359</v>
      </c>
      <c r="C5" s="22" t="s">
        <v>360</v>
      </c>
      <c r="D5" s="22" t="s">
        <v>361</v>
      </c>
      <c r="E5" s="22" t="s">
        <v>362</v>
      </c>
    </row>
    <row r="6" spans="1:5">
      <c r="A6" s="23" t="s">
        <v>363</v>
      </c>
      <c r="B6" s="81">
        <f>IFERROR(ETUDE!G8,"")</f>
        <v>0</v>
      </c>
      <c r="C6" s="29" t="s">
        <v>364</v>
      </c>
      <c r="D6" s="82">
        <f>IFERROR(IF(ETUDE!G8&gt;=10,"Bon (&gt;=10%)",IF(ETUDE!G8&gt;=0,"Faible (&lt;10%)","Negatif")),"-")</f>
        <v>0</v>
      </c>
      <c r="E6" s="78">
        <f>IFERROR(IF(ETUDE!G8&gt;=15,3,IF(ETUDE!G8&gt;=5,2,IF(ETUDE!G8&gt;=0,1,0))),0)</f>
        <v>0</v>
      </c>
    </row>
    <row r="7" spans="1:5">
      <c r="A7" s="23" t="s">
        <v>365</v>
      </c>
      <c r="B7" s="81">
        <f>IFERROR(ETUDE!G12,"")</f>
        <v>0</v>
      </c>
      <c r="C7" s="29" t="s">
        <v>364</v>
      </c>
      <c r="D7" s="82">
        <f>IFERROR(IF(ETUDE!G12&gt;=10,"Bon (&gt;=10%)",IF(ETUDE!G12&gt;=0,"Faible (&lt;10%)","Negatif")),"-")</f>
        <v>0</v>
      </c>
      <c r="E7" s="78">
        <f>IFERROR(IF(ETUDE!G12&gt;=15,3,IF(ETUDE!G12&gt;=5,2,IF(ETUDE!G12&gt;=0,1,0))),0)</f>
        <v>0</v>
      </c>
    </row>
    <row r="8" spans="1:5">
      <c r="A8" s="23" t="s">
        <v>366</v>
      </c>
      <c r="B8" s="81">
        <f>IFERROR(ETUDE!G16,"")</f>
        <v>0</v>
      </c>
      <c r="C8" s="29" t="s">
        <v>367</v>
      </c>
      <c r="D8" s="82">
        <f>IFERROR(IF(ETUDE!G16&gt;=10,"Tres rentable",IF(ETUDE!G16&gt;=5,"Rentable",IF(ETUDE!G16&gt;=2,"Faiblement rentable","Faible"))),"-")</f>
        <v>0</v>
      </c>
      <c r="E8" s="78">
        <f>IFERROR(IF(ETUDE!G16&gt;=10,3,IF(ETUDE!G16&gt;=5,2,IF(ETUDE!G16&gt;=2,1,0))),0)</f>
        <v>0</v>
      </c>
    </row>
    <row r="9" spans="1:5">
      <c r="A9" s="23" t="s">
        <v>4</v>
      </c>
      <c r="B9" s="81">
        <f>IFERROR(ETUDE!B30,"")</f>
        <v>0</v>
      </c>
      <c r="C9" s="29" t="s">
        <v>368</v>
      </c>
      <c r="D9" s="82">
        <f>IFERROR(ETUDE!D30,"-")</f>
        <v>0</v>
      </c>
      <c r="E9" s="78">
        <f>IFERROR(IF(ETUDE!B30&lt;9,3,IF(ETUDE!B30&lt;=15,2,IF(ETUDE!B30&lt;=20,1,0))),0)</f>
        <v>0</v>
      </c>
    </row>
    <row r="10" spans="1:5">
      <c r="A10" s="23" t="s">
        <v>5</v>
      </c>
      <c r="B10" s="81">
        <f>IFERROR(ETUDE!B32,"")</f>
        <v>0</v>
      </c>
      <c r="C10" s="29" t="s">
        <v>369</v>
      </c>
      <c r="D10" s="82">
        <f>IFERROR(ETUDE!D32,"-")</f>
        <v>0</v>
      </c>
      <c r="E10" s="78">
        <f>IFERROR(IF(ETUDE!B32&lt;1,3,IF(ETUDE!B32&lt;2,1,0)),0)</f>
        <v>0</v>
      </c>
    </row>
    <row r="11" spans="1:5">
      <c r="A11" s="23" t="s">
        <v>6</v>
      </c>
      <c r="B11" s="81">
        <f>IFERROR(ETUDE!B33,"")</f>
        <v>0</v>
      </c>
      <c r="C11" s="29" t="s">
        <v>364</v>
      </c>
      <c r="D11" s="82">
        <f>IFERROR(ETUDE!D33,"-")</f>
        <v>0</v>
      </c>
      <c r="E11" s="78">
        <f>IFERROR(IF(ETUDE!B33&gt;=15,3,IF(ETUDE!B33&gt;=10,2,IF(ETUDE!B33&gt;=5,1,0))),0)</f>
        <v>0</v>
      </c>
    </row>
    <row r="12" spans="1:5">
      <c r="A12" s="23" t="s">
        <v>370</v>
      </c>
      <c r="B12" s="81">
        <f>IFERROR(AVERAGE(ETUDE!E39:ETUDE!E43),"")</f>
        <v>0</v>
      </c>
      <c r="C12" s="29" t="s">
        <v>371</v>
      </c>
      <c r="D12" s="82">
        <f>IFERROR(IF(AVERAGE(ETUDE!E39:ETUDE!E43)&gt;=3,"Bon (&gt;=3%)","Faible (&lt;3%)"),"-")</f>
        <v>0</v>
      </c>
      <c r="E12" s="78">
        <f>IFERROR(IF(AVERAGE(ETUDE!E39:ETUDE!E43)&gt;=6,3,IF(AVERAGE(ETUDE!E39:ETUDE!E43)&gt;=3,2,IF(AVERAGE(ETUDE!E39:ETUDE!E43)&gt;=1,1,0))),0)</f>
        <v>0</v>
      </c>
    </row>
    <row r="13" spans="1:5">
      <c r="A13" s="23" t="s">
        <v>372</v>
      </c>
      <c r="B13" s="81">
        <f>IFERROR(ETUDE!B34,"")</f>
        <v>0</v>
      </c>
      <c r="C13" s="29" t="s">
        <v>373</v>
      </c>
      <c r="D13" s="82">
        <f>IFERROR(ETUDE!D34,"-")</f>
        <v>0</v>
      </c>
      <c r="E13" s="78">
        <f>IFERROR(IF(ETUDE!B34&lt;10,3,IF(ETUDE!B34&lt;22,2,IF(ETUDE!B34&lt;30,1,0))),0)</f>
        <v>0</v>
      </c>
    </row>
    <row r="14" spans="1:5">
      <c r="A14" s="23" t="s">
        <v>374</v>
      </c>
      <c r="B14" s="81">
        <f>IFERROR(IF(ISNUMBER(ETUDE!B167),ETUDE!B167*100,"N/A"),"N/A")</f>
        <v>0</v>
      </c>
      <c r="C14" s="29" t="s">
        <v>375</v>
      </c>
      <c r="D14" s="82">
        <f>IFERROR(IF(NOT(ISNUMBER(ETUDE!B167)),"Pas de dividende",IF(ETUDE!B167&gt;=0.10,"Croissant fort (&gt;10%/an)",IF(ETUDE!B167&gt;=0.02,"Croissant (2-10%/an)",IF(ETUDE!B167&gt;=0,"Stable","Dividende en BAISSE")))),"-")</f>
        <v>0</v>
      </c>
      <c r="E14" s="78">
        <f>IFERROR(IF(NOT(ISNUMBER(ETUDE!B167)),0,IF(ETUDE!B167&gt;=0.10,3,IF(ETUDE!B167&gt;=0.02,2,IF(ETUDE!B167&gt;=0,1,0)))),0)</f>
        <v>0</v>
      </c>
    </row>
    <row r="15" spans="1:5">
      <c r="A15" s="23" t="s">
        <v>376</v>
      </c>
      <c r="B15" s="81">
        <f>IFERROR(IF(AND(ISNUMBER(PROFIL!B48),ISNUMBER(PROFIL!B49),PROFIL!B48&gt;0),(PROFIL!B49-PROFIL!B48)/PROFIL!B48*100,"Non renseigne"),"Non renseigne")</f>
        <v>0</v>
      </c>
      <c r="C15" s="29" t="s">
        <v>375</v>
      </c>
      <c r="D15" s="82">
        <f>IFERROR(IF(OR(NOT(ISNUMBER(PROFIL!B48)),NOT(ISNUMBER(PROFIL!B49))),"Non renseigne — saisir dans PROFIL",IF((PROFIL!B49-PROFIL!B48)/PROFIL!B48*100&gt;=5,"Accueil tres favorable — marche recompense",IF((PROFIL!B49-PROFIL!B48)/PROFIL!B48*100&gt;=0,"Accueil positif",IF((PROFIL!B49-PROFIL!B48)/PROFIL!B48*100&gt;=-5,"Reaction mitigee","Punition marche — forte baisse")))),"-")</f>
        <v>0</v>
      </c>
      <c r="E15" s="78">
        <f>IFERROR(IF(OR(NOT(ISNUMBER(PROFIL!B48)),NOT(ISNUMBER(PROFIL!B49))),0,IF((PROFIL!B49-PROFIL!B48)/PROFIL!B48*100&gt;=5,3,IF((PROFIL!B49-PROFIL!B48)/PROFIL!B48*100&gt;=0,2,IF((PROFIL!B49-PROFIL!B48)/PROFIL!B48*100&gt;=-5,1,0)))),0)</f>
        <v>0</v>
      </c>
    </row>
    <row r="16" spans="1:5">
      <c r="A16" s="38" t="s">
        <v>377</v>
      </c>
      <c r="B16" s="83"/>
      <c r="C16" s="83"/>
      <c r="D16" s="83"/>
      <c r="E16" s="84">
        <f>SUM(E6:E15)</f>
        <v>0</v>
      </c>
    </row>
    <row r="17" spans="1:5" ht="5" customHeight="1"/>
    <row r="18" spans="1:5" ht="18" customHeight="1">
      <c r="A18" s="80" t="s">
        <v>378</v>
      </c>
      <c r="B18" s="80"/>
      <c r="C18" s="80"/>
      <c r="D18" s="80"/>
      <c r="E18" s="80"/>
    </row>
    <row r="19" spans="1:5">
      <c r="A19" s="22" t="s">
        <v>234</v>
      </c>
      <c r="B19" s="22" t="s">
        <v>127</v>
      </c>
      <c r="C19" s="22" t="s">
        <v>304</v>
      </c>
      <c r="D19" s="22" t="s">
        <v>45</v>
      </c>
      <c r="E19" s="22" t="s">
        <v>236</v>
      </c>
    </row>
    <row r="20" spans="1:5">
      <c r="A20" s="23" t="s">
        <v>379</v>
      </c>
      <c r="B20" s="85">
        <f>IFERROR(ETUDE!D91,"")</f>
        <v>0</v>
      </c>
      <c r="C20" s="29" t="s">
        <v>380</v>
      </c>
      <c r="D20" s="82">
        <f>IFERROR(ETUDE!E91,"-")</f>
        <v>0</v>
      </c>
      <c r="E20" s="78">
        <f>IFERROR(IF(ETUDE!D91&gt;=4,3,IF(ETUDE!D91&gt;=2,2,IF(ETUDE!D91&gt;=0,1,0))),0)</f>
        <v>0</v>
      </c>
    </row>
    <row r="21" spans="1:5">
      <c r="A21" s="23" t="s">
        <v>381</v>
      </c>
      <c r="B21" s="85">
        <f>IFERROR(ETUDE!E95,"")</f>
        <v>0</v>
      </c>
      <c r="C21" s="29" t="s">
        <v>382</v>
      </c>
      <c r="D21" s="82">
        <f>IFERROR(ETUDE!E96,"-")</f>
        <v>0</v>
      </c>
      <c r="E21" s="78">
        <f>IFERROR(IF(AND(ETUDE!B24&lt;ETUDE!D95,ETUDE!B24&lt;ETUDE!D96),3,IF(ETUDE!B24&lt;ETUDE!D95,2,IF(ETUDE!B24&lt;ETUDE!D96,1,0))),0)</f>
        <v>0</v>
      </c>
    </row>
    <row r="22" spans="1:5">
      <c r="A22" s="23" t="s">
        <v>383</v>
      </c>
      <c r="B22" s="85">
        <f>IFERROR(ETUDE!B104,"")</f>
        <v>0</v>
      </c>
      <c r="C22" s="29" t="s">
        <v>384</v>
      </c>
      <c r="D22" s="82">
        <f>IFERROR(ETUDE!D104,"-")</f>
        <v>0</v>
      </c>
      <c r="E22" s="78">
        <f>IFERROR(IF(ETUDE!B104&lt;9,3,IF(ETUDE!B104&lt;=15,2,IF(ETUDE!B104&lt;=20,1,0))),0)</f>
        <v>0</v>
      </c>
    </row>
    <row r="23" spans="1:5">
      <c r="A23" s="23" t="s">
        <v>385</v>
      </c>
      <c r="B23" s="85">
        <f>IFERROR(ETUDE!B116,"")</f>
        <v>0</v>
      </c>
      <c r="C23" s="29" t="s">
        <v>386</v>
      </c>
      <c r="D23" s="82">
        <f>IFERROR(ETUDE!B125,"-")</f>
        <v>0</v>
      </c>
      <c r="E23" s="78">
        <f>IFERROR(IF(AND(ISNUMBER(SEARCH("DESSOUS",ETUDE!B116)),ISNUMBER(SEARCH("SOUS P0",ETUDE!B125))),3,IF(OR(ISNUMBER(SEARCH("DESSOUS",ETUDE!B116)),ISNUMBER(SEARCH("SOUS P0",ETUDE!B125))),2,IF(OR(ISNUMBER(SEARCH("ZONE CIBLE",ETUDE!B116)),ISNUMBER(SEARCH("zone P0",ETUDE!B125))),1,0))),0)</f>
        <v>0</v>
      </c>
    </row>
    <row r="24" spans="1:5">
      <c r="A24" s="23" t="s">
        <v>387</v>
      </c>
      <c r="B24" s="85">
        <f>IFERROR(ETUDE!B135,"")</f>
        <v>0</v>
      </c>
      <c r="C24" s="29" t="s">
        <v>388</v>
      </c>
      <c r="D24" s="82">
        <f>IFERROR(ETUDE!D135,"-")</f>
        <v>0</v>
      </c>
      <c r="E24" s="78">
        <f>IFERROR(IF(ETUDE!B135&gt;=3,3,IF(ETUDE!B135&gt;=2,2,IF(ETUDE!B135&gt;=1,1,0))),0)</f>
        <v>0</v>
      </c>
    </row>
    <row r="25" spans="1:5">
      <c r="A25" s="38" t="s">
        <v>389</v>
      </c>
      <c r="B25" s="83"/>
      <c r="C25" s="83"/>
      <c r="D25" s="83"/>
      <c r="E25" s="84">
        <f>SUM(E20:E24)</f>
        <v>0</v>
      </c>
    </row>
    <row r="26" spans="1:5" ht="5" customHeight="1"/>
    <row r="27" spans="1:5" ht="18" customHeight="1">
      <c r="A27" s="86" t="s">
        <v>390</v>
      </c>
      <c r="B27" s="86"/>
      <c r="C27" s="86"/>
      <c r="D27" s="86"/>
      <c r="E27" s="86"/>
    </row>
    <row r="28" spans="1:5">
      <c r="A28" s="22" t="s">
        <v>84</v>
      </c>
      <c r="B28" s="22" t="s">
        <v>236</v>
      </c>
      <c r="C28" s="22" t="s">
        <v>391</v>
      </c>
      <c r="D28" s="22" t="s">
        <v>392</v>
      </c>
      <c r="E28" s="22" t="s">
        <v>393</v>
      </c>
    </row>
    <row r="29" spans="1:5">
      <c r="A29" s="23" t="s">
        <v>9</v>
      </c>
      <c r="B29" s="87">
        <f>E16</f>
        <v>0</v>
      </c>
      <c r="C29" s="88">
        <v>30</v>
      </c>
      <c r="D29" s="89">
        <f>IFERROR(E16/30*100,"")</f>
        <v>0</v>
      </c>
      <c r="E29" s="90">
        <f>IFERROR(IF(E16/30&gt;=0.7,"Solide",IF(E16/30&gt;=0.5,"Moyen","Faible")),"-")</f>
        <v>0</v>
      </c>
    </row>
    <row r="30" spans="1:5">
      <c r="A30" s="23" t="s">
        <v>10</v>
      </c>
      <c r="B30" s="87">
        <f>E25</f>
        <v>0</v>
      </c>
      <c r="C30" s="88">
        <v>15</v>
      </c>
      <c r="D30" s="89">
        <f>IFERROR(E25/15*100,"")</f>
        <v>0</v>
      </c>
      <c r="E30" s="90">
        <f>IFERROR(IF(E25/15&gt;=0.7,"Solide",IF(E25/15&gt;=0.5,"Moyen","Faible")),"-")</f>
        <v>0</v>
      </c>
    </row>
    <row r="31" spans="1:5">
      <c r="A31" s="38" t="s">
        <v>394</v>
      </c>
      <c r="B31" s="91">
        <f>IFERROR(E16+E25,"")</f>
        <v>0</v>
      </c>
      <c r="C31" s="92">
        <v>45</v>
      </c>
      <c r="D31" s="89">
        <f>IFERROR(B31/45*100,"")</f>
        <v>0</v>
      </c>
      <c r="E31" s="93">
        <f>IFERROR(IF(B31/45&gt;=0.7,"ACHETER",IF(B31/45&gt;=0.5,"SURVEILLER","EVITER")),"-")</f>
        <v>0</v>
      </c>
    </row>
    <row r="32" spans="1:5" ht="5" customHeight="1"/>
    <row r="33" spans="1:5" ht="18" customHeight="1">
      <c r="A33" s="80" t="s">
        <v>395</v>
      </c>
      <c r="B33" s="80"/>
      <c r="C33" s="80"/>
      <c r="D33" s="80"/>
      <c r="E33" s="80"/>
    </row>
    <row r="34" spans="1:5">
      <c r="A34" s="22" t="s">
        <v>396</v>
      </c>
      <c r="B34" s="22" t="s">
        <v>15</v>
      </c>
      <c r="C34" s="22" t="s">
        <v>216</v>
      </c>
      <c r="D34" s="22" t="s">
        <v>397</v>
      </c>
      <c r="E34" s="22" t="s">
        <v>398</v>
      </c>
    </row>
    <row r="35" spans="1:5" ht="30" customHeight="1">
      <c r="A35" s="94">
        <f>IFERROR(ETUDE!D178,"")</f>
        <v>0</v>
      </c>
      <c r="B35" s="95">
        <f>IFERROR(ETUDE!E179,"-")</f>
        <v>0</v>
      </c>
      <c r="C35" s="96">
        <f>IFERROR(ETUDE!D153,"")</f>
        <v>0</v>
      </c>
      <c r="D35" s="96">
        <f>IFERROR(ETUDE!D161,"")</f>
        <v>0</v>
      </c>
      <c r="E35" s="97">
        <f>IFERROR(IF(ETUDE!B24&lt;ETUDE!B31,"Prix &lt; VMC","Prix &gt; VMC"),"-")</f>
        <v>0</v>
      </c>
    </row>
    <row r="36" spans="1:5" ht="5" customHeight="1"/>
    <row r="37" spans="1:5" ht="18" customHeight="1">
      <c r="A37" s="80" t="s">
        <v>399</v>
      </c>
      <c r="B37" s="80"/>
      <c r="C37" s="80"/>
      <c r="D37" s="80"/>
      <c r="E37" s="80"/>
    </row>
    <row r="38" spans="1:5" ht="50" customHeight="1">
      <c r="A38" s="46"/>
      <c r="B38" s="46"/>
      <c r="C38" s="46"/>
      <c r="D38" s="46"/>
      <c r="E38" s="46"/>
    </row>
    <row r="39" spans="1:5">
      <c r="A39" s="46"/>
      <c r="B39" s="46"/>
      <c r="C39" s="46"/>
      <c r="D39" s="46"/>
      <c r="E39" s="46"/>
    </row>
    <row r="40" spans="1:5">
      <c r="A40" s="46"/>
      <c r="B40" s="46"/>
      <c r="C40" s="46"/>
      <c r="D40" s="46"/>
      <c r="E40" s="46"/>
    </row>
    <row r="41" spans="1:5">
      <c r="A41" s="46"/>
      <c r="B41" s="46"/>
      <c r="C41" s="46"/>
      <c r="D41" s="46"/>
      <c r="E41" s="46"/>
    </row>
    <row r="42" spans="1:5">
      <c r="A42" s="46"/>
      <c r="B42" s="46"/>
      <c r="C42" s="46"/>
      <c r="D42" s="46"/>
      <c r="E42" s="46"/>
    </row>
  </sheetData>
  <sheetProtection sheet="1" objects="1" scenarios="1" formatColumns="0" formatRows="0"/>
  <mergeCells count="8">
    <mergeCell ref="A1:E1"/>
    <mergeCell ref="A2:E2"/>
    <mergeCell ref="A4:E4"/>
    <mergeCell ref="A18:E18"/>
    <mergeCell ref="A27:E27"/>
    <mergeCell ref="A33:E33"/>
    <mergeCell ref="A37:E37"/>
    <mergeCell ref="A38:E42"/>
  </mergeCells>
  <conditionalFormatting sqref="D20:D24">
    <cfRule type="containsText" dxfId="3" priority="2" operator="containsText" text="Bon">
      <formula>NOT(ISERROR(SEARCH("Bon",D20)))</formula>
    </cfRule>
    <cfRule type="containsText" dxfId="3" priority="4" operator="containsText" text="rentable">
      <formula>NOT(ISERROR(SEARCH("rentable",D20)))</formula>
    </cfRule>
    <cfRule type="containsText" dxfId="3" priority="6" operator="containsText" text="Sous-evalue">
      <formula>NOT(ISERROR(SEARCH("Sous-evalue",D20)))</formula>
    </cfRule>
    <cfRule type="containsText" dxfId="3" priority="8" operator="containsText" text="Decote">
      <formula>NOT(ISERROR(SEARCH("Decote",D20)))</formula>
    </cfRule>
    <cfRule type="containsText" dxfId="3" priority="10" operator="containsText" text="Opportunite">
      <formula>NOT(ISERROR(SEARCH("Opportunite",D20)))</formula>
    </cfRule>
    <cfRule type="containsText" dxfId="3" priority="12" operator="containsText" text="SURVENTE">
      <formula>NOT(ISERROR(SEARCH("SURVENTE",D20)))</formula>
    </cfRule>
    <cfRule type="containsText" dxfId="3" priority="14" operator="containsText" text="ACHETER">
      <formula>NOT(ISERROR(SEARCH("ACHETER",D20)))</formula>
    </cfRule>
    <cfRule type="containsText" dxfId="4" priority="16" operator="containsText" text="Surevalue">
      <formula>NOT(ISERROR(SEARCH("Surevalue",D20)))</formula>
    </cfRule>
    <cfRule type="containsText" dxfId="4" priority="18" operator="containsText" text="SURACHAT">
      <formula>NOT(ISERROR(SEARCH("SURACHAT",D20)))</formula>
    </cfRule>
    <cfRule type="containsText" dxfId="4" priority="20" operator="containsText" text="Prime">
      <formula>NOT(ISERROR(SEARCH("Prime",D20)))</formula>
    </cfRule>
    <cfRule type="containsText" dxfId="4" priority="22" operator="containsText" text="Negatif">
      <formula>NOT(ISERROR(SEARCH("Negatif",D20)))</formula>
    </cfRule>
    <cfRule type="containsText" dxfId="5" priority="24" operator="containsText" text="Normal">
      <formula>NOT(ISERROR(SEARCH("Normal",D20)))</formula>
    </cfRule>
    <cfRule type="containsText" dxfId="5" priority="26" operator="containsText" text="Faible">
      <formula>NOT(ISERROR(SEARCH("Faible",D20)))</formula>
    </cfRule>
    <cfRule type="containsText" dxfId="5" priority="28" operator="containsText" text="Moyen">
      <formula>NOT(ISERROR(SEARCH("Moyen",D20)))</formula>
    </cfRule>
    <cfRule type="containsText" dxfId="5" priority="30" operator="containsText" text="NEUTRE">
      <formula>NOT(ISERROR(SEARCH("NEUTRE",D20)))</formula>
    </cfRule>
  </conditionalFormatting>
  <conditionalFormatting sqref="D6:D15">
    <cfRule type="containsText" dxfId="3" priority="1" operator="containsText" text="Bon">
      <formula>NOT(ISERROR(SEARCH("Bon",D6)))</formula>
    </cfRule>
    <cfRule type="containsText" dxfId="3" priority="3" operator="containsText" text="rentable">
      <formula>NOT(ISERROR(SEARCH("rentable",D6)))</formula>
    </cfRule>
    <cfRule type="containsText" dxfId="3" priority="5" operator="containsText" text="Sous-evalue">
      <formula>NOT(ISERROR(SEARCH("Sous-evalue",D6)))</formula>
    </cfRule>
    <cfRule type="containsText" dxfId="3" priority="7" operator="containsText" text="Decote">
      <formula>NOT(ISERROR(SEARCH("Decote",D6)))</formula>
    </cfRule>
    <cfRule type="containsText" dxfId="3" priority="9" operator="containsText" text="Opportunite">
      <formula>NOT(ISERROR(SEARCH("Opportunite",D6)))</formula>
    </cfRule>
    <cfRule type="containsText" dxfId="3" priority="11" operator="containsText" text="SURVENTE">
      <formula>NOT(ISERROR(SEARCH("SURVENTE",D6)))</formula>
    </cfRule>
    <cfRule type="containsText" dxfId="3" priority="13" operator="containsText" text="ACHETER">
      <formula>NOT(ISERROR(SEARCH("ACHETER",D6)))</formula>
    </cfRule>
    <cfRule type="containsText" dxfId="4" priority="15" operator="containsText" text="Surevalue">
      <formula>NOT(ISERROR(SEARCH("Surevalue",D6)))</formula>
    </cfRule>
    <cfRule type="containsText" dxfId="4" priority="17" operator="containsText" text="SURACHAT">
      <formula>NOT(ISERROR(SEARCH("SURACHAT",D6)))</formula>
    </cfRule>
    <cfRule type="containsText" dxfId="4" priority="19" operator="containsText" text="Prime">
      <formula>NOT(ISERROR(SEARCH("Prime",D6)))</formula>
    </cfRule>
    <cfRule type="containsText" dxfId="4" priority="21" operator="containsText" text="Negatif">
      <formula>NOT(ISERROR(SEARCH("Negatif",D6)))</formula>
    </cfRule>
    <cfRule type="containsText" dxfId="5" priority="23" operator="containsText" text="Normal">
      <formula>NOT(ISERROR(SEARCH("Normal",D6)))</formula>
    </cfRule>
    <cfRule type="containsText" dxfId="5" priority="25" operator="containsText" text="Faible">
      <formula>NOT(ISERROR(SEARCH("Faible",D6)))</formula>
    </cfRule>
    <cfRule type="containsText" dxfId="5" priority="27" operator="containsText" text="Moyen">
      <formula>NOT(ISERROR(SEARCH("Moyen",D6)))</formula>
    </cfRule>
    <cfRule type="containsText" dxfId="5" priority="29" operator="containsText" text="NEUTRE">
      <formula>NOT(ISERROR(SEARCH("NEUTRE",D6)))</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6B7280"/>
  </sheetPr>
  <dimension ref="A1:D50"/>
  <sheetViews>
    <sheetView workbookViewId="0">
      <pane ySplit="1" topLeftCell="A2" activePane="bottomLeft" state="frozen"/>
      <selection pane="bottomLeft"/>
    </sheetView>
  </sheetViews>
  <sheetFormatPr defaultRowHeight="15"/>
  <cols>
    <col min="1" max="1" width="32.7109375" customWidth="1"/>
    <col min="2" max="2" width="28.7109375" customWidth="1"/>
    <col min="3" max="3" width="32.7109375" customWidth="1"/>
    <col min="4" max="4" width="20.7109375" customWidth="1"/>
  </cols>
  <sheetData>
    <row r="1" spans="1:4" ht="22" customHeight="1">
      <c r="A1" s="19" t="s">
        <v>400</v>
      </c>
      <c r="B1" s="19"/>
      <c r="C1" s="19"/>
      <c r="D1" s="19"/>
    </row>
    <row r="2" spans="1:4" ht="20" customHeight="1">
      <c r="A2" s="21" t="s">
        <v>401</v>
      </c>
      <c r="B2" s="21"/>
      <c r="C2" s="21"/>
      <c r="D2" s="21"/>
    </row>
    <row r="3" spans="1:4" ht="22" customHeight="1">
      <c r="A3" s="98" t="s">
        <v>402</v>
      </c>
      <c r="B3" s="99"/>
      <c r="C3" s="99"/>
      <c r="D3" s="75" t="s">
        <v>403</v>
      </c>
    </row>
    <row r="4" spans="1:4" ht="22" customHeight="1">
      <c r="A4" s="98" t="s">
        <v>404</v>
      </c>
      <c r="B4" s="99"/>
      <c r="C4" s="99"/>
      <c r="D4" s="75" t="s">
        <v>405</v>
      </c>
    </row>
    <row r="5" spans="1:4" ht="22" customHeight="1">
      <c r="A5" s="98" t="s">
        <v>406</v>
      </c>
      <c r="B5" s="99"/>
      <c r="C5" s="99"/>
      <c r="D5" s="75" t="s">
        <v>407</v>
      </c>
    </row>
    <row r="6" spans="1:4" ht="22" customHeight="1">
      <c r="A6" s="98" t="s">
        <v>408</v>
      </c>
      <c r="B6" s="100"/>
      <c r="C6" s="100"/>
      <c r="D6" s="75" t="s">
        <v>409</v>
      </c>
    </row>
    <row r="7" spans="1:4" ht="8" customHeight="1"/>
    <row r="8" spans="1:4" ht="20" customHeight="1">
      <c r="A8" s="21" t="s">
        <v>410</v>
      </c>
      <c r="B8" s="21"/>
      <c r="C8" s="21"/>
      <c r="D8" s="21"/>
    </row>
    <row r="9" spans="1:4">
      <c r="A9" s="23" t="s">
        <v>411</v>
      </c>
      <c r="B9" s="63">
        <f>B3</f>
        <v>0</v>
      </c>
      <c r="C9" s="32" t="s">
        <v>412</v>
      </c>
      <c r="D9" s="30"/>
    </row>
    <row r="10" spans="1:4">
      <c r="A10" s="23" t="s">
        <v>404</v>
      </c>
      <c r="B10" s="63">
        <f>B4</f>
        <v>0</v>
      </c>
      <c r="C10" s="32" t="s">
        <v>412</v>
      </c>
      <c r="D10" s="30"/>
    </row>
    <row r="11" spans="1:4">
      <c r="A11" s="23" t="s">
        <v>413</v>
      </c>
      <c r="B11" s="63">
        <f>B5</f>
        <v>0</v>
      </c>
      <c r="C11" s="32" t="s">
        <v>412</v>
      </c>
      <c r="D11" s="30"/>
    </row>
    <row r="12" spans="1:4">
      <c r="A12" s="23" t="s">
        <v>414</v>
      </c>
      <c r="B12" s="70"/>
      <c r="C12" s="30"/>
      <c r="D12" s="30"/>
    </row>
    <row r="13" spans="1:4">
      <c r="A13" s="23" t="s">
        <v>415</v>
      </c>
      <c r="B13" s="70"/>
      <c r="C13" s="30"/>
      <c r="D13" s="30"/>
    </row>
    <row r="14" spans="1:4" ht="5" customHeight="1"/>
    <row r="15" spans="1:4" ht="20" customHeight="1">
      <c r="A15" s="21" t="s">
        <v>416</v>
      </c>
      <c r="B15" s="21"/>
      <c r="C15" s="21"/>
      <c r="D15" s="21"/>
    </row>
    <row r="16" spans="1:4">
      <c r="A16" s="23" t="s">
        <v>250</v>
      </c>
      <c r="B16" s="70"/>
      <c r="C16" s="30"/>
      <c r="D16" s="30"/>
    </row>
    <row r="17" spans="1:4">
      <c r="A17" s="23" t="s">
        <v>417</v>
      </c>
      <c r="B17" s="70"/>
      <c r="C17" s="30"/>
      <c r="D17" s="30"/>
    </row>
    <row r="18" spans="1:4">
      <c r="A18" s="23" t="s">
        <v>251</v>
      </c>
      <c r="B18" s="70"/>
      <c r="C18" s="30"/>
      <c r="D18" s="30"/>
    </row>
    <row r="19" spans="1:4">
      <c r="A19" s="23" t="s">
        <v>252</v>
      </c>
      <c r="B19" s="70"/>
      <c r="C19" s="30"/>
      <c r="D19" s="30"/>
    </row>
    <row r="20" spans="1:4" ht="5" customHeight="1"/>
    <row r="21" spans="1:4" ht="20" customHeight="1">
      <c r="A21" s="21" t="s">
        <v>418</v>
      </c>
      <c r="B21" s="21"/>
      <c r="C21" s="21"/>
      <c r="D21" s="21"/>
    </row>
    <row r="22" spans="1:4">
      <c r="A22" s="23" t="s">
        <v>254</v>
      </c>
      <c r="B22" s="32" t="s">
        <v>419</v>
      </c>
      <c r="C22" s="30"/>
      <c r="D22" s="30"/>
    </row>
    <row r="23" spans="1:4">
      <c r="A23" s="23" t="s">
        <v>255</v>
      </c>
      <c r="B23" s="70"/>
      <c r="C23" s="30"/>
      <c r="D23" s="30"/>
    </row>
    <row r="24" spans="1:4">
      <c r="A24" s="23" t="s">
        <v>256</v>
      </c>
      <c r="B24" s="32" t="s">
        <v>420</v>
      </c>
      <c r="C24" s="30"/>
      <c r="D24" s="30"/>
    </row>
    <row r="25" spans="1:4">
      <c r="A25" s="23" t="s">
        <v>257</v>
      </c>
      <c r="B25" s="32" t="s">
        <v>421</v>
      </c>
      <c r="C25" s="30"/>
      <c r="D25" s="30"/>
    </row>
    <row r="26" spans="1:4" ht="5" customHeight="1"/>
    <row r="27" spans="1:4" ht="20" customHeight="1">
      <c r="A27" s="21" t="s">
        <v>422</v>
      </c>
      <c r="B27" s="21"/>
      <c r="C27" s="21"/>
      <c r="D27" s="21"/>
    </row>
    <row r="28" spans="1:4">
      <c r="A28" s="23" t="s">
        <v>100</v>
      </c>
      <c r="B28" s="70"/>
      <c r="C28" s="30"/>
      <c r="D28" s="30"/>
    </row>
    <row r="29" spans="1:4">
      <c r="A29" s="23" t="s">
        <v>259</v>
      </c>
      <c r="B29" s="70"/>
      <c r="C29" s="30"/>
      <c r="D29" s="30"/>
    </row>
    <row r="30" spans="1:4">
      <c r="A30" s="23" t="s">
        <v>260</v>
      </c>
      <c r="B30" s="70"/>
      <c r="C30" s="30"/>
      <c r="D30" s="30"/>
    </row>
    <row r="31" spans="1:4">
      <c r="A31" s="23" t="s">
        <v>261</v>
      </c>
      <c r="B31" s="32" t="s">
        <v>423</v>
      </c>
      <c r="C31" s="30"/>
      <c r="D31" s="30"/>
    </row>
    <row r="32" spans="1:4" ht="5" customHeight="1"/>
    <row r="33" spans="1:4" ht="20" customHeight="1">
      <c r="A33" s="21" t="s">
        <v>424</v>
      </c>
      <c r="B33" s="21"/>
      <c r="C33" s="21"/>
      <c r="D33" s="21"/>
    </row>
    <row r="34" spans="1:4">
      <c r="A34" s="23" t="s">
        <v>425</v>
      </c>
      <c r="B34" s="32" t="s">
        <v>426</v>
      </c>
      <c r="C34" s="30"/>
      <c r="D34" s="30"/>
    </row>
    <row r="35" spans="1:4">
      <c r="A35" s="23" t="s">
        <v>427</v>
      </c>
      <c r="B35" s="70"/>
      <c r="C35" s="30"/>
      <c r="D35" s="30"/>
    </row>
    <row r="36" spans="1:4">
      <c r="A36" s="23" t="s">
        <v>428</v>
      </c>
      <c r="B36" s="32" t="s">
        <v>429</v>
      </c>
      <c r="C36" s="30"/>
      <c r="D36" s="30"/>
    </row>
    <row r="37" spans="1:4">
      <c r="A37" s="23" t="s">
        <v>430</v>
      </c>
      <c r="B37" s="32" t="s">
        <v>431</v>
      </c>
      <c r="C37" s="30"/>
      <c r="D37" s="30"/>
    </row>
    <row r="38" spans="1:4" ht="5" customHeight="1"/>
    <row r="39" spans="1:4" ht="20" customHeight="1">
      <c r="A39" s="21" t="s">
        <v>432</v>
      </c>
      <c r="B39" s="21"/>
      <c r="C39" s="21"/>
      <c r="D39" s="21"/>
    </row>
    <row r="40" spans="1:4">
      <c r="A40" s="23" t="s">
        <v>265</v>
      </c>
      <c r="B40" s="32" t="s">
        <v>433</v>
      </c>
      <c r="C40" s="30"/>
      <c r="D40" s="30"/>
    </row>
    <row r="41" spans="1:4">
      <c r="A41" s="23" t="s">
        <v>267</v>
      </c>
      <c r="B41" s="32" t="s">
        <v>434</v>
      </c>
      <c r="C41" s="30"/>
      <c r="D41" s="30"/>
    </row>
    <row r="42" spans="1:4">
      <c r="A42" s="23" t="s">
        <v>435</v>
      </c>
      <c r="B42" s="32" t="s">
        <v>436</v>
      </c>
      <c r="C42" s="30"/>
      <c r="D42" s="30"/>
    </row>
    <row r="43" spans="1:4">
      <c r="A43" s="23" t="s">
        <v>278</v>
      </c>
      <c r="B43" s="32" t="s">
        <v>436</v>
      </c>
      <c r="C43" s="30"/>
      <c r="D43" s="30"/>
    </row>
    <row r="44" spans="1:4">
      <c r="A44" s="23" t="s">
        <v>285</v>
      </c>
      <c r="B44" s="32" t="s">
        <v>437</v>
      </c>
      <c r="C44" s="30"/>
      <c r="D44" s="30"/>
    </row>
    <row r="45" spans="1:4">
      <c r="A45" s="23" t="s">
        <v>287</v>
      </c>
      <c r="B45" s="32" t="s">
        <v>434</v>
      </c>
      <c r="C45" s="30"/>
      <c r="D45" s="30"/>
    </row>
    <row r="46" spans="1:4" ht="5" customHeight="1"/>
    <row r="47" spans="1:4" ht="20" customHeight="1">
      <c r="A47" s="21" t="s">
        <v>438</v>
      </c>
      <c r="B47" s="21"/>
      <c r="C47" s="21"/>
      <c r="D47" s="21"/>
    </row>
    <row r="48" spans="1:4">
      <c r="A48" s="23" t="s">
        <v>439</v>
      </c>
      <c r="B48" s="32" t="s">
        <v>440</v>
      </c>
      <c r="C48" s="30"/>
      <c r="D48" s="30"/>
    </row>
    <row r="49" spans="1:4">
      <c r="A49" s="23" t="s">
        <v>441</v>
      </c>
      <c r="B49" s="32" t="s">
        <v>442</v>
      </c>
      <c r="C49" s="30"/>
      <c r="D49" s="30"/>
    </row>
    <row r="50" spans="1:4" ht="5" customHeight="1"/>
  </sheetData>
  <sheetProtection sheet="1" objects="1" scenarios="1" formatColumns="0" formatRows="0"/>
  <mergeCells count="13">
    <mergeCell ref="A1:D1"/>
    <mergeCell ref="A2:D2"/>
    <mergeCell ref="B3:C3"/>
    <mergeCell ref="B4:C4"/>
    <mergeCell ref="B5:C5"/>
    <mergeCell ref="B6:C6"/>
    <mergeCell ref="A8:D8"/>
    <mergeCell ref="A15:D15"/>
    <mergeCell ref="A21:D21"/>
    <mergeCell ref="A27:D27"/>
    <mergeCell ref="A33:D33"/>
    <mergeCell ref="A39:D39"/>
    <mergeCell ref="A47:D47"/>
  </mergeCells>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059669"/>
  </sheetPr>
  <dimension ref="A1:L27"/>
  <sheetViews>
    <sheetView workbookViewId="0">
      <pane ySplit="4" topLeftCell="A5" activePane="bottomLeft" state="frozen"/>
      <selection pane="bottomLeft"/>
    </sheetView>
  </sheetViews>
  <sheetFormatPr defaultRowHeight="15"/>
  <cols>
    <col min="1" max="1" width="10.7109375" customWidth="1"/>
    <col min="2" max="2" width="12.7109375" customWidth="1"/>
    <col min="3" max="3" width="10.7109375" customWidth="1"/>
    <col min="4" max="6" width="14.7109375" customWidth="1"/>
    <col min="7" max="7" width="8.7109375" customWidth="1"/>
    <col min="8" max="8" width="16.7109375" customWidth="1"/>
    <col min="9" max="9" width="15.7109375" customWidth="1"/>
    <col min="10" max="10" width="16.7109375" customWidth="1"/>
    <col min="11" max="11" width="14.7109375" customWidth="1"/>
    <col min="12" max="12" width="22.7109375" customWidth="1"/>
  </cols>
  <sheetData>
    <row r="1" spans="1:12" ht="26" customHeight="1">
      <c r="A1" s="19" t="s">
        <v>443</v>
      </c>
      <c r="B1" s="19"/>
      <c r="C1" s="19"/>
      <c r="D1" s="19"/>
      <c r="E1" s="19"/>
      <c r="F1" s="19"/>
      <c r="G1" s="19"/>
      <c r="H1" s="19"/>
      <c r="I1" s="19"/>
      <c r="J1" s="19"/>
      <c r="K1" s="19"/>
      <c r="L1" s="19"/>
    </row>
    <row r="2" spans="1:12" ht="16" customHeight="1">
      <c r="A2" s="101" t="s">
        <v>444</v>
      </c>
      <c r="B2" s="101"/>
      <c r="C2" s="101"/>
      <c r="D2" s="101"/>
      <c r="E2" s="101"/>
      <c r="F2" s="101"/>
      <c r="G2" s="101"/>
      <c r="H2" s="101"/>
      <c r="I2" s="101"/>
      <c r="J2" s="101"/>
      <c r="K2" s="101"/>
      <c r="L2" s="101"/>
    </row>
    <row r="3" spans="1:12" ht="5" customHeight="1"/>
    <row r="4" spans="1:12" ht="32" customHeight="1">
      <c r="A4" s="22" t="s">
        <v>445</v>
      </c>
      <c r="B4" s="22" t="s">
        <v>446</v>
      </c>
      <c r="C4" s="22" t="s">
        <v>447</v>
      </c>
      <c r="D4" s="22" t="s">
        <v>448</v>
      </c>
      <c r="E4" s="22" t="s">
        <v>449</v>
      </c>
      <c r="F4" s="22" t="s">
        <v>450</v>
      </c>
      <c r="G4" s="22" t="s">
        <v>451</v>
      </c>
      <c r="H4" s="22" t="s">
        <v>452</v>
      </c>
      <c r="I4" s="22" t="s">
        <v>453</v>
      </c>
      <c r="J4" s="22" t="s">
        <v>454</v>
      </c>
      <c r="K4" s="22" t="s">
        <v>455</v>
      </c>
      <c r="L4" s="22" t="s">
        <v>456</v>
      </c>
    </row>
    <row r="5" spans="1:12" ht="20" customHeight="1">
      <c r="A5" s="102"/>
      <c r="B5" s="102"/>
      <c r="C5" s="103"/>
      <c r="D5" s="103"/>
      <c r="E5" s="103"/>
      <c r="F5" s="103"/>
      <c r="G5" s="103"/>
      <c r="H5" s="104">
        <f>IFERROR(IF(A5="","",C5*D5*1.014),"")</f>
        <v>0</v>
      </c>
      <c r="I5" s="104">
        <f>IFERROR(IF(A5="","",C5*E5),"")</f>
        <v>0</v>
      </c>
      <c r="J5" s="104">
        <f>IFERROR(IF(A5="","",(C5*E5)-(C5*D5*1.014)+(C5*F5)),"")</f>
        <v>0</v>
      </c>
      <c r="K5" s="105">
        <f>IFERROR(IF(A5="","",J5/H5*100),"")</f>
        <v>0</v>
      </c>
      <c r="L5" s="106">
        <f>IFERROR(IF(A5="","—",IF(K5&lt;-10,"VENDRE — Stop-loss",IF(AND(G5&gt;=24,K5&gt;=0),"RENFORCER",IF(AND(G5&gt;=15,K5&gt;=-5),"CONSERVER","SURVEILLER")))),"—")</f>
        <v>0</v>
      </c>
    </row>
    <row r="6" spans="1:12" ht="20" customHeight="1">
      <c r="A6" s="102"/>
      <c r="B6" s="102"/>
      <c r="C6" s="103"/>
      <c r="D6" s="103"/>
      <c r="E6" s="103"/>
      <c r="F6" s="103"/>
      <c r="G6" s="103"/>
      <c r="H6" s="104">
        <f>IFERROR(IF(A6="","",C6*D6*1.014),"")</f>
        <v>0</v>
      </c>
      <c r="I6" s="104">
        <f>IFERROR(IF(A6="","",C6*E6),"")</f>
        <v>0</v>
      </c>
      <c r="J6" s="104">
        <f>IFERROR(IF(A6="","",(C6*E6)-(C6*D6*1.014)+(C6*F6)),"")</f>
        <v>0</v>
      </c>
      <c r="K6" s="105">
        <f>IFERROR(IF(A6="","",J6/H6*100),"")</f>
        <v>0</v>
      </c>
      <c r="L6" s="106">
        <f>IFERROR(IF(A6="","—",IF(K6&lt;-10,"VENDRE — Stop-loss",IF(AND(G6&gt;=24,K6&gt;=0),"RENFORCER",IF(AND(G6&gt;=15,K6&gt;=-5),"CONSERVER","SURVEILLER")))),"—")</f>
        <v>0</v>
      </c>
    </row>
    <row r="7" spans="1:12" ht="20" customHeight="1">
      <c r="A7" s="102"/>
      <c r="B7" s="102"/>
      <c r="C7" s="103"/>
      <c r="D7" s="103"/>
      <c r="E7" s="103"/>
      <c r="F7" s="103"/>
      <c r="G7" s="103"/>
      <c r="H7" s="104">
        <f>IFERROR(IF(A7="","",C7*D7*1.014),"")</f>
        <v>0</v>
      </c>
      <c r="I7" s="104">
        <f>IFERROR(IF(A7="","",C7*E7),"")</f>
        <v>0</v>
      </c>
      <c r="J7" s="104">
        <f>IFERROR(IF(A7="","",(C7*E7)-(C7*D7*1.014)+(C7*F7)),"")</f>
        <v>0</v>
      </c>
      <c r="K7" s="105">
        <f>IFERROR(IF(A7="","",J7/H7*100),"")</f>
        <v>0</v>
      </c>
      <c r="L7" s="106">
        <f>IFERROR(IF(A7="","—",IF(K7&lt;-10,"VENDRE — Stop-loss",IF(AND(G7&gt;=24,K7&gt;=0),"RENFORCER",IF(AND(G7&gt;=15,K7&gt;=-5),"CONSERVER","SURVEILLER")))),"—")</f>
        <v>0</v>
      </c>
    </row>
    <row r="8" spans="1:12" ht="20" customHeight="1">
      <c r="A8" s="102"/>
      <c r="B8" s="102"/>
      <c r="C8" s="103"/>
      <c r="D8" s="103"/>
      <c r="E8" s="103"/>
      <c r="F8" s="103"/>
      <c r="G8" s="103"/>
      <c r="H8" s="104">
        <f>IFERROR(IF(A8="","",C8*D8*1.014),"")</f>
        <v>0</v>
      </c>
      <c r="I8" s="104">
        <f>IFERROR(IF(A8="","",C8*E8),"")</f>
        <v>0</v>
      </c>
      <c r="J8" s="104">
        <f>IFERROR(IF(A8="","",(C8*E8)-(C8*D8*1.014)+(C8*F8)),"")</f>
        <v>0</v>
      </c>
      <c r="K8" s="105">
        <f>IFERROR(IF(A8="","",J8/H8*100),"")</f>
        <v>0</v>
      </c>
      <c r="L8" s="106">
        <f>IFERROR(IF(A8="","—",IF(K8&lt;-10,"VENDRE — Stop-loss",IF(AND(G8&gt;=24,K8&gt;=0),"RENFORCER",IF(AND(G8&gt;=15,K8&gt;=-5),"CONSERVER","SURVEILLER")))),"—")</f>
        <v>0</v>
      </c>
    </row>
    <row r="9" spans="1:12" ht="20" customHeight="1">
      <c r="A9" s="102"/>
      <c r="B9" s="102"/>
      <c r="C9" s="103"/>
      <c r="D9" s="103"/>
      <c r="E9" s="103"/>
      <c r="F9" s="103"/>
      <c r="G9" s="103"/>
      <c r="H9" s="104">
        <f>IFERROR(IF(A9="","",C9*D9*1.014),"")</f>
        <v>0</v>
      </c>
      <c r="I9" s="104">
        <f>IFERROR(IF(A9="","",C9*E9),"")</f>
        <v>0</v>
      </c>
      <c r="J9" s="104">
        <f>IFERROR(IF(A9="","",(C9*E9)-(C9*D9*1.014)+(C9*F9)),"")</f>
        <v>0</v>
      </c>
      <c r="K9" s="105">
        <f>IFERROR(IF(A9="","",J9/H9*100),"")</f>
        <v>0</v>
      </c>
      <c r="L9" s="106">
        <f>IFERROR(IF(A9="","—",IF(K9&lt;-10,"VENDRE — Stop-loss",IF(AND(G9&gt;=24,K9&gt;=0),"RENFORCER",IF(AND(G9&gt;=15,K9&gt;=-5),"CONSERVER","SURVEILLER")))),"—")</f>
        <v>0</v>
      </c>
    </row>
    <row r="10" spans="1:12" ht="20" customHeight="1">
      <c r="A10" s="102"/>
      <c r="B10" s="102"/>
      <c r="C10" s="103"/>
      <c r="D10" s="103"/>
      <c r="E10" s="103"/>
      <c r="F10" s="103"/>
      <c r="G10" s="103"/>
      <c r="H10" s="104">
        <f>IFERROR(IF(A10="","",C10*D10*1.014),"")</f>
        <v>0</v>
      </c>
      <c r="I10" s="104">
        <f>IFERROR(IF(A10="","",C10*E10),"")</f>
        <v>0</v>
      </c>
      <c r="J10" s="104">
        <f>IFERROR(IF(A10="","",(C10*E10)-(C10*D10*1.014)+(C10*F10)),"")</f>
        <v>0</v>
      </c>
      <c r="K10" s="105">
        <f>IFERROR(IF(A10="","",J10/H10*100),"")</f>
        <v>0</v>
      </c>
      <c r="L10" s="106">
        <f>IFERROR(IF(A10="","—",IF(K10&lt;-10,"VENDRE — Stop-loss",IF(AND(G10&gt;=24,K10&gt;=0),"RENFORCER",IF(AND(G10&gt;=15,K10&gt;=-5),"CONSERVER","SURVEILLER")))),"—")</f>
        <v>0</v>
      </c>
    </row>
    <row r="11" spans="1:12" ht="20" customHeight="1">
      <c r="A11" s="102"/>
      <c r="B11" s="102"/>
      <c r="C11" s="103"/>
      <c r="D11" s="103"/>
      <c r="E11" s="103"/>
      <c r="F11" s="103"/>
      <c r="G11" s="103"/>
      <c r="H11" s="104">
        <f>IFERROR(IF(A11="","",C11*D11*1.014),"")</f>
        <v>0</v>
      </c>
      <c r="I11" s="104">
        <f>IFERROR(IF(A11="","",C11*E11),"")</f>
        <v>0</v>
      </c>
      <c r="J11" s="104">
        <f>IFERROR(IF(A11="","",(C11*E11)-(C11*D11*1.014)+(C11*F11)),"")</f>
        <v>0</v>
      </c>
      <c r="K11" s="105">
        <f>IFERROR(IF(A11="","",J11/H11*100),"")</f>
        <v>0</v>
      </c>
      <c r="L11" s="106">
        <f>IFERROR(IF(A11="","—",IF(K11&lt;-10,"VENDRE — Stop-loss",IF(AND(G11&gt;=24,K11&gt;=0),"RENFORCER",IF(AND(G11&gt;=15,K11&gt;=-5),"CONSERVER","SURVEILLER")))),"—")</f>
        <v>0</v>
      </c>
    </row>
    <row r="12" spans="1:12" ht="20" customHeight="1">
      <c r="A12" s="102"/>
      <c r="B12" s="102"/>
      <c r="C12" s="103"/>
      <c r="D12" s="103"/>
      <c r="E12" s="103"/>
      <c r="F12" s="103"/>
      <c r="G12" s="103"/>
      <c r="H12" s="104">
        <f>IFERROR(IF(A12="","",C12*D12*1.014),"")</f>
        <v>0</v>
      </c>
      <c r="I12" s="104">
        <f>IFERROR(IF(A12="","",C12*E12),"")</f>
        <v>0</v>
      </c>
      <c r="J12" s="104">
        <f>IFERROR(IF(A12="","",(C12*E12)-(C12*D12*1.014)+(C12*F12)),"")</f>
        <v>0</v>
      </c>
      <c r="K12" s="105">
        <f>IFERROR(IF(A12="","",J12/H12*100),"")</f>
        <v>0</v>
      </c>
      <c r="L12" s="106">
        <f>IFERROR(IF(A12="","—",IF(K12&lt;-10,"VENDRE — Stop-loss",IF(AND(G12&gt;=24,K12&gt;=0),"RENFORCER",IF(AND(G12&gt;=15,K12&gt;=-5),"CONSERVER","SURVEILLER")))),"—")</f>
        <v>0</v>
      </c>
    </row>
    <row r="13" spans="1:12" ht="20" customHeight="1">
      <c r="A13" s="102"/>
      <c r="B13" s="102"/>
      <c r="C13" s="103"/>
      <c r="D13" s="103"/>
      <c r="E13" s="103"/>
      <c r="F13" s="103"/>
      <c r="G13" s="103"/>
      <c r="H13" s="104">
        <f>IFERROR(IF(A13="","",C13*D13*1.014),"")</f>
        <v>0</v>
      </c>
      <c r="I13" s="104">
        <f>IFERROR(IF(A13="","",C13*E13),"")</f>
        <v>0</v>
      </c>
      <c r="J13" s="104">
        <f>IFERROR(IF(A13="","",(C13*E13)-(C13*D13*1.014)+(C13*F13)),"")</f>
        <v>0</v>
      </c>
      <c r="K13" s="105">
        <f>IFERROR(IF(A13="","",J13/H13*100),"")</f>
        <v>0</v>
      </c>
      <c r="L13" s="106">
        <f>IFERROR(IF(A13="","—",IF(K13&lt;-10,"VENDRE — Stop-loss",IF(AND(G13&gt;=24,K13&gt;=0),"RENFORCER",IF(AND(G13&gt;=15,K13&gt;=-5),"CONSERVER","SURVEILLER")))),"—")</f>
        <v>0</v>
      </c>
    </row>
    <row r="14" spans="1:12" ht="20" customHeight="1">
      <c r="A14" s="102"/>
      <c r="B14" s="102"/>
      <c r="C14" s="103"/>
      <c r="D14" s="103"/>
      <c r="E14" s="103"/>
      <c r="F14" s="103"/>
      <c r="G14" s="103"/>
      <c r="H14" s="104">
        <f>IFERROR(IF(A14="","",C14*D14*1.014),"")</f>
        <v>0</v>
      </c>
      <c r="I14" s="104">
        <f>IFERROR(IF(A14="","",C14*E14),"")</f>
        <v>0</v>
      </c>
      <c r="J14" s="104">
        <f>IFERROR(IF(A14="","",(C14*E14)-(C14*D14*1.014)+(C14*F14)),"")</f>
        <v>0</v>
      </c>
      <c r="K14" s="105">
        <f>IFERROR(IF(A14="","",J14/H14*100),"")</f>
        <v>0</v>
      </c>
      <c r="L14" s="106">
        <f>IFERROR(IF(A14="","—",IF(K14&lt;-10,"VENDRE — Stop-loss",IF(AND(G14&gt;=24,K14&gt;=0),"RENFORCER",IF(AND(G14&gt;=15,K14&gt;=-5),"CONSERVER","SURVEILLER")))),"—")</f>
        <v>0</v>
      </c>
    </row>
    <row r="15" spans="1:12" ht="20" customHeight="1">
      <c r="A15" s="102"/>
      <c r="B15" s="102"/>
      <c r="C15" s="103"/>
      <c r="D15" s="103"/>
      <c r="E15" s="103"/>
      <c r="F15" s="103"/>
      <c r="G15" s="103"/>
      <c r="H15" s="104">
        <f>IFERROR(IF(A15="","",C15*D15*1.014),"")</f>
        <v>0</v>
      </c>
      <c r="I15" s="104">
        <f>IFERROR(IF(A15="","",C15*E15),"")</f>
        <v>0</v>
      </c>
      <c r="J15" s="104">
        <f>IFERROR(IF(A15="","",(C15*E15)-(C15*D15*1.014)+(C15*F15)),"")</f>
        <v>0</v>
      </c>
      <c r="K15" s="105">
        <f>IFERROR(IF(A15="","",J15/H15*100),"")</f>
        <v>0</v>
      </c>
      <c r="L15" s="106">
        <f>IFERROR(IF(A15="","—",IF(K15&lt;-10,"VENDRE — Stop-loss",IF(AND(G15&gt;=24,K15&gt;=0),"RENFORCER",IF(AND(G15&gt;=15,K15&gt;=-5),"CONSERVER","SURVEILLER")))),"—")</f>
        <v>0</v>
      </c>
    </row>
    <row r="16" spans="1:12" ht="20" customHeight="1">
      <c r="A16" s="102"/>
      <c r="B16" s="102"/>
      <c r="C16" s="103"/>
      <c r="D16" s="103"/>
      <c r="E16" s="103"/>
      <c r="F16" s="103"/>
      <c r="G16" s="103"/>
      <c r="H16" s="104">
        <f>IFERROR(IF(A16="","",C16*D16*1.014),"")</f>
        <v>0</v>
      </c>
      <c r="I16" s="104">
        <f>IFERROR(IF(A16="","",C16*E16),"")</f>
        <v>0</v>
      </c>
      <c r="J16" s="104">
        <f>IFERROR(IF(A16="","",(C16*E16)-(C16*D16*1.014)+(C16*F16)),"")</f>
        <v>0</v>
      </c>
      <c r="K16" s="105">
        <f>IFERROR(IF(A16="","",J16/H16*100),"")</f>
        <v>0</v>
      </c>
      <c r="L16" s="106">
        <f>IFERROR(IF(A16="","—",IF(K16&lt;-10,"VENDRE — Stop-loss",IF(AND(G16&gt;=24,K16&gt;=0),"RENFORCER",IF(AND(G16&gt;=15,K16&gt;=-5),"CONSERVER","SURVEILLER")))),"—")</f>
        <v>0</v>
      </c>
    </row>
    <row r="17" spans="1:12" ht="20" customHeight="1">
      <c r="A17" s="102"/>
      <c r="B17" s="102"/>
      <c r="C17" s="103"/>
      <c r="D17" s="103"/>
      <c r="E17" s="103"/>
      <c r="F17" s="103"/>
      <c r="G17" s="103"/>
      <c r="H17" s="104">
        <f>IFERROR(IF(A17="","",C17*D17*1.014),"")</f>
        <v>0</v>
      </c>
      <c r="I17" s="104">
        <f>IFERROR(IF(A17="","",C17*E17),"")</f>
        <v>0</v>
      </c>
      <c r="J17" s="104">
        <f>IFERROR(IF(A17="","",(C17*E17)-(C17*D17*1.014)+(C17*F17)),"")</f>
        <v>0</v>
      </c>
      <c r="K17" s="105">
        <f>IFERROR(IF(A17="","",J17/H17*100),"")</f>
        <v>0</v>
      </c>
      <c r="L17" s="106">
        <f>IFERROR(IF(A17="","—",IF(K17&lt;-10,"VENDRE — Stop-loss",IF(AND(G17&gt;=24,K17&gt;=0),"RENFORCER",IF(AND(G17&gt;=15,K17&gt;=-5),"CONSERVER","SURVEILLER")))),"—")</f>
        <v>0</v>
      </c>
    </row>
    <row r="18" spans="1:12" ht="20" customHeight="1">
      <c r="A18" s="102"/>
      <c r="B18" s="102"/>
      <c r="C18" s="103"/>
      <c r="D18" s="103"/>
      <c r="E18" s="103"/>
      <c r="F18" s="103"/>
      <c r="G18" s="103"/>
      <c r="H18" s="104">
        <f>IFERROR(IF(A18="","",C18*D18*1.014),"")</f>
        <v>0</v>
      </c>
      <c r="I18" s="104">
        <f>IFERROR(IF(A18="","",C18*E18),"")</f>
        <v>0</v>
      </c>
      <c r="J18" s="104">
        <f>IFERROR(IF(A18="","",(C18*E18)-(C18*D18*1.014)+(C18*F18)),"")</f>
        <v>0</v>
      </c>
      <c r="K18" s="105">
        <f>IFERROR(IF(A18="","",J18/H18*100),"")</f>
        <v>0</v>
      </c>
      <c r="L18" s="106">
        <f>IFERROR(IF(A18="","—",IF(K18&lt;-10,"VENDRE — Stop-loss",IF(AND(G18&gt;=24,K18&gt;=0),"RENFORCER",IF(AND(G18&gt;=15,K18&gt;=-5),"CONSERVER","SURVEILLER")))),"—")</f>
        <v>0</v>
      </c>
    </row>
    <row r="19" spans="1:12" ht="20" customHeight="1">
      <c r="A19" s="102"/>
      <c r="B19" s="102"/>
      <c r="C19" s="103"/>
      <c r="D19" s="103"/>
      <c r="E19" s="103"/>
      <c r="F19" s="103"/>
      <c r="G19" s="103"/>
      <c r="H19" s="104">
        <f>IFERROR(IF(A19="","",C19*D19*1.014),"")</f>
        <v>0</v>
      </c>
      <c r="I19" s="104">
        <f>IFERROR(IF(A19="","",C19*E19),"")</f>
        <v>0</v>
      </c>
      <c r="J19" s="104">
        <f>IFERROR(IF(A19="","",(C19*E19)-(C19*D19*1.014)+(C19*F19)),"")</f>
        <v>0</v>
      </c>
      <c r="K19" s="105">
        <f>IFERROR(IF(A19="","",J19/H19*100),"")</f>
        <v>0</v>
      </c>
      <c r="L19" s="106">
        <f>IFERROR(IF(A19="","—",IF(K19&lt;-10,"VENDRE — Stop-loss",IF(AND(G19&gt;=24,K19&gt;=0),"RENFORCER",IF(AND(G19&gt;=15,K19&gt;=-5),"CONSERVER","SURVEILLER")))),"—")</f>
        <v>0</v>
      </c>
    </row>
    <row r="20" spans="1:12" ht="5" customHeight="1"/>
    <row r="21" spans="1:12" ht="22" customHeight="1">
      <c r="A21" s="38" t="s">
        <v>457</v>
      </c>
      <c r="B21" s="107"/>
      <c r="C21" s="107"/>
      <c r="D21" s="107"/>
      <c r="E21" s="107"/>
      <c r="F21" s="107"/>
      <c r="G21" s="107"/>
      <c r="H21" s="108">
        <f>IFERROR(SUMIF(A5:A19,"&lt;&gt;",H5:H19),"")</f>
        <v>0</v>
      </c>
      <c r="I21" s="108">
        <f>IFERROR(SUMIF(A5:A19,"&lt;&gt;",I5:I19),"")</f>
        <v>0</v>
      </c>
      <c r="J21" s="108">
        <f>IFERROR(SUMIF(A5:A19,"&lt;&gt;",J5:J19),"")</f>
        <v>0</v>
      </c>
      <c r="K21" s="109">
        <f>IFERROR(J21/H21*100,"")</f>
        <v>0</v>
      </c>
      <c r="L21" s="106">
        <f>IFERROR(IF(J21/H21*100&gt;15,"Portefeuille PERFORMANT",IF(J21/H21*100&gt;0,"Portefeuille POSITIF","Portefeuille EN PERTE")),"")</f>
        <v>0</v>
      </c>
    </row>
    <row r="22" spans="1:12" ht="8" customHeight="1"/>
    <row r="23" spans="1:12" ht="18" customHeight="1">
      <c r="A23" s="110" t="s">
        <v>458</v>
      </c>
      <c r="B23" s="110"/>
      <c r="C23" s="110"/>
      <c r="D23" s="110"/>
      <c r="E23" s="110"/>
      <c r="F23" s="110"/>
      <c r="G23" s="110"/>
      <c r="H23" s="110"/>
      <c r="I23" s="110"/>
      <c r="J23" s="110"/>
      <c r="K23" s="110"/>
      <c r="L23" s="110"/>
    </row>
    <row r="24" spans="1:12" ht="16" customHeight="1">
      <c r="A24" s="111" t="s">
        <v>459</v>
      </c>
      <c r="B24" s="112" t="s">
        <v>460</v>
      </c>
      <c r="C24" s="112"/>
      <c r="D24" s="112"/>
      <c r="E24" s="112"/>
      <c r="F24" s="112"/>
      <c r="G24" s="112"/>
      <c r="H24" s="112"/>
      <c r="I24" s="112"/>
      <c r="J24" s="112"/>
      <c r="K24" s="112"/>
      <c r="L24" s="112"/>
    </row>
    <row r="25" spans="1:12" ht="16" customHeight="1">
      <c r="A25" s="111" t="s">
        <v>461</v>
      </c>
      <c r="B25" s="112" t="s">
        <v>462</v>
      </c>
      <c r="C25" s="112"/>
      <c r="D25" s="112"/>
      <c r="E25" s="112"/>
      <c r="F25" s="112"/>
      <c r="G25" s="112"/>
      <c r="H25" s="112"/>
      <c r="I25" s="112"/>
      <c r="J25" s="112"/>
      <c r="K25" s="112"/>
      <c r="L25" s="112"/>
    </row>
    <row r="26" spans="1:12" ht="16" customHeight="1">
      <c r="A26" s="111" t="s">
        <v>463</v>
      </c>
      <c r="B26" s="112" t="s">
        <v>464</v>
      </c>
      <c r="C26" s="112"/>
      <c r="D26" s="112"/>
      <c r="E26" s="112"/>
      <c r="F26" s="112"/>
      <c r="G26" s="112"/>
      <c r="H26" s="112"/>
      <c r="I26" s="112"/>
      <c r="J26" s="112"/>
      <c r="K26" s="112"/>
      <c r="L26" s="112"/>
    </row>
    <row r="27" spans="1:12" ht="16" customHeight="1">
      <c r="A27" s="111" t="s">
        <v>465</v>
      </c>
      <c r="B27" s="112" t="s">
        <v>466</v>
      </c>
      <c r="C27" s="112"/>
      <c r="D27" s="112"/>
      <c r="E27" s="112"/>
      <c r="F27" s="112"/>
      <c r="G27" s="112"/>
      <c r="H27" s="112"/>
      <c r="I27" s="112"/>
      <c r="J27" s="112"/>
      <c r="K27" s="112"/>
      <c r="L27" s="112"/>
    </row>
  </sheetData>
  <sheetProtection sheet="1" objects="1" scenarios="1" formatColumns="0" formatRows="0"/>
  <mergeCells count="7">
    <mergeCell ref="A1:L1"/>
    <mergeCell ref="A2:L2"/>
    <mergeCell ref="A23:L23"/>
    <mergeCell ref="B24:L24"/>
    <mergeCell ref="B25:L25"/>
    <mergeCell ref="B26:L26"/>
    <mergeCell ref="B27:L27"/>
  </mergeCells>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374151"/>
  </sheetPr>
  <dimension ref="A1:D47"/>
  <sheetViews>
    <sheetView workbookViewId="0">
      <pane ySplit="1" topLeftCell="A2" activePane="bottomLeft" state="frozen"/>
      <selection pane="bottomLeft"/>
    </sheetView>
  </sheetViews>
  <sheetFormatPr defaultRowHeight="15"/>
  <cols>
    <col min="1" max="1" width="30.7109375" customWidth="1"/>
    <col min="2" max="2" width="52.7109375" customWidth="1"/>
    <col min="3" max="4" width="44.7109375" customWidth="1"/>
  </cols>
  <sheetData>
    <row r="1" spans="1:4" ht="22" customHeight="1">
      <c r="A1" s="19" t="s">
        <v>467</v>
      </c>
      <c r="B1" s="19"/>
      <c r="C1" s="19"/>
      <c r="D1" s="19"/>
    </row>
    <row r="2" spans="1:4">
      <c r="A2" s="113" t="s">
        <v>94</v>
      </c>
      <c r="B2" s="113" t="s">
        <v>468</v>
      </c>
      <c r="C2" s="113" t="s">
        <v>341</v>
      </c>
      <c r="D2" s="113" t="s">
        <v>469</v>
      </c>
    </row>
    <row r="3" spans="1:4" ht="18" customHeight="1">
      <c r="A3" s="80" t="s">
        <v>470</v>
      </c>
      <c r="B3" s="80"/>
      <c r="C3" s="80"/>
      <c r="D3" s="80"/>
    </row>
    <row r="4" spans="1:4" ht="28" customHeight="1">
      <c r="A4" s="38" t="s">
        <v>471</v>
      </c>
      <c r="B4" s="114" t="s">
        <v>472</v>
      </c>
      <c r="C4" s="88" t="s">
        <v>347</v>
      </c>
      <c r="D4" s="115" t="s">
        <v>473</v>
      </c>
    </row>
    <row r="5" spans="1:4" ht="28" customHeight="1">
      <c r="A5" s="38" t="s">
        <v>474</v>
      </c>
      <c r="B5" s="114" t="s">
        <v>475</v>
      </c>
      <c r="C5" s="88" t="s">
        <v>347</v>
      </c>
      <c r="D5" s="115" t="s">
        <v>476</v>
      </c>
    </row>
    <row r="6" spans="1:4" ht="28" customHeight="1">
      <c r="A6" s="38" t="s">
        <v>477</v>
      </c>
      <c r="B6" s="114" t="s">
        <v>478</v>
      </c>
      <c r="C6" s="88" t="s">
        <v>347</v>
      </c>
      <c r="D6" s="115" t="s">
        <v>479</v>
      </c>
    </row>
    <row r="7" spans="1:4" ht="28" customHeight="1">
      <c r="A7" s="38" t="s">
        <v>4</v>
      </c>
      <c r="B7" s="114" t="s">
        <v>480</v>
      </c>
      <c r="C7" s="88" t="s">
        <v>481</v>
      </c>
      <c r="D7" s="115" t="s">
        <v>482</v>
      </c>
    </row>
    <row r="8" spans="1:4" ht="28" customHeight="1">
      <c r="A8" s="38" t="s">
        <v>483</v>
      </c>
      <c r="B8" s="114" t="s">
        <v>484</v>
      </c>
      <c r="C8" s="88" t="s">
        <v>343</v>
      </c>
      <c r="D8" s="115" t="s">
        <v>485</v>
      </c>
    </row>
    <row r="9" spans="1:4" ht="28" customHeight="1">
      <c r="A9" s="38" t="s">
        <v>5</v>
      </c>
      <c r="B9" s="114" t="s">
        <v>486</v>
      </c>
      <c r="C9" s="88" t="s">
        <v>481</v>
      </c>
      <c r="D9" s="115" t="s">
        <v>487</v>
      </c>
    </row>
    <row r="10" spans="1:4" ht="28" customHeight="1">
      <c r="A10" s="38" t="s">
        <v>488</v>
      </c>
      <c r="B10" s="114" t="s">
        <v>489</v>
      </c>
      <c r="C10" s="88" t="s">
        <v>347</v>
      </c>
      <c r="D10" s="115" t="s">
        <v>490</v>
      </c>
    </row>
    <row r="11" spans="1:4" ht="28" customHeight="1">
      <c r="A11" s="38" t="s">
        <v>491</v>
      </c>
      <c r="B11" s="114" t="s">
        <v>492</v>
      </c>
      <c r="C11" s="88"/>
      <c r="D11" s="115" t="s">
        <v>493</v>
      </c>
    </row>
    <row r="12" spans="1:4" ht="28" customHeight="1">
      <c r="A12" s="38" t="s">
        <v>494</v>
      </c>
      <c r="B12" s="114" t="s">
        <v>495</v>
      </c>
      <c r="C12" s="88" t="s">
        <v>347</v>
      </c>
      <c r="D12" s="115" t="s">
        <v>496</v>
      </c>
    </row>
    <row r="13" spans="1:4" ht="28" customHeight="1">
      <c r="A13" s="38" t="s">
        <v>497</v>
      </c>
      <c r="B13" s="114" t="s">
        <v>498</v>
      </c>
      <c r="C13" s="88" t="s">
        <v>347</v>
      </c>
      <c r="D13" s="115" t="s">
        <v>499</v>
      </c>
    </row>
    <row r="14" spans="1:4" ht="18" customHeight="1">
      <c r="A14" s="80" t="s">
        <v>500</v>
      </c>
      <c r="B14" s="80"/>
      <c r="C14" s="80"/>
      <c r="D14" s="80"/>
    </row>
    <row r="15" spans="1:4" ht="28" customHeight="1">
      <c r="A15" s="38" t="s">
        <v>501</v>
      </c>
      <c r="B15" s="114" t="s">
        <v>502</v>
      </c>
      <c r="C15" s="88" t="s">
        <v>343</v>
      </c>
      <c r="D15" s="115" t="s">
        <v>503</v>
      </c>
    </row>
    <row r="16" spans="1:4" ht="28" customHeight="1">
      <c r="A16" s="38" t="s">
        <v>504</v>
      </c>
      <c r="B16" s="114" t="s">
        <v>505</v>
      </c>
      <c r="C16" s="88"/>
      <c r="D16" s="115" t="s">
        <v>506</v>
      </c>
    </row>
    <row r="17" spans="1:4" ht="28" customHeight="1">
      <c r="A17" s="38" t="s">
        <v>136</v>
      </c>
      <c r="B17" s="114" t="s">
        <v>505</v>
      </c>
      <c r="C17" s="88"/>
      <c r="D17" s="115" t="s">
        <v>507</v>
      </c>
    </row>
    <row r="18" spans="1:4" ht="28" customHeight="1">
      <c r="A18" s="38" t="s">
        <v>160</v>
      </c>
      <c r="B18" s="114" t="s">
        <v>508</v>
      </c>
      <c r="C18" s="88" t="s">
        <v>481</v>
      </c>
      <c r="D18" s="115" t="s">
        <v>509</v>
      </c>
    </row>
    <row r="19" spans="1:4" ht="28" customHeight="1">
      <c r="A19" s="38" t="s">
        <v>510</v>
      </c>
      <c r="B19" s="114" t="s">
        <v>511</v>
      </c>
      <c r="C19" s="88" t="s">
        <v>343</v>
      </c>
      <c r="D19" s="115" t="s">
        <v>512</v>
      </c>
    </row>
    <row r="20" spans="1:4" ht="28" customHeight="1">
      <c r="A20" s="38" t="s">
        <v>513</v>
      </c>
      <c r="B20" s="114" t="s">
        <v>514</v>
      </c>
      <c r="C20" s="88" t="s">
        <v>343</v>
      </c>
      <c r="D20" s="115" t="s">
        <v>515</v>
      </c>
    </row>
    <row r="21" spans="1:4" ht="18" customHeight="1">
      <c r="A21" s="80" t="s">
        <v>516</v>
      </c>
      <c r="B21" s="80"/>
      <c r="C21" s="80"/>
      <c r="D21" s="80"/>
    </row>
    <row r="22" spans="1:4" ht="28" customHeight="1">
      <c r="A22" s="38" t="s">
        <v>517</v>
      </c>
      <c r="B22" s="114" t="s">
        <v>518</v>
      </c>
      <c r="C22" s="88" t="s">
        <v>343</v>
      </c>
      <c r="D22" s="115" t="s">
        <v>519</v>
      </c>
    </row>
    <row r="23" spans="1:4" ht="28" customHeight="1">
      <c r="A23" s="38" t="s">
        <v>520</v>
      </c>
      <c r="B23" s="114" t="s">
        <v>521</v>
      </c>
      <c r="C23" s="88" t="s">
        <v>522</v>
      </c>
      <c r="D23" s="115" t="s">
        <v>523</v>
      </c>
    </row>
    <row r="24" spans="1:4" ht="28" customHeight="1">
      <c r="A24" s="38" t="s">
        <v>524</v>
      </c>
      <c r="B24" s="114" t="s">
        <v>525</v>
      </c>
      <c r="C24" s="88" t="s">
        <v>343</v>
      </c>
      <c r="D24" s="115" t="s">
        <v>526</v>
      </c>
    </row>
    <row r="25" spans="1:4" ht="28" customHeight="1">
      <c r="A25" s="38" t="s">
        <v>527</v>
      </c>
      <c r="B25" s="114" t="s">
        <v>528</v>
      </c>
      <c r="C25" s="88" t="s">
        <v>343</v>
      </c>
      <c r="D25" s="115" t="s">
        <v>529</v>
      </c>
    </row>
    <row r="26" spans="1:4" ht="8" customHeight="1"/>
    <row r="27" spans="1:4" ht="20" customHeight="1">
      <c r="A27" s="80" t="s">
        <v>530</v>
      </c>
      <c r="B27" s="80"/>
      <c r="C27" s="80"/>
      <c r="D27" s="80"/>
    </row>
    <row r="28" spans="1:4" ht="16" customHeight="1">
      <c r="A28" s="110" t="s">
        <v>531</v>
      </c>
      <c r="B28" s="110"/>
      <c r="C28" s="110"/>
      <c r="D28" s="110"/>
    </row>
    <row r="29" spans="1:4" ht="18" customHeight="1">
      <c r="A29" s="116" t="s">
        <v>532</v>
      </c>
      <c r="B29" s="117" t="s">
        <v>533</v>
      </c>
      <c r="C29" s="75" t="s">
        <v>534</v>
      </c>
      <c r="D29" s="30"/>
    </row>
    <row r="30" spans="1:4" ht="18" customHeight="1">
      <c r="A30" s="116" t="s">
        <v>535</v>
      </c>
      <c r="B30" s="117" t="s">
        <v>536</v>
      </c>
      <c r="C30" s="75" t="s">
        <v>537</v>
      </c>
      <c r="D30" s="30"/>
    </row>
    <row r="31" spans="1:4" ht="18" customHeight="1">
      <c r="A31" s="116" t="s">
        <v>538</v>
      </c>
      <c r="B31" s="117" t="s">
        <v>539</v>
      </c>
      <c r="C31" s="75" t="s">
        <v>540</v>
      </c>
      <c r="D31" s="30"/>
    </row>
    <row r="32" spans="1:4" ht="16" customHeight="1">
      <c r="A32" s="110" t="s">
        <v>541</v>
      </c>
      <c r="B32" s="110"/>
      <c r="C32" s="110"/>
      <c r="D32" s="110"/>
    </row>
    <row r="33" spans="1:4" ht="18" customHeight="1">
      <c r="A33" s="116" t="s">
        <v>542</v>
      </c>
      <c r="B33" s="117" t="s">
        <v>543</v>
      </c>
      <c r="C33" s="75" t="s">
        <v>544</v>
      </c>
      <c r="D33" s="30"/>
    </row>
    <row r="34" spans="1:4" ht="18" customHeight="1">
      <c r="A34" s="116" t="s">
        <v>545</v>
      </c>
      <c r="B34" s="117" t="s">
        <v>546</v>
      </c>
      <c r="C34" s="75" t="s">
        <v>544</v>
      </c>
      <c r="D34" s="30"/>
    </row>
    <row r="35" spans="1:4" ht="18" customHeight="1">
      <c r="A35" s="116" t="s">
        <v>547</v>
      </c>
      <c r="B35" s="117" t="s">
        <v>548</v>
      </c>
      <c r="C35" s="75" t="s">
        <v>544</v>
      </c>
      <c r="D35" s="30"/>
    </row>
    <row r="36" spans="1:4" ht="18" customHeight="1">
      <c r="A36" s="116" t="s">
        <v>549</v>
      </c>
      <c r="B36" s="117" t="s">
        <v>550</v>
      </c>
      <c r="C36" s="75" t="s">
        <v>544</v>
      </c>
      <c r="D36" s="30"/>
    </row>
    <row r="37" spans="1:4" ht="18" customHeight="1">
      <c r="A37" s="116" t="s">
        <v>551</v>
      </c>
      <c r="B37" s="117" t="s">
        <v>552</v>
      </c>
      <c r="C37" s="75" t="s">
        <v>544</v>
      </c>
      <c r="D37" s="30"/>
    </row>
    <row r="38" spans="1:4" ht="18" customHeight="1">
      <c r="A38" s="116" t="s">
        <v>553</v>
      </c>
      <c r="B38" s="117" t="s">
        <v>554</v>
      </c>
      <c r="C38" s="75" t="s">
        <v>555</v>
      </c>
      <c r="D38" s="30"/>
    </row>
    <row r="39" spans="1:4" ht="16" customHeight="1">
      <c r="A39" s="110" t="s">
        <v>556</v>
      </c>
      <c r="B39" s="110"/>
      <c r="C39" s="110"/>
      <c r="D39" s="110"/>
    </row>
    <row r="40" spans="1:4" ht="18" customHeight="1">
      <c r="A40" s="116" t="s">
        <v>557</v>
      </c>
      <c r="B40" s="117" t="s">
        <v>558</v>
      </c>
      <c r="C40" s="75" t="s">
        <v>559</v>
      </c>
      <c r="D40" s="30"/>
    </row>
    <row r="41" spans="1:4" ht="18" customHeight="1">
      <c r="A41" s="116" t="s">
        <v>560</v>
      </c>
      <c r="B41" s="117" t="s">
        <v>561</v>
      </c>
      <c r="C41" s="75" t="s">
        <v>562</v>
      </c>
      <c r="D41" s="30"/>
    </row>
    <row r="42" spans="1:4" ht="18" customHeight="1">
      <c r="A42" s="116" t="s">
        <v>563</v>
      </c>
      <c r="B42" s="117" t="s">
        <v>564</v>
      </c>
      <c r="C42" s="75" t="s">
        <v>565</v>
      </c>
      <c r="D42" s="30"/>
    </row>
    <row r="43" spans="1:4" ht="16" customHeight="1">
      <c r="A43" s="110" t="s">
        <v>566</v>
      </c>
      <c r="B43" s="110"/>
      <c r="C43" s="110"/>
      <c r="D43" s="110"/>
    </row>
    <row r="44" spans="1:4" ht="18" customHeight="1">
      <c r="A44" s="116" t="s">
        <v>567</v>
      </c>
      <c r="B44" s="117" t="s">
        <v>568</v>
      </c>
      <c r="C44" s="75" t="s">
        <v>569</v>
      </c>
      <c r="D44" s="30"/>
    </row>
    <row r="45" spans="1:4" ht="18" customHeight="1">
      <c r="A45" s="116" t="s">
        <v>570</v>
      </c>
      <c r="B45" s="117" t="s">
        <v>571</v>
      </c>
      <c r="C45" s="75" t="s">
        <v>569</v>
      </c>
      <c r="D45" s="30"/>
    </row>
    <row r="46" spans="1:4" ht="18" customHeight="1">
      <c r="A46" s="116" t="s">
        <v>572</v>
      </c>
      <c r="B46" s="117" t="s">
        <v>573</v>
      </c>
      <c r="C46" s="75" t="s">
        <v>569</v>
      </c>
      <c r="D46" s="30"/>
    </row>
    <row r="47" spans="1:4" ht="18" customHeight="1">
      <c r="A47" s="116" t="s">
        <v>574</v>
      </c>
      <c r="B47" s="117" t="s">
        <v>575</v>
      </c>
      <c r="C47" s="75" t="s">
        <v>576</v>
      </c>
      <c r="D47" s="30"/>
    </row>
  </sheetData>
  <sheetProtection sheet="1" objects="1" scenarios="1" formatColumns="0" formatRows="0"/>
  <mergeCells count="9">
    <mergeCell ref="A1:D1"/>
    <mergeCell ref="A3:D3"/>
    <mergeCell ref="A14:D14"/>
    <mergeCell ref="A21:D21"/>
    <mergeCell ref="A27:D27"/>
    <mergeCell ref="A28:D28"/>
    <mergeCell ref="A32:D32"/>
    <mergeCell ref="A39:D39"/>
    <mergeCell ref="A43:D43"/>
  </mergeCells>
  <hyperlinks>
    <hyperlink ref="B29" r:id="rId1"/>
    <hyperlink ref="B30" r:id="rId2"/>
    <hyperlink ref="B31" r:id="rId3"/>
    <hyperlink ref="B33" r:id="rId4"/>
    <hyperlink ref="B34" r:id="rId5"/>
    <hyperlink ref="B35" r:id="rId6"/>
    <hyperlink ref="B36" r:id="rId7"/>
    <hyperlink ref="B37" r:id="rId8"/>
    <hyperlink ref="B38" r:id="rId9"/>
    <hyperlink ref="B40" r:id="rId10"/>
    <hyperlink ref="B41" r:id="rId11"/>
    <hyperlink ref="B42" r:id="rId12"/>
    <hyperlink ref="B44" r:id="rId13"/>
    <hyperlink ref="B45" r:id="rId14"/>
    <hyperlink ref="B46" r:id="rId15"/>
    <hyperlink ref="B47" r:id="rId1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RAPPORT</vt:lpstr>
      <vt:lpstr>ETUDE</vt:lpstr>
      <vt:lpstr>SYNTHESE</vt:lpstr>
      <vt:lpstr>PROFIL</vt:lpstr>
      <vt:lpstr>PORTEFEUILLE</vt:lpstr>
      <vt:lpstr>FORMULE</vt:lpstr>
      <vt:lpstr>RAPPORT!Print_Area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2026-05-15T19:58:35Z</dcterms:created>
  <dcterms:modified xsi:type="dcterms:W3CDTF">2026-05-15T19:58:35Z</dcterms:modified>
</cp:coreProperties>
</file>