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<sst xmlns="http://schemas.openxmlformats.org/spreadsheetml/2006/main" count="449" uniqueCount="368">
  <si>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</si>
  <si>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</si>
  <si>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</si>
  <si>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</si>
  <si>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</si>
  <si>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</si>
  <si>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</si>
  <si>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</si>
  <si>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</si>
  <si>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</si>
  <si>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</si>
  <si>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</si>
  <si>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</si>
  <si>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</si>
  <si>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</si>
  <si>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</si>
  <si>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</si>
  <si>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</si>
  <si>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</si>
  <si>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</si>
  <si>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</si>
  <si>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</si>
  <si>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</si>
  <si>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</si>
  <si>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</si>
  <si>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</si>
  <si>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</si>
  <si>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</si>
  <si>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</si>
  <si>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</si>
  <si>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</si>
  <si>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</si>
  <si>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</si>
  <si>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</si>
  <si>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</si>
  <si>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</si>
  <si>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</si>
  <si>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</si>
  <si>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</si>
  <si>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</si>
  <si>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</si>
  <si>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</si>
  <si>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</si>
  <si>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</si>
  <si>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</si>
  <si>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</si>
  <si>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</si>
  <si>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</si>
  <si>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</si>
  <si>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</si>
  <si>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BRUT (FCFA)</t>
  </si>
  <si>
    <t>Dividende NET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</si>
  <si>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</si>
  <si>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</si>
  <si>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</si>
  <si>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</si>
  <si>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</si>
  <si>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</si>
  <si>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</si>
  <si>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</si>
  <si>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</si>
  <si>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</si>
  <si>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</si>
  <si>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</si>
  <si>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</si>
  <si>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</si>
  <si>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</si>
  <si>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</si>
  <si>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</si>
  <si>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</si>
  <si>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</si>
  <si>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</si>
  <si>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</si>
  <si>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</si>
  <si>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</si>
  <si>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</si>
  <si>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</si>
  <si>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</si>
  <si>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</si>
  <si>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</si>
  <si>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</si>
  <si>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</si>
  <si>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</si>
  <si>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</si>
  <si>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</si>
  <si>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</si>
  <si>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</si>
  <si>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</si>
  <si>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</si>
  <si>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</si>
  <si>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</si>
  <si>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</si>
  <si>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</si>
  <si>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</si>
  <si>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</si>
  <si>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</si>
  <si>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</si>
  <si>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</si>
  <si>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</si>
  <si>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</si>
  <si>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</si>
  <si>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</si>
  <si>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</si>
  <si>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</si>
  <si>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</si>
  <si>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</si>
  <si>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</si>
  <si>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</si>
  <si>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</si>
  <si>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</si>
  <si>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</si>
  <si>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</si>
  <si>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</si>
  <si>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</si>
  <si>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</si>
  <si>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</si>
  <si>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</si>
  <si>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</si>
  <si>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</si>
  <si>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</si>
  <si>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</si>
  <si>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</si>
  <si>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</si>
  <si>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</si>
  <si>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</si>
  <si>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</si>
  <si>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</si>
  <si>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</si>
  <si>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</si>
  <si>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</si>
  <si>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</si>
  <si>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</si>
  <si>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</si>
  <si>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</si>
  <si>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</si>
  <si>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</si>
  <si>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</si>
  <si>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</si>
  <si>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</si>
  <si>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</si>
  <si>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</si>
  <si>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</si>
  <si>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</si>
  <si>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</si>
  <si>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</si>
  <si>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</si>
  <si>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</si>
  <si>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</si>
  <si>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</si>
  <si>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</si>
  <si>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</si>
  <si>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</si>
  <si>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</si>
  <si>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</si>
  <si>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</si>
  <si>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</si>
  <si>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</si>
  <si>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</si>
  <si>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</si>
  <si>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</si>
  <si>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</si>
  <si>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</si>
  <si>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</si>
  <si>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</si>
  <si>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</si>
  <si>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</si>
  <si>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</si>
  <si>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</si>
  <si>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</si>
  <si>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</si>
  <si>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</si>
  <si>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</si>
  <si>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</si>
  <si>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</si>
  <si>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</si>
  <si>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</si>
  <si>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</si>
  <si>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</si>
  <si>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</si>
  <si>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</si>
  <si>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</si>
  <si>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</si>
  <si>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</si>
  <si>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</si>
  <si>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</si>
  <si>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</si>
  <si>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</si>
  <si>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</si>
  <si>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</si>
  <si>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</si>
  <si>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</si>
  <si>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</si>
  <si>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</si>
  <si>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</si>
  <si>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</si>
  <si>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</si>
  <si>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</si>
  <si>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Banques ~10 | Industrie ~12-14 | Distribution ~15 | Telecom 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</si>
  <si>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</si>
  <si>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</si>
  <si>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</si>
  <si>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</si>
  <si>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</si>
  <si>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</si>
  <si>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</si>
  <si>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</si>
  <si>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</si>
  <si>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</si>
  <si>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</si>
  <si>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</si>
  <si>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</si>
  <si>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</si>
  <si>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</si>
  <si>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</si>
  <si>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</si>
  <si>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</si>
  <si>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</si>
  <si>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</si>
  <si>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</si>
  <si>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</si>
  <si>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</si>
  <si>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TABLEAU DE BORD — SYNTHESE DE L'ANALYSE</t>
  </si>
  <si>
    <t>Societe : [NOM]   |   Date : [JJ/MM/AAAA]   |   Prix analyse : [FCFA]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</si>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</sst>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3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8"/>
      <color rgb="FFDC26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D1B2A"/>
      <name val="Calibri"/>
      <family val="2"/>
      <scheme val="minor"/>
    </font>
    <font>
      <sz val="9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1E293B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9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9"/>
      <color rgb="FF1F3864"/>
      <name val="Calibri"/>
      <family val="2"/>
      <scheme val="minor"/>
    </font>
    <font>
      <i/>
      <sz val="9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9"/>
      <color rgb="FF1F3864"/>
      <name val="Calibri"/>
      <family val="2"/>
      <scheme val="minor"/>
    </font>
    <font>
      <i/>
      <sz val="9"/>
      <color rgb="FF40404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sz val="9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 applyProtection="1">
      <alignment horizontal="right" vertical="center"/>
      <protection locked="0"/>
    </xf>
    <xf numFmtId="0" fontId="7" fillId="3" borderId="2" xfId="0" applyFont="1" applyFill="1" applyBorder="1" applyAlignment="1">
      <alignment horizontal="left" vertical="center"/>
    </xf>
    <xf numFmtId="167" fontId="6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8" borderId="2" xfId="0" applyNumberFormat="1" applyFont="1" applyFill="1" applyBorder="1" applyAlignment="1">
      <alignment horizontal="right" vertical="center"/>
    </xf>
    <xf numFmtId="167" fontId="5" fillId="7" borderId="2" xfId="0" applyNumberFormat="1" applyFont="1" applyFill="1" applyBorder="1" applyAlignment="1" applyProtection="1">
      <alignment horizontal="right" vertical="center"/>
      <protection locked="0"/>
    </xf>
    <xf numFmtId="0" fontId="8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 applyProtection="1">
      <alignment horizontal="right" vertical="center"/>
      <protection locked="0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167" fontId="9" fillId="9" borderId="2" xfId="0" applyNumberFormat="1" applyFont="1" applyFill="1" applyBorder="1" applyAlignment="1">
      <alignment horizontal="right" vertical="center"/>
    </xf>
    <xf numFmtId="164" fontId="9" fillId="9" borderId="2" xfId="0" applyNumberFormat="1" applyFont="1" applyFill="1" applyBorder="1" applyAlignment="1">
      <alignment horizontal="right" vertical="center"/>
    </xf>
    <xf numFmtId="165" fontId="9" fillId="9" borderId="2" xfId="0" applyNumberFormat="1" applyFont="1" applyFill="1" applyBorder="1" applyAlignment="1">
      <alignment horizontal="right" vertical="center"/>
    </xf>
    <xf numFmtId="0" fontId="10" fillId="9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 applyProtection="1">
      <alignment horizontal="left" vertical="top" wrapText="1"/>
      <protection locked="0"/>
    </xf>
    <xf numFmtId="1" fontId="9" fillId="9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 wrapText="1"/>
    </xf>
    <xf numFmtId="1" fontId="10" fillId="9" borderId="2" xfId="0" applyNumberFormat="1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0" fontId="13" fillId="7" borderId="1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center" vertical="center"/>
    </xf>
    <xf numFmtId="167" fontId="10" fillId="9" borderId="2" xfId="0" applyNumberFormat="1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left" vertical="center" wrapText="1"/>
    </xf>
    <xf numFmtId="165" fontId="6" fillId="7" borderId="2" xfId="0" applyNumberFormat="1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>
      <alignment horizontal="right" vertical="center"/>
    </xf>
    <xf numFmtId="1" fontId="16" fillId="8" borderId="2" xfId="0" applyNumberFormat="1" applyFont="1" applyFill="1" applyBorder="1" applyAlignment="1">
      <alignment horizontal="center" vertical="center"/>
    </xf>
    <xf numFmtId="1" fontId="17" fillId="8" borderId="3" xfId="0" applyNumberFormat="1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left" vertical="center"/>
    </xf>
    <xf numFmtId="165" fontId="20" fillId="13" borderId="2" xfId="0" applyNumberFormat="1" applyFont="1" applyFill="1" applyBorder="1" applyAlignment="1">
      <alignment horizontal="right" vertical="center"/>
    </xf>
    <xf numFmtId="0" fontId="21" fillId="13" borderId="2" xfId="0" applyFont="1" applyFill="1" applyBorder="1" applyAlignment="1">
      <alignment horizontal="center" vertical="center"/>
    </xf>
    <xf numFmtId="1" fontId="9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>
      <alignment horizontal="left" vertical="center"/>
    </xf>
    <xf numFmtId="1" fontId="22" fillId="9" borderId="2" xfId="0" applyNumberFormat="1" applyFont="1" applyFill="1" applyBorder="1" applyAlignment="1">
      <alignment horizontal="center" vertical="center"/>
    </xf>
    <xf numFmtId="0" fontId="23" fillId="13" borderId="2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left" vertical="center"/>
    </xf>
    <xf numFmtId="1" fontId="24" fillId="9" borderId="2" xfId="0" applyNumberFormat="1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168" fontId="9" fillId="9" borderId="2" xfId="0" applyNumberFormat="1" applyFont="1" applyFill="1" applyBorder="1" applyAlignment="1">
      <alignment horizontal="right" vertical="center"/>
    </xf>
    <xf numFmtId="0" fontId="9" fillId="3" borderId="2" xfId="0" applyFont="1" applyFill="1" applyBorder="1" applyAlignment="1">
      <alignment horizontal="center" vertical="center"/>
    </xf>
    <xf numFmtId="1" fontId="25" fillId="9" borderId="2" xfId="0" applyNumberFormat="1" applyFont="1" applyFill="1" applyBorder="1" applyAlignment="1">
      <alignment horizontal="center" vertical="center"/>
    </xf>
    <xf numFmtId="0" fontId="26" fillId="15" borderId="2" xfId="0" applyFont="1" applyFill="1" applyBorder="1" applyAlignment="1">
      <alignment horizontal="center" vertical="center"/>
    </xf>
    <xf numFmtId="0" fontId="27" fillId="9" borderId="2" xfId="0" applyFont="1" applyFill="1" applyBorder="1" applyAlignment="1">
      <alignment horizontal="center" vertical="center"/>
    </xf>
    <xf numFmtId="1" fontId="28" fillId="13" borderId="3" xfId="0" applyNumberFormat="1" applyFont="1" applyFill="1" applyBorder="1" applyAlignment="1">
      <alignment horizontal="center" vertical="center"/>
    </xf>
    <xf numFmtId="0" fontId="29" fillId="13" borderId="3" xfId="0" applyFont="1" applyFill="1" applyBorder="1" applyAlignment="1" applyProtection="1">
      <alignment horizontal="center" vertical="center" wrapText="1"/>
      <protection locked="0"/>
    </xf>
    <xf numFmtId="165" fontId="30" fillId="13" borderId="2" xfId="0" applyNumberFormat="1" applyFont="1" applyFill="1" applyBorder="1" applyAlignment="1">
      <alignment horizontal="center" vertical="center"/>
    </xf>
    <xf numFmtId="0" fontId="15" fillId="13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20" fillId="10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1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22</v>
      </c>
      <c r="G16" s="7">
        <f>IFERROR(AVERAGE(D16:D20),"")</f>
        <v>0</v>
      </c>
    </row>
    <row r="17" spans="1:8">
      <c r="A17" s="5" t="s">
        <v>5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6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7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23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/>
      <c r="F23" s="4"/>
      <c r="G23" s="4"/>
      <c r="H23" s="4"/>
    </row>
    <row r="24" spans="1:8">
      <c r="A24" s="5" t="s">
        <v>29</v>
      </c>
      <c r="B24" s="13"/>
      <c r="C24" s="14" t="s">
        <v>30</v>
      </c>
      <c r="D24" s="14"/>
      <c r="E24" s="14"/>
      <c r="F24" s="14"/>
      <c r="G24" s="14"/>
    </row>
    <row r="25" spans="1:8">
      <c r="A25" s="5" t="s">
        <v>31</v>
      </c>
      <c r="B25" s="15"/>
      <c r="C25" s="14" t="s">
        <v>32</v>
      </c>
      <c r="D25" s="14"/>
      <c r="E25" s="14"/>
      <c r="F25" s="14"/>
      <c r="G25" s="14"/>
    </row>
    <row r="26" spans="1:8">
      <c r="A26" s="5" t="s">
        <v>33</v>
      </c>
      <c r="B26" s="13"/>
      <c r="C26" s="14" t="s">
        <v>34</v>
      </c>
      <c r="D26" s="14"/>
      <c r="E26" s="14"/>
      <c r="F26" s="14"/>
      <c r="G26" s="14"/>
    </row>
    <row r="27" spans="1:8">
      <c r="A27" s="5" t="s">
        <v>35</v>
      </c>
      <c r="B27" s="13"/>
      <c r="C27" s="14" t="s">
        <v>36</v>
      </c>
      <c r="D27" s="14"/>
      <c r="E27" s="14"/>
      <c r="F27" s="14"/>
      <c r="G27" s="14"/>
    </row>
    <row r="28" spans="1:8">
      <c r="A28" s="5" t="s">
        <v>37</v>
      </c>
      <c r="B28" s="13"/>
      <c r="C28" s="14" t="s">
        <v>38</v>
      </c>
      <c r="D28" s="14"/>
      <c r="E28" s="14"/>
      <c r="F28" s="14"/>
      <c r="G28" s="14"/>
    </row>
    <row r="29" spans="1:8" ht="5" customHeight="1"/>
    <row r="30" spans="1:8">
      <c r="A30" s="5" t="s">
        <v>39</v>
      </c>
      <c r="B30" s="7">
        <f>IFERROR(B24/B25,"")</f>
        <v>0</v>
      </c>
      <c r="C30" s="11" t="s">
        <v>40</v>
      </c>
      <c r="D30" s="10">
        <f>IFERROR(IF(B30&gt;15,"Surevalue",IF(B30&lt;9,"Sous-evalue","Zone normale (9-15)")),"-")</f>
        <v>0</v>
      </c>
    </row>
    <row r="31" spans="1:8">
      <c r="A31" s="5" t="s">
        <v>41</v>
      </c>
      <c r="B31" s="16">
        <f>IFERROR(B26/B28,"")</f>
        <v>0</v>
      </c>
      <c r="C31" s="11" t="s">
        <v>42</v>
      </c>
      <c r="D31" s="10">
        <f>IFERROR(IF(B24&gt;B31,"Action surevaluee vs VMC","Action sous-evaluee vs VMC"),"-")</f>
        <v>0</v>
      </c>
    </row>
    <row r="32" spans="1:8">
      <c r="A32" s="5" t="s">
        <v>43</v>
      </c>
      <c r="B32" s="7">
        <f>IFERROR(B27/B26,"")</f>
        <v>0</v>
      </c>
      <c r="C32" s="11" t="s">
        <v>44</v>
      </c>
      <c r="D32" s="10">
        <f>IFERROR(IF(B32&lt;1,"Decote comptable",IF(B32&lt;2,"Normal","Prime elevee")),"-")</f>
        <v>0</v>
      </c>
    </row>
    <row r="33" spans="1:8">
      <c r="A33" s="5" t="s">
        <v>45</v>
      </c>
      <c r="B33" s="7">
        <f>IFERROR(F12*1000000/B26*100,"")</f>
        <v>0</v>
      </c>
      <c r="C33" s="11" t="s">
        <v>46</v>
      </c>
      <c r="D33" s="10">
        <f>IFERROR(IF(B33&gt;=15,"Excellent",IF(B33&gt;=10,"Bon",IF(B33&gt;=5,"Moyen","Faible"))),"-")</f>
        <v>0</v>
      </c>
    </row>
    <row r="34" spans="1:8">
      <c r="A34" s="5" t="s">
        <v>47</v>
      </c>
      <c r="B34" s="7">
        <f>IFERROR(B30*B32,"")</f>
        <v>0</v>
      </c>
      <c r="C34" s="11" t="s">
        <v>48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49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50</v>
      </c>
      <c r="C37" s="4" t="s">
        <v>51</v>
      </c>
      <c r="D37" s="4" t="s">
        <v>52</v>
      </c>
      <c r="E37" s="4" t="s">
        <v>53</v>
      </c>
      <c r="F37" s="4" t="s">
        <v>54</v>
      </c>
      <c r="G37" s="4" t="s">
        <v>55</v>
      </c>
    </row>
    <row r="38" spans="1:8">
      <c r="A38" s="5" t="s">
        <v>4</v>
      </c>
      <c r="B38" s="17"/>
      <c r="C38" s="16">
        <f>IFERROR(B38*0.85,"")</f>
        <v>0</v>
      </c>
      <c r="D38" s="17"/>
      <c r="E38" s="7">
        <f>IFERROR(B38/D38*100,"")</f>
        <v>0</v>
      </c>
      <c r="F38" s="7">
        <f>IFERROR(B38/B24*100,"")</f>
        <v>0</v>
      </c>
      <c r="G38" s="12"/>
    </row>
    <row r="39" spans="1:8">
      <c r="A39" s="5" t="s">
        <v>5</v>
      </c>
      <c r="B39" s="17"/>
      <c r="C39" s="16">
        <f>IFERROR(B39*0.85,"")</f>
        <v>0</v>
      </c>
      <c r="D39" s="17"/>
      <c r="E39" s="7">
        <f>IFERROR(B39/D39*100,"")</f>
        <v>0</v>
      </c>
      <c r="F39" s="7">
        <f>IFERROR(B39/B24*100,"")</f>
        <v>0</v>
      </c>
      <c r="G39" s="7">
        <f>IFERROR((B39-B38)/ABS(B38)*100,"")</f>
        <v>0</v>
      </c>
    </row>
    <row r="40" spans="1:8">
      <c r="A40" s="5" t="s">
        <v>6</v>
      </c>
      <c r="B40" s="17"/>
      <c r="C40" s="16">
        <f>IFERROR(B40*0.85,"")</f>
        <v>0</v>
      </c>
      <c r="D40" s="17"/>
      <c r="E40" s="7">
        <f>IFERROR(B40/D40*100,"")</f>
        <v>0</v>
      </c>
      <c r="F40" s="7">
        <f>IFERROR(B40/B24*100,"")</f>
        <v>0</v>
      </c>
      <c r="G40" s="7">
        <f>IFERROR((B40-B39)/ABS(B39)*100,"")</f>
        <v>0</v>
      </c>
    </row>
    <row r="41" spans="1:8">
      <c r="A41" s="5" t="s">
        <v>7</v>
      </c>
      <c r="B41" s="17"/>
      <c r="C41" s="16">
        <f>IFERROR(B41*0.85,"")</f>
        <v>0</v>
      </c>
      <c r="D41" s="17"/>
      <c r="E41" s="7">
        <f>IFERROR(B41/D41*100,"")</f>
        <v>0</v>
      </c>
      <c r="F41" s="7">
        <f>IFERROR(B41/B24*100,"")</f>
        <v>0</v>
      </c>
      <c r="G41" s="7">
        <f>IFERROR((B41-B40)/ABS(B40)*100,"")</f>
        <v>0</v>
      </c>
    </row>
    <row r="42" spans="1:8">
      <c r="A42" s="5" t="s">
        <v>23</v>
      </c>
      <c r="B42" s="17"/>
      <c r="C42" s="16">
        <f>IFERROR(B42*0.85,"")</f>
        <v>0</v>
      </c>
      <c r="D42" s="17"/>
      <c r="E42" s="7">
        <f>IFERROR(B42/D42*100,"")</f>
        <v>0</v>
      </c>
      <c r="F42" s="7">
        <f>IFERROR(B42/B24*100,"")</f>
        <v>0</v>
      </c>
      <c r="G42" s="7">
        <f>IFERROR((B42-B41)/ABS(B41)*100,"")</f>
        <v>0</v>
      </c>
    </row>
    <row r="43" spans="1:8">
      <c r="A43" s="18" t="s">
        <v>56</v>
      </c>
      <c r="B43" s="16">
        <f>SUM(B38:B42)</f>
        <v>0</v>
      </c>
      <c r="C43" s="16">
        <f>IFERROR(B43*0.85,"")</f>
        <v>0</v>
      </c>
      <c r="D43" s="12"/>
      <c r="E43" s="7">
        <f>IFERROR(AVERAGE(E38:E42),"")</f>
        <v>0</v>
      </c>
      <c r="F43" s="7">
        <f>IFERROR(AVERAGE(F38:F42),"")</f>
        <v>0</v>
      </c>
      <c r="G43" s="12"/>
    </row>
    <row r="44" spans="1:8" ht="5" customHeight="1"/>
    <row r="45" spans="1:8" ht="20" customHeight="1">
      <c r="A45" s="3" t="s">
        <v>57</v>
      </c>
      <c r="B45" s="3"/>
      <c r="C45" s="3"/>
      <c r="D45" s="3"/>
      <c r="E45" s="3"/>
      <c r="F45" s="3"/>
      <c r="G45" s="3"/>
      <c r="H45" s="3"/>
    </row>
    <row r="46" spans="1:8">
      <c r="A46" s="4" t="s">
        <v>58</v>
      </c>
      <c r="B46" s="4" t="s">
        <v>59</v>
      </c>
      <c r="C46" s="4" t="s">
        <v>60</v>
      </c>
      <c r="D46" s="4" t="s">
        <v>61</v>
      </c>
    </row>
    <row r="47" spans="1:8">
      <c r="A47" s="5" t="s">
        <v>62</v>
      </c>
      <c r="B47" s="6"/>
      <c r="C47" s="6"/>
      <c r="D47" s="7">
        <f>IFERROR((C47-B47)/ABS(B47)*100,"")</f>
        <v>0</v>
      </c>
    </row>
    <row r="48" spans="1:8">
      <c r="A48" s="5" t="s">
        <v>63</v>
      </c>
      <c r="B48" s="6"/>
      <c r="C48" s="6"/>
      <c r="D48" s="7">
        <f>IFERROR((C48-B48)/ABS(B48)*100,"")</f>
        <v>0</v>
      </c>
    </row>
    <row r="49" spans="1:8">
      <c r="A49" s="5" t="s">
        <v>64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65</v>
      </c>
      <c r="B51" s="6"/>
      <c r="C51" s="6"/>
      <c r="D51" s="7">
        <f>IFERROR((C51-B51)/ABS(B51)*100,"")</f>
        <v>0</v>
      </c>
    </row>
    <row r="52" spans="1:8">
      <c r="A52" s="18" t="s">
        <v>66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67</v>
      </c>
      <c r="B54" s="3"/>
      <c r="C54" s="3"/>
      <c r="D54" s="3"/>
      <c r="E54" s="3"/>
      <c r="F54" s="3"/>
      <c r="G54" s="3"/>
      <c r="H54" s="3"/>
    </row>
    <row r="55" spans="1:8">
      <c r="A55" s="4" t="s">
        <v>68</v>
      </c>
      <c r="B55" s="4" t="s">
        <v>69</v>
      </c>
      <c r="C55" s="4" t="s">
        <v>70</v>
      </c>
      <c r="D55" s="4" t="s">
        <v>71</v>
      </c>
    </row>
    <row r="56" spans="1:8">
      <c r="A56" s="5" t="s">
        <v>72</v>
      </c>
      <c r="B56" s="19" t="s">
        <v>73</v>
      </c>
      <c r="C56" s="20" t="s">
        <v>74</v>
      </c>
      <c r="D56" s="20"/>
    </row>
    <row r="57" spans="1:8">
      <c r="A57" s="5" t="s">
        <v>75</v>
      </c>
      <c r="B57" s="19" t="s">
        <v>76</v>
      </c>
      <c r="C57" s="20" t="s">
        <v>74</v>
      </c>
      <c r="D57" s="20"/>
    </row>
    <row r="58" spans="1:8">
      <c r="A58" s="5" t="s">
        <v>77</v>
      </c>
      <c r="B58" s="19"/>
      <c r="C58" s="20" t="s">
        <v>78</v>
      </c>
      <c r="D58" s="20"/>
    </row>
    <row r="59" spans="1:8">
      <c r="A59" s="5" t="s">
        <v>79</v>
      </c>
      <c r="B59" s="19"/>
      <c r="C59" s="20" t="s">
        <v>78</v>
      </c>
      <c r="D59" s="20"/>
    </row>
    <row r="60" spans="1:8" ht="5" customHeight="1"/>
    <row r="61" spans="1:8" ht="20" customHeight="1">
      <c r="A61" s="3" t="s">
        <v>80</v>
      </c>
      <c r="B61" s="3"/>
      <c r="C61" s="3"/>
      <c r="D61" s="3"/>
      <c r="E61" s="3"/>
      <c r="F61" s="3"/>
      <c r="G61" s="3"/>
      <c r="H61" s="3"/>
    </row>
    <row r="62" spans="1:8">
      <c r="A62" s="4" t="s">
        <v>81</v>
      </c>
      <c r="B62" s="4" t="s">
        <v>82</v>
      </c>
      <c r="C62" s="4" t="s">
        <v>83</v>
      </c>
      <c r="D62" s="4"/>
    </row>
    <row r="63" spans="1:8">
      <c r="A63" s="5" t="s">
        <v>84</v>
      </c>
      <c r="B63" s="6"/>
      <c r="C63" s="21"/>
      <c r="D63" s="12"/>
    </row>
    <row r="64" spans="1:8">
      <c r="A64" s="5" t="s">
        <v>85</v>
      </c>
      <c r="B64" s="6"/>
      <c r="C64" s="21"/>
      <c r="D64" s="12"/>
    </row>
    <row r="65" spans="1:8">
      <c r="A65" s="5" t="s">
        <v>86</v>
      </c>
      <c r="B65" s="22">
        <f>IFERROR(B64*1.014,"")</f>
        <v>0</v>
      </c>
      <c r="C65" s="21"/>
      <c r="D65" s="12"/>
    </row>
    <row r="66" spans="1:8">
      <c r="A66" s="5" t="s">
        <v>87</v>
      </c>
      <c r="B66" s="22">
        <f>IFERROR(B63/B65,"")</f>
        <v>0</v>
      </c>
      <c r="C66" s="21"/>
      <c r="D66" s="12"/>
    </row>
    <row r="67" spans="1:8">
      <c r="A67" s="5" t="s">
        <v>88</v>
      </c>
      <c r="B67" s="23">
        <f>IFERROR(B24,"")</f>
        <v>0</v>
      </c>
      <c r="C67" s="21"/>
      <c r="D67" s="12"/>
    </row>
    <row r="68" spans="1:8">
      <c r="A68" s="5" t="s">
        <v>89</v>
      </c>
      <c r="B68" s="22">
        <f>IFERROR(B67-(B67*0.014),"")</f>
        <v>0</v>
      </c>
      <c r="C68" s="21"/>
      <c r="D68" s="12"/>
    </row>
    <row r="69" spans="1:8">
      <c r="A69" s="5" t="s">
        <v>90</v>
      </c>
      <c r="B69" s="22">
        <f>IFERROR(B68-B65,"")</f>
        <v>0</v>
      </c>
      <c r="C69" s="21"/>
      <c r="D69" s="12"/>
    </row>
    <row r="70" spans="1:8">
      <c r="A70" s="5" t="s">
        <v>91</v>
      </c>
      <c r="B70" s="23">
        <f>IFERROR(B69*B66,"")</f>
        <v>0</v>
      </c>
      <c r="C70" s="21"/>
      <c r="D70" s="12"/>
    </row>
    <row r="71" spans="1:8">
      <c r="A71" s="5" t="s">
        <v>92</v>
      </c>
      <c r="B71" s="17"/>
      <c r="C71" s="21"/>
      <c r="D71" s="12"/>
    </row>
    <row r="72" spans="1:8">
      <c r="A72" s="5" t="s">
        <v>93</v>
      </c>
      <c r="B72" s="23">
        <f>IFERROR(B71*B66,"")</f>
        <v>0</v>
      </c>
      <c r="C72" s="21"/>
      <c r="D72" s="12"/>
    </row>
    <row r="73" spans="1:8">
      <c r="A73" s="18" t="s">
        <v>94</v>
      </c>
      <c r="B73" s="23">
        <f>IFERROR(B70+B72,"")</f>
        <v>0</v>
      </c>
      <c r="C73" s="21"/>
      <c r="D73" s="12"/>
    </row>
    <row r="74" spans="1:8">
      <c r="A74" s="18" t="s">
        <v>95</v>
      </c>
      <c r="B74" s="24">
        <f>IFERROR(B73/B63*100,"")</f>
        <v>0</v>
      </c>
      <c r="C74" s="21"/>
      <c r="D74" s="12"/>
    </row>
    <row r="75" spans="1:8">
      <c r="A75" s="18" t="s">
        <v>96</v>
      </c>
      <c r="B75" s="25">
        <f>IFERROR(IF(B74&gt;C74,"MARCHE BOURSIER","EPARGNE"),"Saisir les donnees")</f>
        <v>0</v>
      </c>
      <c r="C75" s="14" t="s">
        <v>97</v>
      </c>
      <c r="D75" s="12"/>
    </row>
    <row r="76" spans="1:8" ht="5" customHeight="1"/>
    <row r="77" spans="1:8" ht="20" customHeight="1">
      <c r="A77" s="3" t="s">
        <v>98</v>
      </c>
      <c r="B77" s="3"/>
      <c r="C77" s="3"/>
      <c r="D77" s="3"/>
      <c r="E77" s="3"/>
      <c r="F77" s="3"/>
      <c r="G77" s="3"/>
      <c r="H77" s="3"/>
    </row>
    <row r="78" spans="1:8" ht="40" customHeight="1">
      <c r="A78" s="26"/>
      <c r="B78" s="26"/>
      <c r="C78" s="26"/>
      <c r="D78" s="26"/>
      <c r="E78" s="26"/>
      <c r="F78" s="26"/>
      <c r="G78" s="26"/>
      <c r="H78" s="26"/>
    </row>
    <row r="79" spans="1:8">
      <c r="A79" s="26"/>
      <c r="B79" s="26"/>
      <c r="C79" s="26"/>
      <c r="D79" s="26"/>
      <c r="E79" s="26"/>
      <c r="F79" s="26"/>
      <c r="G79" s="26"/>
      <c r="H79" s="26"/>
    </row>
    <row r="80" spans="1:8">
      <c r="A80" s="26"/>
      <c r="B80" s="26"/>
      <c r="C80" s="26"/>
      <c r="D80" s="26"/>
      <c r="E80" s="26"/>
      <c r="F80" s="26"/>
      <c r="G80" s="26"/>
      <c r="H80" s="26"/>
    </row>
    <row r="81" spans="1:8" ht="22" customHeight="1">
      <c r="A81" s="1" t="s">
        <v>99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100</v>
      </c>
      <c r="B84" s="3"/>
      <c r="C84" s="3"/>
      <c r="D84" s="3"/>
      <c r="E84" s="3"/>
      <c r="F84" s="3"/>
      <c r="G84" s="3"/>
      <c r="H84" s="3"/>
    </row>
    <row r="85" spans="1:8">
      <c r="A85" s="4" t="s">
        <v>68</v>
      </c>
      <c r="B85" s="4" t="s">
        <v>101</v>
      </c>
      <c r="C85" s="4" t="s">
        <v>102</v>
      </c>
      <c r="D85" s="4" t="s">
        <v>103</v>
      </c>
      <c r="E85" s="4" t="s">
        <v>104</v>
      </c>
    </row>
    <row r="86" spans="1:8">
      <c r="A86" s="5" t="s">
        <v>105</v>
      </c>
      <c r="B86" s="14" t="s">
        <v>106</v>
      </c>
      <c r="C86" s="21"/>
      <c r="D86" s="27">
        <f>IFERROR(IF(ISNUMBER(SEARCH("survente",B86)),1,IF(ISNUMBER(SEARCH("surachat",B86)),-1,0)),0)</f>
        <v>0</v>
      </c>
      <c r="E86" s="28" t="s">
        <v>107</v>
      </c>
    </row>
    <row r="87" spans="1:8">
      <c r="A87" s="5" t="s">
        <v>108</v>
      </c>
      <c r="B87" s="14" t="s">
        <v>106</v>
      </c>
      <c r="C87" s="21"/>
      <c r="D87" s="27">
        <f>IFERROR(IF(ISNUMBER(SEARCH("survente",B87)),1,IF(ISNUMBER(SEARCH("surachat",B87)),-1,0)),0)</f>
        <v>0</v>
      </c>
      <c r="E87" s="28" t="s">
        <v>109</v>
      </c>
    </row>
    <row r="88" spans="1:8">
      <c r="A88" s="5" t="s">
        <v>110</v>
      </c>
      <c r="B88" s="14" t="s">
        <v>106</v>
      </c>
      <c r="C88" s="21"/>
      <c r="D88" s="27">
        <f>IFERROR(IF(ISNUMBER(SEARCH("survente",B88)),1,IF(ISNUMBER(SEARCH("surachat",B88)),-1,0)),0)</f>
        <v>0</v>
      </c>
      <c r="E88" s="28" t="s">
        <v>111</v>
      </c>
    </row>
    <row r="89" spans="1:8">
      <c r="A89" s="5" t="s">
        <v>112</v>
      </c>
      <c r="B89" s="14" t="s">
        <v>106</v>
      </c>
      <c r="C89" s="21"/>
      <c r="D89" s="27">
        <f>IFERROR(IF(ISNUMBER(SEARCH("survente",B89)),1,IF(ISNUMBER(SEARCH("surachat",B89)),-1,0)),0)</f>
        <v>0</v>
      </c>
      <c r="E89" s="28" t="s">
        <v>113</v>
      </c>
    </row>
    <row r="90" spans="1:8">
      <c r="A90" s="5" t="s">
        <v>114</v>
      </c>
      <c r="B90" s="14" t="s">
        <v>106</v>
      </c>
      <c r="C90" s="21"/>
      <c r="D90" s="27">
        <f>IFERROR(IF(ISNUMBER(SEARCH("survente",B90)),1,IF(ISNUMBER(SEARCH("surachat",B90)),-1,0)),0)</f>
        <v>0</v>
      </c>
      <c r="E90" s="28" t="s">
        <v>115</v>
      </c>
    </row>
    <row r="91" spans="1:8">
      <c r="A91" s="18" t="s">
        <v>116</v>
      </c>
      <c r="B91" s="12"/>
      <c r="C91" s="12"/>
      <c r="D91" s="29">
        <f>SUM(D86:D90)</f>
        <v>0</v>
      </c>
      <c r="E91" s="30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117</v>
      </c>
      <c r="B93" s="3"/>
      <c r="C93" s="3"/>
      <c r="D93" s="3"/>
      <c r="E93" s="3"/>
      <c r="F93" s="3"/>
      <c r="G93" s="3"/>
      <c r="H93" s="3"/>
    </row>
    <row r="94" spans="1:8">
      <c r="A94" s="4" t="s">
        <v>118</v>
      </c>
      <c r="B94" s="4" t="s">
        <v>119</v>
      </c>
      <c r="C94" s="4" t="s">
        <v>120</v>
      </c>
      <c r="D94" s="4" t="s">
        <v>121</v>
      </c>
      <c r="E94" s="4" t="s">
        <v>122</v>
      </c>
    </row>
    <row r="95" spans="1:8">
      <c r="A95" s="5" t="s">
        <v>123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124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125</v>
      </c>
      <c r="B98" s="3"/>
      <c r="C98" s="3"/>
      <c r="D98" s="3"/>
      <c r="E98" s="3"/>
      <c r="F98" s="3"/>
      <c r="G98" s="3"/>
      <c r="H98" s="3"/>
    </row>
    <row r="99" spans="1:8">
      <c r="A99" s="4" t="s">
        <v>81</v>
      </c>
      <c r="B99" s="4" t="s">
        <v>69</v>
      </c>
      <c r="C99" s="4" t="s">
        <v>126</v>
      </c>
      <c r="D99" s="4" t="s">
        <v>28</v>
      </c>
    </row>
    <row r="100" spans="1:8">
      <c r="A100" s="5" t="s">
        <v>127</v>
      </c>
      <c r="B100" s="23">
        <f>B24</f>
        <v>0</v>
      </c>
      <c r="C100" s="20" t="s">
        <v>128</v>
      </c>
      <c r="D100" s="12"/>
    </row>
    <row r="101" spans="1:8">
      <c r="A101" s="5" t="s">
        <v>129</v>
      </c>
      <c r="B101" s="22">
        <f>B25</f>
        <v>0</v>
      </c>
      <c r="C101" s="20" t="s">
        <v>130</v>
      </c>
      <c r="D101" s="12"/>
    </row>
    <row r="102" spans="1:8">
      <c r="A102" s="5" t="s">
        <v>131</v>
      </c>
      <c r="B102" s="31"/>
      <c r="C102" s="20" t="s">
        <v>132</v>
      </c>
      <c r="D102" s="12"/>
    </row>
    <row r="103" spans="1:8">
      <c r="A103" s="5" t="s">
        <v>133</v>
      </c>
      <c r="B103" s="22">
        <f>IFERROR(B25*(1+B102/100),"")</f>
        <v>0</v>
      </c>
      <c r="C103" s="20" t="s">
        <v>134</v>
      </c>
      <c r="D103" s="12"/>
    </row>
    <row r="104" spans="1:8">
      <c r="A104" s="5" t="s">
        <v>135</v>
      </c>
      <c r="B104" s="24">
        <f>IFERROR(B24/B103,"")</f>
        <v>0</v>
      </c>
      <c r="C104" s="20" t="s">
        <v>136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137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2" t="s">
        <v>138</v>
      </c>
      <c r="B107" s="32"/>
      <c r="C107" s="32"/>
      <c r="D107" s="32"/>
      <c r="E107" s="32"/>
      <c r="F107" s="32"/>
      <c r="G107" s="32"/>
      <c r="H107" s="32"/>
    </row>
    <row r="108" spans="1:8">
      <c r="A108" s="4" t="s">
        <v>81</v>
      </c>
      <c r="B108" s="4" t="s">
        <v>69</v>
      </c>
      <c r="C108" s="4" t="s">
        <v>139</v>
      </c>
      <c r="D108" s="4" t="s">
        <v>28</v>
      </c>
    </row>
    <row r="109" spans="1:8">
      <c r="A109" s="5" t="s">
        <v>140</v>
      </c>
      <c r="B109" s="31"/>
      <c r="C109" s="20" t="s">
        <v>141</v>
      </c>
      <c r="D109" s="12"/>
    </row>
    <row r="110" spans="1:8">
      <c r="A110" s="5" t="s">
        <v>142</v>
      </c>
      <c r="B110" s="17"/>
      <c r="C110" s="20" t="s">
        <v>143</v>
      </c>
      <c r="D110" s="12"/>
    </row>
    <row r="111" spans="1:8">
      <c r="A111" s="5" t="s">
        <v>144</v>
      </c>
      <c r="B111" s="22">
        <f>IFERROR(IF(B110=0,"Aucun dividende",B110*(1+B109/100)),"")</f>
        <v>0</v>
      </c>
      <c r="C111" s="20" t="s">
        <v>145</v>
      </c>
      <c r="D111" s="12"/>
    </row>
    <row r="112" spans="1:8">
      <c r="A112" s="5" t="s">
        <v>146</v>
      </c>
      <c r="B112" s="31">
        <v>6.5</v>
      </c>
      <c r="C112" s="20" t="s">
        <v>147</v>
      </c>
      <c r="D112" s="12"/>
    </row>
    <row r="113" spans="1:8">
      <c r="A113" s="5" t="s">
        <v>148</v>
      </c>
      <c r="B113" s="22">
        <f>IFERROR(IF(B110=0,"N/A",100*B111/B112),"")</f>
        <v>0</v>
      </c>
      <c r="C113" s="20" t="s">
        <v>149</v>
      </c>
      <c r="D113" s="12"/>
    </row>
    <row r="114" spans="1:8">
      <c r="A114" s="5" t="s">
        <v>150</v>
      </c>
      <c r="B114" s="22">
        <f>IFERROR(IF(ISNUMBER(B113),B113*0.95,"N/A"),"")</f>
        <v>0</v>
      </c>
      <c r="C114" s="20" t="s">
        <v>151</v>
      </c>
      <c r="D114" s="12"/>
    </row>
    <row r="115" spans="1:8">
      <c r="A115" s="5" t="s">
        <v>152</v>
      </c>
      <c r="B115" s="22">
        <f>IFERROR(IF(ISNUMBER(B113),B113*1.05,"N/A"),"")</f>
        <v>0</v>
      </c>
      <c r="C115" s="20" t="s">
        <v>153</v>
      </c>
      <c r="D115" s="12"/>
    </row>
    <row r="116" spans="1:8">
      <c r="A116" s="5" t="s">
        <v>154</v>
      </c>
      <c r="B116" s="30">
        <f>IFERROR(IF(NOT(ISNUMBER(B113)),"PCD N/A - pas de dividende",IF(B24&lt;B114,"EN DESSOUS zone cible - Survente",IF(B24&gt;B115,"AU-DESSUS zone cible - Surachat","DANS LA ZONE CIBLE"))),"")</f>
        <v>0</v>
      </c>
      <c r="C116" s="20" t="s">
        <v>155</v>
      </c>
      <c r="D116" s="12"/>
    </row>
    <row r="117" spans="1:8" ht="5" customHeight="1"/>
    <row r="118" spans="1:8" ht="20" customHeight="1">
      <c r="A118" s="3" t="s">
        <v>156</v>
      </c>
      <c r="B118" s="3"/>
      <c r="C118" s="3"/>
      <c r="D118" s="3"/>
      <c r="E118" s="3"/>
      <c r="F118" s="3"/>
      <c r="G118" s="3"/>
      <c r="H118" s="3"/>
    </row>
    <row r="119" spans="1:8">
      <c r="A119" s="33" t="s">
        <v>157</v>
      </c>
      <c r="B119" s="33"/>
      <c r="C119" s="33"/>
      <c r="D119" s="33"/>
      <c r="E119" s="33"/>
      <c r="F119" s="33"/>
      <c r="G119" s="33"/>
      <c r="H119" s="33"/>
    </row>
    <row r="120" spans="1:8">
      <c r="A120" s="4" t="s">
        <v>81</v>
      </c>
      <c r="B120" s="4" t="s">
        <v>69</v>
      </c>
      <c r="C120" s="4" t="s">
        <v>158</v>
      </c>
      <c r="D120" s="4" t="s">
        <v>28</v>
      </c>
    </row>
    <row r="121" spans="1:8">
      <c r="A121" s="5" t="s">
        <v>159</v>
      </c>
      <c r="B121" s="17"/>
      <c r="C121" s="20" t="s">
        <v>160</v>
      </c>
      <c r="D121" s="12"/>
    </row>
    <row r="122" spans="1:8">
      <c r="A122" s="5" t="s">
        <v>161</v>
      </c>
      <c r="B122" s="31">
        <v>8</v>
      </c>
      <c r="C122" s="20" t="s">
        <v>162</v>
      </c>
      <c r="D122" s="12"/>
    </row>
    <row r="123" spans="1:8">
      <c r="A123" s="5" t="s">
        <v>163</v>
      </c>
      <c r="B123" s="31">
        <v>2</v>
      </c>
      <c r="C123" s="20" t="s">
        <v>164</v>
      </c>
      <c r="D123" s="12"/>
    </row>
    <row r="124" spans="1:8">
      <c r="A124" s="5" t="s">
        <v>165</v>
      </c>
      <c r="B124" s="34">
        <f>IFERROR(IF(B121=0,"Saisir D1",B121/((B122/100)-(B123/100))),"")</f>
        <v>0</v>
      </c>
      <c r="C124" s="20" t="s">
        <v>166</v>
      </c>
      <c r="D124" s="12"/>
    </row>
    <row r="125" spans="1:8">
      <c r="A125" s="5" t="s">
        <v>167</v>
      </c>
      <c r="B125" s="30">
        <f>IFERROR(IF(NOT(ISNUMBER(B124)),"Saisir D1",IF(B24&lt;B124*0.95,"Prix SOUS P0 - Opportunite achat",IF(B24&gt;B124*1.05,"Prix SUR P0 - Surevalue","Dans la zone P0"))),"")</f>
        <v>0</v>
      </c>
      <c r="C125" s="20" t="s">
        <v>155</v>
      </c>
      <c r="D125" s="12"/>
    </row>
    <row r="127" spans="1:8" ht="5" customHeight="1"/>
    <row r="128" spans="1:8" ht="20" customHeight="1">
      <c r="A128" s="3" t="s">
        <v>168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81</v>
      </c>
      <c r="B129" s="4" t="s">
        <v>69</v>
      </c>
      <c r="C129" s="4" t="s">
        <v>169</v>
      </c>
      <c r="D129" s="4" t="s">
        <v>28</v>
      </c>
    </row>
    <row r="130" spans="1:8">
      <c r="A130" s="5" t="s">
        <v>170</v>
      </c>
      <c r="B130" s="6"/>
      <c r="C130" s="20" t="s">
        <v>171</v>
      </c>
      <c r="D130" s="12"/>
    </row>
    <row r="131" spans="1:8">
      <c r="A131" s="5" t="s">
        <v>172</v>
      </c>
      <c r="B131" s="22">
        <f>IFERROR(B130*0.90,"")</f>
        <v>0</v>
      </c>
      <c r="C131" s="20" t="s">
        <v>173</v>
      </c>
      <c r="D131" s="12"/>
    </row>
    <row r="132" spans="1:8">
      <c r="A132" s="5" t="s">
        <v>174</v>
      </c>
      <c r="B132" s="6"/>
      <c r="C132" s="20" t="s">
        <v>175</v>
      </c>
      <c r="D132" s="12"/>
    </row>
    <row r="133" spans="1:8">
      <c r="A133" s="5" t="s">
        <v>176</v>
      </c>
      <c r="B133" s="22">
        <f>IFERROR(B130-B131,"")</f>
        <v>0</v>
      </c>
      <c r="C133" s="20" t="s">
        <v>177</v>
      </c>
      <c r="D133" s="12"/>
    </row>
    <row r="134" spans="1:8">
      <c r="A134" s="5" t="s">
        <v>178</v>
      </c>
      <c r="B134" s="22">
        <f>IFERROR(B132-B130,"")</f>
        <v>0</v>
      </c>
      <c r="C134" s="20" t="s">
        <v>179</v>
      </c>
      <c r="D134" s="12"/>
    </row>
    <row r="135" spans="1:8">
      <c r="A135" s="5" t="s">
        <v>180</v>
      </c>
      <c r="B135" s="24">
        <f>IFERROR(B134/B133,"")</f>
        <v>0</v>
      </c>
      <c r="C135" s="20" t="s">
        <v>181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182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6"/>
      <c r="B138" s="26"/>
      <c r="C138" s="26"/>
      <c r="D138" s="26"/>
      <c r="E138" s="26"/>
      <c r="F138" s="26"/>
      <c r="G138" s="26"/>
      <c r="H138" s="26"/>
    </row>
    <row r="139" spans="1:8">
      <c r="A139" s="26"/>
      <c r="B139" s="26"/>
      <c r="C139" s="26"/>
      <c r="D139" s="26"/>
      <c r="E139" s="26"/>
      <c r="F139" s="26"/>
      <c r="G139" s="26"/>
      <c r="H139" s="26"/>
    </row>
    <row r="140" spans="1:8">
      <c r="A140" s="26"/>
      <c r="B140" s="26"/>
      <c r="C140" s="26"/>
      <c r="D140" s="26"/>
      <c r="E140" s="26"/>
      <c r="F140" s="26"/>
      <c r="G140" s="26"/>
      <c r="H140" s="26"/>
    </row>
    <row r="141" spans="1:8" ht="26" customHeight="1">
      <c r="A141" s="1" t="s">
        <v>183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184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5" t="s">
        <v>185</v>
      </c>
      <c r="B145" s="35"/>
      <c r="C145" s="35"/>
      <c r="D145" s="35"/>
      <c r="E145" s="35"/>
      <c r="F145" s="35"/>
      <c r="G145" s="35"/>
      <c r="H145" s="35"/>
    </row>
    <row r="146" spans="1:8">
      <c r="A146" s="4" t="s">
        <v>15</v>
      </c>
      <c r="B146" s="4" t="s">
        <v>186</v>
      </c>
      <c r="C146" s="4" t="s">
        <v>187</v>
      </c>
      <c r="D146" s="4" t="s">
        <v>188</v>
      </c>
      <c r="E146" s="4" t="s">
        <v>189</v>
      </c>
    </row>
    <row r="147" spans="1:8">
      <c r="A147" s="5" t="s">
        <v>4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5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6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7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23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190</v>
      </c>
      <c r="B153" s="16">
        <f>IFERROR(D151*1000000/B28,"")</f>
        <v>0</v>
      </c>
      <c r="C153" s="5" t="s">
        <v>191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192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193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81</v>
      </c>
      <c r="B157" s="4" t="s">
        <v>69</v>
      </c>
      <c r="C157" s="4" t="s">
        <v>194</v>
      </c>
      <c r="D157" s="4" t="s">
        <v>195</v>
      </c>
      <c r="E157" s="4" t="s">
        <v>28</v>
      </c>
    </row>
    <row r="158" spans="1:8">
      <c r="A158" s="5" t="s">
        <v>196</v>
      </c>
      <c r="B158" s="36">
        <v>12</v>
      </c>
      <c r="C158" s="14" t="s">
        <v>197</v>
      </c>
      <c r="D158" s="14"/>
      <c r="E158" s="14"/>
      <c r="F158" s="14"/>
      <c r="G158" s="14"/>
    </row>
    <row r="159" spans="1:8">
      <c r="A159" s="5" t="s">
        <v>198</v>
      </c>
      <c r="B159" s="36">
        <v>5</v>
      </c>
      <c r="C159" s="14" t="s">
        <v>199</v>
      </c>
      <c r="D159" s="14"/>
      <c r="E159" s="14"/>
      <c r="F159" s="14"/>
      <c r="G159" s="14"/>
    </row>
    <row r="160" spans="1:8" ht="5" customHeight="1"/>
    <row r="161" spans="1:8">
      <c r="A161" s="5" t="s">
        <v>200</v>
      </c>
      <c r="B161" s="7">
        <f>IFERROR(B30,"")</f>
        <v>0</v>
      </c>
      <c r="C161" s="21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201</v>
      </c>
      <c r="B162" s="7">
        <f>IFERROR(AVERAGE(F38:F42),"")</f>
        <v>0</v>
      </c>
      <c r="C162" s="21">
        <f>B159</f>
        <v>0</v>
      </c>
      <c r="D162" s="7">
        <f>IFERROR((AVERAGE(F38:F42)/B159-1)*100,"")</f>
        <v>0</v>
      </c>
      <c r="E162" s="10">
        <f>IFERROR(IF(AVERAGE(F38:F42)&gt;=B159*1.2,"Rendement superieur au marche — attractif",IF(AVERAGE(F38:F42)&gt;=B159,"Dans la moyenne du marche","Rendement inferieur au marche")),"-")</f>
        <v>0</v>
      </c>
    </row>
    <row r="163" spans="1:8" ht="5" customHeight="1"/>
    <row r="164" spans="1:8" ht="20" customHeight="1">
      <c r="A164" s="3" t="s">
        <v>202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68</v>
      </c>
      <c r="B165" s="4" t="s">
        <v>69</v>
      </c>
      <c r="C165" s="4" t="s">
        <v>19</v>
      </c>
      <c r="D165" s="4" t="s">
        <v>203</v>
      </c>
    </row>
    <row r="166" spans="1:8">
      <c r="A166" s="5" t="s">
        <v>204</v>
      </c>
      <c r="B166" s="37">
        <f>COUNTIF(B38:B42,"&gt;0")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37">
        <f>IF(B166=5,2,IF(B166&gt;=4,1,0))</f>
        <v>0</v>
      </c>
    </row>
    <row r="167" spans="1:8">
      <c r="A167" s="5" t="s">
        <v>205</v>
      </c>
      <c r="B167" s="8">
        <f>IFERROR(IF(OR(B38&lt;=0,B42&lt;=0),"N/A",(B42/B38)^(1/4)-1),"N/A")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37">
        <f>IFERROR(IF(ISNUMBER(B167),IF(B167&gt;0,1,0),0),0)</f>
        <v>0</v>
      </c>
    </row>
    <row r="168" spans="1:8">
      <c r="A168" s="18" t="s">
        <v>206</v>
      </c>
      <c r="B168" s="38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0" t="s">
        <v>207</v>
      </c>
    </row>
    <row r="169" spans="1:8" ht="5" customHeight="1"/>
    <row r="170" spans="1:8" ht="20" customHeight="1">
      <c r="A170" s="3" t="s">
        <v>208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209</v>
      </c>
      <c r="B171" s="4" t="s">
        <v>28</v>
      </c>
      <c r="C171" s="4" t="s">
        <v>210</v>
      </c>
      <c r="D171" s="4" t="s">
        <v>211</v>
      </c>
    </row>
    <row r="172" spans="1:8">
      <c r="A172" s="5" t="s">
        <v>212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37">
        <f>IFERROR(IF(B30&lt;B158*0.85,2,IF(B30&lt;B158,1,0)),0)</f>
        <v>0</v>
      </c>
    </row>
    <row r="173" spans="1:8">
      <c r="A173" s="5" t="s">
        <v>213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37">
        <f>IFERROR(IF(B24&lt;B31*0.85,2,IF(B24&lt;B31,1,0)),0)</f>
        <v>0</v>
      </c>
    </row>
    <row r="174" spans="1:8">
      <c r="A174" s="5" t="s">
        <v>214</v>
      </c>
      <c r="B174" s="10">
        <f>IFERROR(IF(B33&gt;=10,"OUI","NON"),"-")</f>
        <v>0</v>
      </c>
      <c r="C174" s="10">
        <f>IFERROR("ROE="&amp;ROUND(B33,1)&amp;"%","-")</f>
        <v>0</v>
      </c>
      <c r="D174" s="37">
        <f>IFERROR(IF(B33&gt;=15,2,IF(B33&gt;=10,1,0)),0)</f>
        <v>0</v>
      </c>
    </row>
    <row r="175" spans="1:8">
      <c r="A175" s="5" t="s">
        <v>215</v>
      </c>
      <c r="B175" s="10">
        <f>IFERROR(IF(B168&gt;=2,"OUI","NON"),"-")</f>
        <v>0</v>
      </c>
      <c r="C175" s="10">
        <f>IFERROR(C168,"-")</f>
        <v>0</v>
      </c>
      <c r="D175" s="37">
        <f>IFERROR(MIN(B168,2),0)</f>
        <v>0</v>
      </c>
    </row>
    <row r="176" spans="1:8">
      <c r="A176" s="5" t="s">
        <v>216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37">
        <f>IFERROR(IF(B24&lt;D95,1,0),0)</f>
        <v>0</v>
      </c>
    </row>
    <row r="177" spans="1:8">
      <c r="A177" s="5" t="s">
        <v>217</v>
      </c>
      <c r="B177" s="10">
        <f>IFERROR(IF(G16&gt;=5,"OUI","NON"),"-")</f>
        <v>0</v>
      </c>
      <c r="C177" s="10">
        <f>IFERROR("Marge moy="&amp;ROUND(G16,1)&amp;"%","-")</f>
        <v>0</v>
      </c>
      <c r="D177" s="37">
        <f>IFERROR(IF(G16&gt;=10,2,IF(G16&gt;=5,1,0)),0)</f>
        <v>0</v>
      </c>
    </row>
    <row r="178" spans="1:8">
      <c r="A178" s="18" t="s">
        <v>218</v>
      </c>
      <c r="B178" s="12"/>
      <c r="C178" s="20" t="s">
        <v>219</v>
      </c>
      <c r="D178" s="39">
        <f>IFERROR(SUM(D172:D177),0)</f>
        <v>0</v>
      </c>
    </row>
    <row r="179" spans="1:8" ht="30" customHeight="1">
      <c r="A179" s="40" t="s">
        <v>220</v>
      </c>
      <c r="B179" s="40"/>
      <c r="C179" s="40"/>
      <c r="D179" s="40"/>
      <c r="E179" s="41"/>
      <c r="F179" s="41"/>
      <c r="G179" s="41"/>
      <c r="H179" s="41"/>
    </row>
    <row r="180" spans="1:8" ht="5" customHeight="1"/>
  </sheetData>
  <sheetProtection sheet="1" objects="1" scenarios="1" formatColumns="0" formatRows="0"/>
  <mergeCells count="3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221</v>
      </c>
      <c r="B1" s="1"/>
      <c r="C1" s="1"/>
      <c r="D1" s="1"/>
      <c r="E1" s="1"/>
    </row>
    <row r="2" spans="1:5" ht="16" customHeight="1">
      <c r="A2" s="42" t="s">
        <v>222</v>
      </c>
      <c r="B2" s="42"/>
      <c r="C2" s="42"/>
      <c r="D2" s="42"/>
      <c r="E2" s="42"/>
    </row>
    <row r="3" spans="1:5" ht="5" customHeight="1"/>
    <row r="4" spans="1:5" ht="18" customHeight="1">
      <c r="A4" s="43" t="s">
        <v>223</v>
      </c>
      <c r="B4" s="43"/>
      <c r="C4" s="43"/>
      <c r="D4" s="43"/>
      <c r="E4" s="43"/>
    </row>
    <row r="5" spans="1:5">
      <c r="A5" s="4" t="s">
        <v>209</v>
      </c>
      <c r="B5" s="4" t="s">
        <v>224</v>
      </c>
      <c r="C5" s="4" t="s">
        <v>225</v>
      </c>
      <c r="D5" s="4" t="s">
        <v>226</v>
      </c>
      <c r="E5" s="4" t="s">
        <v>227</v>
      </c>
    </row>
    <row r="6" spans="1:5">
      <c r="A6" s="5" t="s">
        <v>228</v>
      </c>
      <c r="B6" s="44">
        <f>IFERROR(ETUDE!G8,"")</f>
        <v>0</v>
      </c>
      <c r="C6" s="11" t="s">
        <v>229</v>
      </c>
      <c r="D6" s="45">
        <f>IFERROR(IF(ETUDE!G8&gt;=10,"Bon (&gt;=10%)",IF(ETUDE!G8&gt;=0,"Faible (&lt;10%)","Negatif")),"-")</f>
        <v>0</v>
      </c>
      <c r="E6" s="46"/>
    </row>
    <row r="7" spans="1:5">
      <c r="A7" s="5" t="s">
        <v>230</v>
      </c>
      <c r="B7" s="44">
        <f>IFERROR(ETUDE!G12,"")</f>
        <v>0</v>
      </c>
      <c r="C7" s="11" t="s">
        <v>229</v>
      </c>
      <c r="D7" s="45">
        <f>IFERROR(IF(ETUDE!G12&gt;=10,"Bon (&gt;=10%)",IF(ETUDE!G12&gt;=0,"Faible (&lt;10%)","Negatif")),"-")</f>
        <v>0</v>
      </c>
      <c r="E7" s="46"/>
    </row>
    <row r="8" spans="1:5">
      <c r="A8" s="5" t="s">
        <v>231</v>
      </c>
      <c r="B8" s="44">
        <f>IFERROR(ETUDE!G16,"")</f>
        <v>0</v>
      </c>
      <c r="C8" s="11" t="s">
        <v>232</v>
      </c>
      <c r="D8" s="45">
        <f>IFERROR(IF(ETUDE!G16&gt;=10,"Tres rentable",IF(ETUDE!G16&gt;=5,"Rentable",IF(ETUDE!G16&gt;=2,"Faiblement rentable","Faible"))),"-")</f>
        <v>0</v>
      </c>
      <c r="E8" s="46"/>
    </row>
    <row r="9" spans="1:5">
      <c r="A9" s="5" t="s">
        <v>233</v>
      </c>
      <c r="B9" s="44">
        <f>IFERROR(ETUDE!B30,"")</f>
        <v>0</v>
      </c>
      <c r="C9" s="11" t="s">
        <v>234</v>
      </c>
      <c r="D9" s="45">
        <f>IFERROR(ETUDE!D30,"-")</f>
        <v>0</v>
      </c>
      <c r="E9" s="46"/>
    </row>
    <row r="10" spans="1:5">
      <c r="A10" s="5" t="s">
        <v>235</v>
      </c>
      <c r="B10" s="44">
        <f>IFERROR(ETUDE!B32,"")</f>
        <v>0</v>
      </c>
      <c r="C10" s="11" t="s">
        <v>236</v>
      </c>
      <c r="D10" s="45">
        <f>IFERROR(ETUDE!D32,"-")</f>
        <v>0</v>
      </c>
      <c r="E10" s="46"/>
    </row>
    <row r="11" spans="1:5">
      <c r="A11" s="5" t="s">
        <v>237</v>
      </c>
      <c r="B11" s="44">
        <f>IFERROR(ETUDE!B33,"")</f>
        <v>0</v>
      </c>
      <c r="C11" s="11" t="s">
        <v>229</v>
      </c>
      <c r="D11" s="45">
        <f>IFERROR(ETUDE!D33,"-")</f>
        <v>0</v>
      </c>
      <c r="E11" s="46"/>
    </row>
    <row r="12" spans="1:5">
      <c r="A12" s="5" t="s">
        <v>238</v>
      </c>
      <c r="B12" s="44">
        <f>IFERROR(AVERAGE(ETUDE!F38:ETUDE!F42),"")</f>
        <v>0</v>
      </c>
      <c r="C12" s="11" t="s">
        <v>239</v>
      </c>
      <c r="D12" s="45">
        <f>IFERROR(IF(AVERAGE(ETUDE!F38:ETUDE!F42)&gt;=3,"Bon (&gt;=3%)","Faible (&lt;3%)"),"-")</f>
        <v>0</v>
      </c>
      <c r="E12" s="46"/>
    </row>
    <row r="13" spans="1:5">
      <c r="A13" s="5" t="s">
        <v>240</v>
      </c>
      <c r="B13" s="44">
        <f>IFERROR(ETUDE!B34,"")</f>
        <v>0</v>
      </c>
      <c r="C13" s="11" t="s">
        <v>241</v>
      </c>
      <c r="D13" s="45">
        <f>IFERROR(ETUDE!D34,"-")</f>
        <v>0</v>
      </c>
      <c r="E13" s="46"/>
    </row>
    <row r="14" spans="1:5">
      <c r="A14" s="18" t="s">
        <v>242</v>
      </c>
      <c r="B14" s="47"/>
      <c r="C14" s="47"/>
      <c r="D14" s="47"/>
      <c r="E14" s="48">
        <f>SUM(E6:E13)</f>
        <v>0</v>
      </c>
    </row>
    <row r="15" spans="1:5" ht="5" customHeight="1"/>
    <row r="16" spans="1:5" ht="18" customHeight="1">
      <c r="A16" s="43" t="s">
        <v>243</v>
      </c>
      <c r="B16" s="43"/>
      <c r="C16" s="43"/>
      <c r="D16" s="43"/>
      <c r="E16" s="43"/>
    </row>
    <row r="17" spans="1:5">
      <c r="A17" s="4" t="s">
        <v>209</v>
      </c>
      <c r="B17" s="4" t="s">
        <v>101</v>
      </c>
      <c r="C17" s="4" t="s">
        <v>244</v>
      </c>
      <c r="D17" s="4" t="s">
        <v>19</v>
      </c>
      <c r="E17" s="4" t="s">
        <v>211</v>
      </c>
    </row>
    <row r="18" spans="1:5">
      <c r="A18" s="5" t="s">
        <v>245</v>
      </c>
      <c r="B18" s="49">
        <f>IFERROR(ETUDE!D91,"")</f>
        <v>0</v>
      </c>
      <c r="C18" s="11" t="s">
        <v>246</v>
      </c>
      <c r="D18" s="45">
        <f>IFERROR(ETUDE!E91,"-")</f>
        <v>0</v>
      </c>
      <c r="E18" s="46"/>
    </row>
    <row r="19" spans="1:5">
      <c r="A19" s="5" t="s">
        <v>247</v>
      </c>
      <c r="B19" s="49">
        <f>IFERROR(ETUDE!E95,"")</f>
        <v>0</v>
      </c>
      <c r="C19" s="11" t="s">
        <v>248</v>
      </c>
      <c r="D19" s="45">
        <f>IFERROR(ETUDE!E96,"-")</f>
        <v>0</v>
      </c>
      <c r="E19" s="46"/>
    </row>
    <row r="20" spans="1:5">
      <c r="A20" s="5" t="s">
        <v>249</v>
      </c>
      <c r="B20" s="49">
        <f>IFERROR(ETUDE!B104,"")</f>
        <v>0</v>
      </c>
      <c r="C20" s="11" t="s">
        <v>250</v>
      </c>
      <c r="D20" s="45">
        <f>IFERROR(ETUDE!D104,"-")</f>
        <v>0</v>
      </c>
      <c r="E20" s="46"/>
    </row>
    <row r="21" spans="1:5">
      <c r="A21" s="5" t="s">
        <v>251</v>
      </c>
      <c r="B21" s="49">
        <f>IFERROR(ETUDE!B116,"")</f>
        <v>0</v>
      </c>
      <c r="C21" s="11" t="s">
        <v>252</v>
      </c>
      <c r="D21" s="45">
        <f>IFERROR(ETUDE!B125,"-")</f>
        <v>0</v>
      </c>
      <c r="E21" s="46"/>
    </row>
    <row r="22" spans="1:5">
      <c r="A22" s="5" t="s">
        <v>253</v>
      </c>
      <c r="B22" s="49">
        <f>IFERROR(ETUDE!B135,"")</f>
        <v>0</v>
      </c>
      <c r="C22" s="11" t="s">
        <v>254</v>
      </c>
      <c r="D22" s="45">
        <f>IFERROR(ETUDE!D135,"-")</f>
        <v>0</v>
      </c>
      <c r="E22" s="46"/>
    </row>
    <row r="23" spans="1:5">
      <c r="A23" s="18" t="s">
        <v>255</v>
      </c>
      <c r="B23" s="47"/>
      <c r="C23" s="47"/>
      <c r="D23" s="47"/>
      <c r="E23" s="48">
        <f>SUM(E18:E22)</f>
        <v>0</v>
      </c>
    </row>
    <row r="24" spans="1:5" ht="5" customHeight="1"/>
    <row r="25" spans="1:5" ht="18" customHeight="1">
      <c r="A25" s="50" t="s">
        <v>256</v>
      </c>
      <c r="B25" s="50"/>
      <c r="C25" s="50"/>
      <c r="D25" s="50"/>
      <c r="E25" s="50"/>
    </row>
    <row r="26" spans="1:5">
      <c r="A26" s="4" t="s">
        <v>58</v>
      </c>
      <c r="B26" s="4" t="s">
        <v>211</v>
      </c>
      <c r="C26" s="4" t="s">
        <v>257</v>
      </c>
      <c r="D26" s="4" t="s">
        <v>258</v>
      </c>
      <c r="E26" s="4" t="s">
        <v>259</v>
      </c>
    </row>
    <row r="27" spans="1:5">
      <c r="A27" s="5" t="s">
        <v>260</v>
      </c>
      <c r="B27" s="51">
        <f>E14</f>
        <v>0</v>
      </c>
      <c r="C27" s="52">
        <v>24</v>
      </c>
      <c r="D27" s="53">
        <f>IFERROR(E14/24*100,"")</f>
        <v>0</v>
      </c>
      <c r="E27" s="54">
        <f>IFERROR(IF(E14/24&gt;=0.7,"Solide",IF(E14/24&gt;=0.5,"Moyen","Faible")),"-")</f>
        <v>0</v>
      </c>
    </row>
    <row r="28" spans="1:5">
      <c r="A28" s="5" t="s">
        <v>261</v>
      </c>
      <c r="B28" s="51">
        <f>E23</f>
        <v>0</v>
      </c>
      <c r="C28" s="52">
        <v>15</v>
      </c>
      <c r="D28" s="53">
        <f>IFERROR(E23/15*100,"")</f>
        <v>0</v>
      </c>
      <c r="E28" s="54">
        <f>IFERROR(IF(E23/15&gt;=0.7,"Solide",IF(E23/15&gt;=0.5,"Moyen","Faible")),"-")</f>
        <v>0</v>
      </c>
    </row>
    <row r="29" spans="1:5">
      <c r="A29" s="18" t="s">
        <v>262</v>
      </c>
      <c r="B29" s="55">
        <f>IFERROR(E14+E23,"")</f>
        <v>0</v>
      </c>
      <c r="C29" s="56">
        <v>39</v>
      </c>
      <c r="D29" s="53">
        <f>IFERROR(B29/39*100,"")</f>
        <v>0</v>
      </c>
      <c r="E29" s="57">
        <f>IFERROR(IF(B29/39&gt;=0.7,"ACHETER",IF(B29/39&gt;=0.5,"SURVEILLER","EVITER")),"-")</f>
        <v>0</v>
      </c>
    </row>
    <row r="30" spans="1:5" ht="5" customHeight="1"/>
    <row r="31" spans="1:5" ht="18" customHeight="1">
      <c r="A31" s="43" t="s">
        <v>263</v>
      </c>
      <c r="B31" s="43"/>
      <c r="C31" s="43"/>
      <c r="D31" s="43"/>
      <c r="E31" s="43"/>
    </row>
    <row r="32" spans="1:5">
      <c r="A32" s="4" t="s">
        <v>264</v>
      </c>
      <c r="B32" s="4" t="s">
        <v>265</v>
      </c>
      <c r="C32" s="4" t="s">
        <v>191</v>
      </c>
      <c r="D32" s="4" t="s">
        <v>266</v>
      </c>
      <c r="E32" s="4" t="s">
        <v>267</v>
      </c>
    </row>
    <row r="33" spans="1:5" ht="30" customHeight="1">
      <c r="A33" s="58">
        <f>IFERROR(ETUDE!D178,"")</f>
        <v>0</v>
      </c>
      <c r="B33" s="59">
        <f>IFERROR(ETUDE!E179,"-")</f>
        <v>0</v>
      </c>
      <c r="C33" s="60">
        <f>IFERROR(ETUDE!D153,"")</f>
        <v>0</v>
      </c>
      <c r="D33" s="60">
        <f>IFERROR(ETUDE!D161,"")</f>
        <v>0</v>
      </c>
      <c r="E33" s="61">
        <f>IFERROR(IF(ETUDE!B24&lt;ETUDE!B31,"Prix &lt; VMC","Prix &gt; VMC"),"-")</f>
        <v>0</v>
      </c>
    </row>
    <row r="34" spans="1:5" ht="5" customHeight="1"/>
    <row r="35" spans="1:5" ht="18" customHeight="1">
      <c r="A35" s="43" t="s">
        <v>268</v>
      </c>
      <c r="B35" s="43"/>
      <c r="C35" s="43"/>
      <c r="D35" s="43"/>
      <c r="E35" s="43"/>
    </row>
    <row r="36" spans="1:5" ht="50" customHeight="1">
      <c r="A36" s="26"/>
      <c r="B36" s="26"/>
      <c r="C36" s="26"/>
      <c r="D36" s="26"/>
      <c r="E36" s="26"/>
    </row>
    <row r="37" spans="1:5">
      <c r="A37" s="26"/>
      <c r="B37" s="26"/>
      <c r="C37" s="26"/>
      <c r="D37" s="26"/>
      <c r="E37" s="26"/>
    </row>
    <row r="38" spans="1:5">
      <c r="A38" s="26"/>
      <c r="B38" s="26"/>
      <c r="C38" s="26"/>
      <c r="D38" s="26"/>
      <c r="E38" s="26"/>
    </row>
    <row r="39" spans="1:5">
      <c r="A39" s="26"/>
      <c r="B39" s="26"/>
      <c r="C39" s="26"/>
      <c r="D39" s="26"/>
      <c r="E39" s="26"/>
    </row>
    <row r="40" spans="1:5">
      <c r="A40" s="26"/>
      <c r="B40" s="26"/>
      <c r="C40" s="26"/>
      <c r="D40" s="26"/>
      <c r="E40" s="26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269</v>
      </c>
      <c r="B1" s="1"/>
      <c r="C1" s="1"/>
      <c r="D1" s="1"/>
    </row>
    <row r="2" spans="1:4" ht="18" customHeight="1">
      <c r="A2" s="43" t="s">
        <v>270</v>
      </c>
      <c r="B2" s="43"/>
      <c r="C2" s="43"/>
      <c r="D2" s="43"/>
    </row>
    <row r="3" spans="1:4">
      <c r="A3" s="5" t="s">
        <v>271</v>
      </c>
      <c r="B3" s="12"/>
      <c r="C3" s="12"/>
      <c r="D3" s="12"/>
    </row>
    <row r="4" spans="1:4">
      <c r="A4" s="5" t="s">
        <v>272</v>
      </c>
      <c r="B4" s="12"/>
      <c r="C4" s="12"/>
      <c r="D4" s="12"/>
    </row>
    <row r="5" spans="1:4">
      <c r="A5" s="5" t="s">
        <v>273</v>
      </c>
      <c r="B5" s="12"/>
      <c r="C5" s="12"/>
      <c r="D5" s="12"/>
    </row>
    <row r="6" spans="1:4">
      <c r="A6" s="5" t="s">
        <v>274</v>
      </c>
      <c r="B6" s="12"/>
      <c r="C6" s="12"/>
      <c r="D6" s="12"/>
    </row>
    <row r="7" spans="1:4">
      <c r="A7" s="5" t="s">
        <v>275</v>
      </c>
      <c r="B7" s="12"/>
      <c r="C7" s="12"/>
      <c r="D7" s="12"/>
    </row>
    <row r="8" spans="1:4" ht="5" customHeight="1"/>
    <row r="9" spans="1:4" ht="18" customHeight="1">
      <c r="A9" s="43" t="s">
        <v>276</v>
      </c>
      <c r="B9" s="43"/>
      <c r="C9" s="43"/>
      <c r="D9" s="43"/>
    </row>
    <row r="10" spans="1:4">
      <c r="A10" s="5" t="s">
        <v>277</v>
      </c>
      <c r="B10" s="12"/>
      <c r="C10" s="12"/>
      <c r="D10" s="12"/>
    </row>
    <row r="11" spans="1:4">
      <c r="A11" s="5" t="s">
        <v>278</v>
      </c>
      <c r="B11" s="12"/>
      <c r="C11" s="12"/>
      <c r="D11" s="12"/>
    </row>
    <row r="12" spans="1:4">
      <c r="A12" s="5" t="s">
        <v>279</v>
      </c>
      <c r="B12" s="12"/>
      <c r="C12" s="12"/>
      <c r="D12" s="12"/>
    </row>
    <row r="13" spans="1:4">
      <c r="A13" s="5" t="s">
        <v>280</v>
      </c>
      <c r="B13" s="12"/>
      <c r="C13" s="12"/>
      <c r="D13" s="12"/>
    </row>
    <row r="14" spans="1:4" ht="5" customHeight="1"/>
    <row r="15" spans="1:4" ht="18" customHeight="1">
      <c r="A15" s="43" t="s">
        <v>281</v>
      </c>
      <c r="B15" s="43"/>
      <c r="C15" s="43"/>
      <c r="D15" s="43"/>
    </row>
    <row r="16" spans="1:4">
      <c r="A16" s="5" t="s">
        <v>282</v>
      </c>
      <c r="B16" s="14" t="s">
        <v>283</v>
      </c>
      <c r="C16" s="12"/>
      <c r="D16" s="12"/>
    </row>
    <row r="17" spans="1:4">
      <c r="A17" s="5" t="s">
        <v>284</v>
      </c>
      <c r="B17" s="12"/>
      <c r="C17" s="12"/>
      <c r="D17" s="12"/>
    </row>
    <row r="18" spans="1:4">
      <c r="A18" s="5" t="s">
        <v>285</v>
      </c>
      <c r="B18" s="14" t="s">
        <v>286</v>
      </c>
      <c r="C18" s="12"/>
      <c r="D18" s="12"/>
    </row>
    <row r="19" spans="1:4">
      <c r="A19" s="5" t="s">
        <v>287</v>
      </c>
      <c r="B19" s="14" t="s">
        <v>288</v>
      </c>
      <c r="C19" s="12"/>
      <c r="D19" s="12"/>
    </row>
    <row r="20" spans="1:4" ht="5" customHeight="1"/>
    <row r="21" spans="1:4" ht="18" customHeight="1">
      <c r="A21" s="43" t="s">
        <v>289</v>
      </c>
      <c r="B21" s="43"/>
      <c r="C21" s="43"/>
      <c r="D21" s="43"/>
    </row>
    <row r="22" spans="1:4">
      <c r="A22" s="5" t="s">
        <v>74</v>
      </c>
      <c r="B22" s="12"/>
      <c r="C22" s="12"/>
      <c r="D22" s="12"/>
    </row>
    <row r="23" spans="1:4">
      <c r="A23" s="5" t="s">
        <v>290</v>
      </c>
      <c r="B23" s="12"/>
      <c r="C23" s="12"/>
      <c r="D23" s="12"/>
    </row>
    <row r="24" spans="1:4">
      <c r="A24" s="5" t="s">
        <v>291</v>
      </c>
      <c r="B24" s="12"/>
      <c r="C24" s="12"/>
      <c r="D24" s="12"/>
    </row>
    <row r="25" spans="1:4">
      <c r="A25" s="5" t="s">
        <v>292</v>
      </c>
      <c r="B25" s="14" t="s">
        <v>293</v>
      </c>
      <c r="C25" s="12"/>
      <c r="D25" s="12"/>
    </row>
    <row r="26" spans="1:4" ht="5" customHeight="1"/>
    <row r="27" spans="1:4" ht="18" customHeight="1">
      <c r="A27" s="43" t="s">
        <v>294</v>
      </c>
      <c r="B27" s="43"/>
      <c r="C27" s="43"/>
      <c r="D27" s="43"/>
    </row>
    <row r="28" spans="1:4">
      <c r="A28" s="5" t="s">
        <v>295</v>
      </c>
      <c r="B28" s="14" t="s">
        <v>296</v>
      </c>
      <c r="C28" s="12"/>
      <c r="D28" s="12"/>
    </row>
    <row r="29" spans="1:4">
      <c r="A29" s="5" t="s">
        <v>297</v>
      </c>
      <c r="B29" s="12"/>
      <c r="C29" s="12"/>
      <c r="D29" s="12"/>
    </row>
    <row r="30" spans="1:4">
      <c r="A30" s="5" t="s">
        <v>298</v>
      </c>
      <c r="B30" s="14" t="s">
        <v>299</v>
      </c>
      <c r="C30" s="12"/>
      <c r="D30" s="12"/>
    </row>
    <row r="31" spans="1:4">
      <c r="A31" s="5" t="s">
        <v>300</v>
      </c>
      <c r="B31" s="14" t="s">
        <v>301</v>
      </c>
      <c r="C31" s="12"/>
      <c r="D31" s="12"/>
    </row>
    <row r="32" spans="1:4" ht="5" customHeight="1"/>
  </sheetData>
  <sheetProtection sheet="1" objects="1" scenarios="1" formatColumns="0" formatRows="0"/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302</v>
      </c>
      <c r="B1" s="1"/>
      <c r="C1" s="1"/>
      <c r="D1" s="1"/>
    </row>
    <row r="2" spans="1:4">
      <c r="A2" s="62" t="s">
        <v>68</v>
      </c>
      <c r="B2" s="62" t="s">
        <v>303</v>
      </c>
      <c r="C2" s="62" t="s">
        <v>304</v>
      </c>
      <c r="D2" s="62" t="s">
        <v>305</v>
      </c>
    </row>
    <row r="3" spans="1:4" ht="18" customHeight="1">
      <c r="A3" s="43" t="s">
        <v>306</v>
      </c>
      <c r="B3" s="43"/>
      <c r="C3" s="43"/>
      <c r="D3" s="43"/>
    </row>
    <row r="4" spans="1:4" ht="28" customHeight="1">
      <c r="A4" s="18" t="s">
        <v>307</v>
      </c>
      <c r="B4" s="63" t="s">
        <v>308</v>
      </c>
      <c r="C4" s="52" t="s">
        <v>309</v>
      </c>
      <c r="D4" s="64" t="s">
        <v>310</v>
      </c>
    </row>
    <row r="5" spans="1:4" ht="28" customHeight="1">
      <c r="A5" s="18" t="s">
        <v>311</v>
      </c>
      <c r="B5" s="63" t="s">
        <v>312</v>
      </c>
      <c r="C5" s="52" t="s">
        <v>309</v>
      </c>
      <c r="D5" s="64" t="s">
        <v>313</v>
      </c>
    </row>
    <row r="6" spans="1:4" ht="28" customHeight="1">
      <c r="A6" s="18" t="s">
        <v>314</v>
      </c>
      <c r="B6" s="63" t="s">
        <v>315</v>
      </c>
      <c r="C6" s="52" t="s">
        <v>309</v>
      </c>
      <c r="D6" s="64" t="s">
        <v>316</v>
      </c>
    </row>
    <row r="7" spans="1:4" ht="28" customHeight="1">
      <c r="A7" s="18" t="s">
        <v>233</v>
      </c>
      <c r="B7" s="63" t="s">
        <v>317</v>
      </c>
      <c r="C7" s="52" t="s">
        <v>318</v>
      </c>
      <c r="D7" s="64" t="s">
        <v>319</v>
      </c>
    </row>
    <row r="8" spans="1:4" ht="28" customHeight="1">
      <c r="A8" s="18" t="s">
        <v>320</v>
      </c>
      <c r="B8" s="63" t="s">
        <v>321</v>
      </c>
      <c r="C8" s="52" t="s">
        <v>322</v>
      </c>
      <c r="D8" s="64" t="s">
        <v>323</v>
      </c>
    </row>
    <row r="9" spans="1:4" ht="28" customHeight="1">
      <c r="A9" s="18" t="s">
        <v>235</v>
      </c>
      <c r="B9" s="63" t="s">
        <v>324</v>
      </c>
      <c r="C9" s="52" t="s">
        <v>318</v>
      </c>
      <c r="D9" s="64" t="s">
        <v>325</v>
      </c>
    </row>
    <row r="10" spans="1:4" ht="28" customHeight="1">
      <c r="A10" s="18" t="s">
        <v>326</v>
      </c>
      <c r="B10" s="63" t="s">
        <v>327</v>
      </c>
      <c r="C10" s="52" t="s">
        <v>309</v>
      </c>
      <c r="D10" s="64" t="s">
        <v>328</v>
      </c>
    </row>
    <row r="11" spans="1:4" ht="28" customHeight="1">
      <c r="A11" s="18" t="s">
        <v>329</v>
      </c>
      <c r="B11" s="63" t="s">
        <v>330</v>
      </c>
      <c r="C11" s="52"/>
      <c r="D11" s="64" t="s">
        <v>331</v>
      </c>
    </row>
    <row r="12" spans="1:4" ht="28" customHeight="1">
      <c r="A12" s="18" t="s">
        <v>332</v>
      </c>
      <c r="B12" s="63" t="s">
        <v>333</v>
      </c>
      <c r="C12" s="52" t="s">
        <v>309</v>
      </c>
      <c r="D12" s="64" t="s">
        <v>334</v>
      </c>
    </row>
    <row r="13" spans="1:4" ht="28" customHeight="1">
      <c r="A13" s="18" t="s">
        <v>335</v>
      </c>
      <c r="B13" s="63" t="s">
        <v>336</v>
      </c>
      <c r="C13" s="52" t="s">
        <v>309</v>
      </c>
      <c r="D13" s="64" t="s">
        <v>337</v>
      </c>
    </row>
    <row r="14" spans="1:4" ht="18" customHeight="1">
      <c r="A14" s="43" t="s">
        <v>338</v>
      </c>
      <c r="B14" s="43"/>
      <c r="C14" s="43"/>
      <c r="D14" s="43"/>
    </row>
    <row r="15" spans="1:4" ht="28" customHeight="1">
      <c r="A15" s="18" t="s">
        <v>339</v>
      </c>
      <c r="B15" s="63" t="s">
        <v>340</v>
      </c>
      <c r="C15" s="52" t="s">
        <v>322</v>
      </c>
      <c r="D15" s="64" t="s">
        <v>341</v>
      </c>
    </row>
    <row r="16" spans="1:4" ht="28" customHeight="1">
      <c r="A16" s="18" t="s">
        <v>342</v>
      </c>
      <c r="B16" s="63" t="s">
        <v>343</v>
      </c>
      <c r="C16" s="52"/>
      <c r="D16" s="64" t="s">
        <v>344</v>
      </c>
    </row>
    <row r="17" spans="1:4" ht="28" customHeight="1">
      <c r="A17" s="18" t="s">
        <v>110</v>
      </c>
      <c r="B17" s="63" t="s">
        <v>343</v>
      </c>
      <c r="C17" s="52"/>
      <c r="D17" s="64" t="s">
        <v>345</v>
      </c>
    </row>
    <row r="18" spans="1:4" ht="28" customHeight="1">
      <c r="A18" s="18" t="s">
        <v>135</v>
      </c>
      <c r="B18" s="63" t="s">
        <v>346</v>
      </c>
      <c r="C18" s="52" t="s">
        <v>318</v>
      </c>
      <c r="D18" s="64" t="s">
        <v>347</v>
      </c>
    </row>
    <row r="19" spans="1:4" ht="28" customHeight="1">
      <c r="A19" s="18" t="s">
        <v>348</v>
      </c>
      <c r="B19" s="63" t="s">
        <v>349</v>
      </c>
      <c r="C19" s="52" t="s">
        <v>322</v>
      </c>
      <c r="D19" s="64" t="s">
        <v>350</v>
      </c>
    </row>
    <row r="20" spans="1:4" ht="28" customHeight="1">
      <c r="A20" s="18" t="s">
        <v>351</v>
      </c>
      <c r="B20" s="63" t="s">
        <v>352</v>
      </c>
      <c r="C20" s="52" t="s">
        <v>322</v>
      </c>
      <c r="D20" s="64" t="s">
        <v>353</v>
      </c>
    </row>
    <row r="21" spans="1:4" ht="18" customHeight="1">
      <c r="A21" s="43" t="s">
        <v>354</v>
      </c>
      <c r="B21" s="43"/>
      <c r="C21" s="43"/>
      <c r="D21" s="43"/>
    </row>
    <row r="22" spans="1:4" ht="28" customHeight="1">
      <c r="A22" s="18" t="s">
        <v>355</v>
      </c>
      <c r="B22" s="63" t="s">
        <v>356</v>
      </c>
      <c r="C22" s="52" t="s">
        <v>322</v>
      </c>
      <c r="D22" s="64" t="s">
        <v>357</v>
      </c>
    </row>
    <row r="23" spans="1:4" ht="28" customHeight="1">
      <c r="A23" s="18" t="s">
        <v>358</v>
      </c>
      <c r="B23" s="63" t="s">
        <v>359</v>
      </c>
      <c r="C23" s="52" t="s">
        <v>360</v>
      </c>
      <c r="D23" s="64" t="s">
        <v>361</v>
      </c>
    </row>
    <row r="24" spans="1:4" ht="28" customHeight="1">
      <c r="A24" s="18" t="s">
        <v>362</v>
      </c>
      <c r="B24" s="63" t="s">
        <v>363</v>
      </c>
      <c r="C24" s="52" t="s">
        <v>322</v>
      </c>
      <c r="D24" s="64" t="s">
        <v>364</v>
      </c>
    </row>
    <row r="25" spans="1:4" ht="28" customHeight="1">
      <c r="A25" s="18" t="s">
        <v>365</v>
      </c>
      <c r="B25" s="63" t="s">
        <v>366</v>
      </c>
      <c r="C25" s="52" t="s">
        <v>322</v>
      </c>
      <c r="D25" s="64" t="s">
        <v>367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2026-05-13T22:14:50Z</dcterms:created>
  <dcterms:modified xsi:type="dcterms:W3CDTF">2026-05-13T22:14:50Z</dcterms:modified>
</cp:coreProperties>
</file>