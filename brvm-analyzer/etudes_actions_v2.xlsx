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<sst xmlns="http://schemas.openxmlformats.org/spreadsheetml/2006/main" count="480" uniqueCount="380">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</sst>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0"/>
    <numFmt numFmtId="166" formatCode="0.00%"/>
    <numFmt numFmtId="167" formatCode="#,##0.00"/>
    <numFmt numFmtId="168" formatCode="0.0"/>
    <numFmt numFmtId="169" formatCode="@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0" fillId="13" borderId="2" xfId="0" applyNumberFormat="1" applyFont="1" applyFill="1" applyBorder="1" applyAlignment="1" applyProtection="1">
      <alignment horizontal="right" vertical="center"/>
      <protection locked="0"/>
    </xf>
    <xf numFmtId="0" fontId="21" fillId="13" borderId="2" xfId="0" applyFont="1" applyFill="1" applyBorder="1" applyAlignment="1" applyProtection="1">
      <alignment horizontal="center" vertical="center"/>
      <protection locked="0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2" fillId="13" borderId="2" xfId="0" applyFont="1" applyFill="1" applyBorder="1" applyAlignment="1" applyProtection="1">
      <alignment horizontal="center" vertical="center"/>
      <protection locked="0"/>
    </xf>
    <xf numFmtId="0" fontId="2" fillId="16" borderId="1" xfId="0" applyFont="1" applyFill="1" applyBorder="1" applyAlignment="1" applyProtection="1">
      <alignment horizontal="left" vertical="center"/>
      <protection locked="0"/>
    </xf>
    <xf numFmtId="1" fontId="23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24" fillId="10" borderId="2" xfId="0" applyNumberFormat="1" applyFont="1" applyFill="1" applyBorder="1" applyAlignment="1" applyProtection="1">
      <alignment horizontal="center" vertical="center"/>
      <protection locked="0"/>
    </xf>
    <xf numFmtId="0" fontId="25" fillId="15" borderId="2" xfId="0" applyFont="1" applyFill="1" applyBorder="1" applyAlignment="1" applyProtection="1">
      <alignment horizontal="center" vertical="center"/>
      <protection locked="0"/>
    </xf>
    <xf numFmtId="0" fontId="26" fillId="10" borderId="2" xfId="0" applyFont="1" applyFill="1" applyBorder="1" applyAlignment="1" applyProtection="1">
      <alignment horizontal="center" vertical="center"/>
      <protection locked="0"/>
    </xf>
    <xf numFmtId="1" fontId="27" fillId="13" borderId="3" xfId="0" applyNumberFormat="1" applyFont="1" applyFill="1" applyBorder="1" applyAlignment="1" applyProtection="1">
      <alignment horizontal="center" vertical="center"/>
      <protection locked="0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 applyProtection="1">
      <alignment horizontal="left" vertical="center"/>
      <protection locked="0"/>
    </xf>
    <xf numFmtId="169" fontId="30" fillId="6" borderId="3" xfId="0" applyNumberFormat="1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0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IF(PROFIL!B3="","FICHE D'ANALYSE BRVM — [Completer onglet PROFIL]","FICHE D'ANALYSE BRVM — "&amp;PROFIL!B3&amp;"  ("&amp;PROFIL!B4&amp;")  |  "&amp;PROFIL!B5&amp;"  |  "&amp;IF(ISNUMBER(PROFIL!B6),TEXT(PROFIL!B6,"dd/mm/yyyy"),PROFIL!B6))</f>
        <v>0</v>
      </c>
      <c r="B1" s="1"/>
      <c r="C1" s="1"/>
      <c r="D1" s="1"/>
      <c r="E1" s="1"/>
      <c r="F1" s="1"/>
      <c r="G1" s="1"/>
      <c r="H1" s="1"/>
    </row>
    <row r="2" spans="1:8">
      <c r="A2" s="2">
        <f>IF(PROFIL!B3="","Completer le PROFIL : nom, ticker, secteur, date","Nom : "&amp;PROFIL!B3&amp;"  |  Ticker : "&amp;PROFIL!B4&amp;"  |  Secteur : "&amp;PROFIL!B5&amp;"  |  Date : "&amp;IF(ISNUMBER(PROFIL!B6),TEXT(PROFIL!B6,"dd/mm/yyyy"),PROFIL!B6))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IF(PROFIL!B3="","Completer le PROFIL",PROFIL!B3&amp;"  ("&amp;PROFIL!B4&amp;")  |  "&amp;PROFIL!B5&amp;"  |  Prix : "&amp;ETUDE!B24&amp;" FCFA  |  Date : "&amp;IF(ISNUMBER(PROFIL!B6),TEXT(PROFIL!B6,"dd/mm/yyyy"),PROFIL!B6))</f>
        <v>0</v>
      </c>
      <c r="B2" s="2"/>
      <c r="C2" s="2"/>
      <c r="D2" s="2"/>
      <c r="E2" s="2"/>
    </row>
    <row r="3" spans="1:5" ht="5" customHeight="1"/>
    <row r="4" spans="1:5" ht="18" customHeight="1">
      <c r="A4" s="46" t="s">
        <v>236</v>
      </c>
      <c r="B4" s="46"/>
      <c r="C4" s="46"/>
      <c r="D4" s="46"/>
      <c r="E4" s="46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7">
        <f>IFERROR(ETUDE!G8,"")</f>
        <v>0</v>
      </c>
      <c r="C6" s="11" t="s">
        <v>242</v>
      </c>
      <c r="D6" s="48">
        <f>IFERROR(IF(ETUDE!G8&gt;=10,"Bon (&gt;=10%)",IF(ETUDE!G8&gt;=0,"Faible (&lt;10%)","Negatif")),"-")</f>
        <v>0</v>
      </c>
      <c r="E6" s="49"/>
    </row>
    <row r="7" spans="1:5">
      <c r="A7" s="5" t="s">
        <v>243</v>
      </c>
      <c r="B7" s="47">
        <f>IFERROR(ETUDE!G12,"")</f>
        <v>0</v>
      </c>
      <c r="C7" s="11" t="s">
        <v>242</v>
      </c>
      <c r="D7" s="48">
        <f>IFERROR(IF(ETUDE!G12&gt;=10,"Bon (&gt;=10%)",IF(ETUDE!G12&gt;=0,"Faible (&lt;10%)","Negatif")),"-")</f>
        <v>0</v>
      </c>
      <c r="E7" s="49"/>
    </row>
    <row r="8" spans="1:5">
      <c r="A8" s="5" t="s">
        <v>244</v>
      </c>
      <c r="B8" s="47">
        <f>IFERROR(ETUDE!G16,"")</f>
        <v>0</v>
      </c>
      <c r="C8" s="11" t="s">
        <v>245</v>
      </c>
      <c r="D8" s="48">
        <f>IFERROR(IF(ETUDE!G16&gt;=10,"Tres rentable",IF(ETUDE!G16&gt;=5,"Rentable",IF(ETUDE!G16&gt;=2,"Faiblement rentable","Faible"))),"-")</f>
        <v>0</v>
      </c>
      <c r="E8" s="49"/>
    </row>
    <row r="9" spans="1:5">
      <c r="A9" s="5" t="s">
        <v>246</v>
      </c>
      <c r="B9" s="47">
        <f>IFERROR(ETUDE!B30,"")</f>
        <v>0</v>
      </c>
      <c r="C9" s="11" t="s">
        <v>247</v>
      </c>
      <c r="D9" s="48">
        <f>IFERROR(ETUDE!D30,"-")</f>
        <v>0</v>
      </c>
      <c r="E9" s="49"/>
    </row>
    <row r="10" spans="1:5">
      <c r="A10" s="5" t="s">
        <v>248</v>
      </c>
      <c r="B10" s="47">
        <f>IFERROR(ETUDE!B32,"")</f>
        <v>0</v>
      </c>
      <c r="C10" s="11" t="s">
        <v>249</v>
      </c>
      <c r="D10" s="48">
        <f>IFERROR(ETUDE!D32,"-")</f>
        <v>0</v>
      </c>
      <c r="E10" s="49"/>
    </row>
    <row r="11" spans="1:5">
      <c r="A11" s="5" t="s">
        <v>250</v>
      </c>
      <c r="B11" s="47">
        <f>IFERROR(ETUDE!B33,"")</f>
        <v>0</v>
      </c>
      <c r="C11" s="11" t="s">
        <v>242</v>
      </c>
      <c r="D11" s="48">
        <f>IFERROR(ETUDE!D33,"-")</f>
        <v>0</v>
      </c>
      <c r="E11" s="49"/>
    </row>
    <row r="12" spans="1:5">
      <c r="A12" s="5" t="s">
        <v>251</v>
      </c>
      <c r="B12" s="47">
        <f>IFERROR(AVERAGE(ETUDE!E39:ETUDE!E43),"")</f>
        <v>0</v>
      </c>
      <c r="C12" s="11" t="s">
        <v>252</v>
      </c>
      <c r="D12" s="48">
        <f>IFERROR(IF(AVERAGE(ETUDE!E39:ETUDE!E43)&gt;=3,"Bon (&gt;=3%)","Faible (&lt;3%)"),"-")</f>
        <v>0</v>
      </c>
      <c r="E12" s="49"/>
    </row>
    <row r="13" spans="1:5">
      <c r="A13" s="5" t="s">
        <v>253</v>
      </c>
      <c r="B13" s="47">
        <f>IFERROR(ETUDE!B34,"")</f>
        <v>0</v>
      </c>
      <c r="C13" s="11" t="s">
        <v>254</v>
      </c>
      <c r="D13" s="48">
        <f>IFERROR(ETUDE!D34,"-")</f>
        <v>0</v>
      </c>
      <c r="E13" s="49"/>
    </row>
    <row r="14" spans="1:5">
      <c r="A14" s="20" t="s">
        <v>255</v>
      </c>
      <c r="B14" s="50"/>
      <c r="C14" s="50"/>
      <c r="D14" s="50"/>
      <c r="E14" s="51">
        <f>SUM(E6:E13)</f>
        <v>0</v>
      </c>
    </row>
    <row r="15" spans="1:5" ht="5" customHeight="1"/>
    <row r="16" spans="1:5" ht="18" customHeight="1">
      <c r="A16" s="46" t="s">
        <v>256</v>
      </c>
      <c r="B16" s="46"/>
      <c r="C16" s="46"/>
      <c r="D16" s="46"/>
      <c r="E16" s="46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2">
        <f>IFERROR(ETUDE!D91,"")</f>
        <v>0</v>
      </c>
      <c r="C18" s="11" t="s">
        <v>259</v>
      </c>
      <c r="D18" s="48">
        <f>IFERROR(ETUDE!E91,"-")</f>
        <v>0</v>
      </c>
      <c r="E18" s="49"/>
    </row>
    <row r="19" spans="1:5">
      <c r="A19" s="5" t="s">
        <v>260</v>
      </c>
      <c r="B19" s="52">
        <f>IFERROR(ETUDE!E95,"")</f>
        <v>0</v>
      </c>
      <c r="C19" s="11" t="s">
        <v>261</v>
      </c>
      <c r="D19" s="48">
        <f>IFERROR(ETUDE!E96,"-")</f>
        <v>0</v>
      </c>
      <c r="E19" s="49"/>
    </row>
    <row r="20" spans="1:5">
      <c r="A20" s="5" t="s">
        <v>262</v>
      </c>
      <c r="B20" s="52">
        <f>IFERROR(ETUDE!B104,"")</f>
        <v>0</v>
      </c>
      <c r="C20" s="11" t="s">
        <v>263</v>
      </c>
      <c r="D20" s="48">
        <f>IFERROR(ETUDE!D104,"-")</f>
        <v>0</v>
      </c>
      <c r="E20" s="49"/>
    </row>
    <row r="21" spans="1:5">
      <c r="A21" s="5" t="s">
        <v>264</v>
      </c>
      <c r="B21" s="52">
        <f>IFERROR(ETUDE!B116,"")</f>
        <v>0</v>
      </c>
      <c r="C21" s="11" t="s">
        <v>265</v>
      </c>
      <c r="D21" s="48">
        <f>IFERROR(ETUDE!B125,"-")</f>
        <v>0</v>
      </c>
      <c r="E21" s="49"/>
    </row>
    <row r="22" spans="1:5">
      <c r="A22" s="5" t="s">
        <v>266</v>
      </c>
      <c r="B22" s="52">
        <f>IFERROR(ETUDE!B135,"")</f>
        <v>0</v>
      </c>
      <c r="C22" s="11" t="s">
        <v>267</v>
      </c>
      <c r="D22" s="48">
        <f>IFERROR(ETUDE!D135,"-")</f>
        <v>0</v>
      </c>
      <c r="E22" s="49"/>
    </row>
    <row r="23" spans="1:5">
      <c r="A23" s="20" t="s">
        <v>268</v>
      </c>
      <c r="B23" s="50"/>
      <c r="C23" s="50"/>
      <c r="D23" s="50"/>
      <c r="E23" s="51">
        <f>SUM(E18:E22)</f>
        <v>0</v>
      </c>
    </row>
    <row r="24" spans="1:5" ht="5" customHeight="1"/>
    <row r="25" spans="1:5" ht="18" customHeight="1">
      <c r="A25" s="53" t="s">
        <v>269</v>
      </c>
      <c r="B25" s="53"/>
      <c r="C25" s="53"/>
      <c r="D25" s="53"/>
      <c r="E25" s="53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4">
        <f>E14</f>
        <v>0</v>
      </c>
      <c r="C27" s="55">
        <v>24</v>
      </c>
      <c r="D27" s="56">
        <f>IFERROR(E14/24*100,"")</f>
        <v>0</v>
      </c>
      <c r="E27" s="57">
        <f>IFERROR(IF(E14/24&gt;=0.7,"Solide",IF(E14/24&gt;=0.5,"Moyen","Faible")),"-")</f>
        <v>0</v>
      </c>
    </row>
    <row r="28" spans="1:5">
      <c r="A28" s="5" t="s">
        <v>274</v>
      </c>
      <c r="B28" s="54">
        <f>E23</f>
        <v>0</v>
      </c>
      <c r="C28" s="55">
        <v>15</v>
      </c>
      <c r="D28" s="56">
        <f>IFERROR(E23/15*100,"")</f>
        <v>0</v>
      </c>
      <c r="E28" s="57">
        <f>IFERROR(IF(E23/15&gt;=0.7,"Solide",IF(E23/15&gt;=0.5,"Moyen","Faible")),"-")</f>
        <v>0</v>
      </c>
    </row>
    <row r="29" spans="1:5">
      <c r="A29" s="20" t="s">
        <v>275</v>
      </c>
      <c r="B29" s="58">
        <f>IFERROR(E14+E23,"")</f>
        <v>0</v>
      </c>
      <c r="C29" s="59">
        <v>39</v>
      </c>
      <c r="D29" s="56">
        <f>IFERROR(B29/39*100,"")</f>
        <v>0</v>
      </c>
      <c r="E29" s="60">
        <f>IFERROR(IF(B29/39&gt;=0.7,"ACHETER",IF(B29/39&gt;=0.5,"SURVEILLER","EVITER")),"-")</f>
        <v>0</v>
      </c>
    </row>
    <row r="30" spans="1:5" ht="5" customHeight="1"/>
    <row r="31" spans="1:5" ht="18" customHeight="1">
      <c r="A31" s="46" t="s">
        <v>276</v>
      </c>
      <c r="B31" s="46"/>
      <c r="C31" s="46"/>
      <c r="D31" s="46"/>
      <c r="E31" s="46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61">
        <f>IFERROR(ETUDE!D178,"")</f>
        <v>0</v>
      </c>
      <c r="B33" s="62">
        <f>IFERROR(ETUDE!E179,"-")</f>
        <v>0</v>
      </c>
      <c r="C33" s="63">
        <f>IFERROR(ETUDE!D153,"")</f>
        <v>0</v>
      </c>
      <c r="D33" s="63">
        <f>IFERROR(ETUDE!D161,"")</f>
        <v>0</v>
      </c>
      <c r="E33" s="64">
        <f>IFERROR(IF(ETUDE!B24&lt;ETUDE!B31,"Prix &lt; VMC","Prix &gt; VMC"),"-")</f>
        <v>0</v>
      </c>
    </row>
    <row r="34" spans="1:5" ht="5" customHeight="1"/>
    <row r="35" spans="1:5" ht="18" customHeight="1">
      <c r="A35" s="46" t="s">
        <v>281</v>
      </c>
      <c r="B35" s="46"/>
      <c r="C35" s="46"/>
      <c r="D35" s="46"/>
      <c r="E35" s="46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5" t="s">
        <v>284</v>
      </c>
      <c r="B3" s="66"/>
      <c r="C3" s="66"/>
      <c r="D3" s="67" t="s">
        <v>285</v>
      </c>
    </row>
    <row r="4" spans="1:4" ht="22" customHeight="1">
      <c r="A4" s="65" t="s">
        <v>286</v>
      </c>
      <c r="B4" s="66"/>
      <c r="C4" s="66"/>
      <c r="D4" s="67" t="s">
        <v>287</v>
      </c>
    </row>
    <row r="5" spans="1:4" ht="22" customHeight="1">
      <c r="A5" s="65" t="s">
        <v>288</v>
      </c>
      <c r="B5" s="66"/>
      <c r="C5" s="66"/>
      <c r="D5" s="67" t="s">
        <v>289</v>
      </c>
    </row>
    <row r="6" spans="1:4" ht="22" customHeight="1">
      <c r="A6" s="65" t="s">
        <v>290</v>
      </c>
      <c r="B6" s="68"/>
      <c r="C6" s="68"/>
      <c r="D6" s="67" t="s">
        <v>291</v>
      </c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5">
        <f>B3</f>
        <v>0</v>
      </c>
      <c r="C9" s="14" t="s">
        <v>294</v>
      </c>
      <c r="D9" s="12"/>
    </row>
    <row r="10" spans="1:4">
      <c r="A10" s="5" t="s">
        <v>286</v>
      </c>
      <c r="B10" s="45">
        <f>B4</f>
        <v>0</v>
      </c>
      <c r="C10" s="14" t="s">
        <v>294</v>
      </c>
      <c r="D10" s="12"/>
    </row>
    <row r="11" spans="1:4">
      <c r="A11" s="5" t="s">
        <v>295</v>
      </c>
      <c r="B11" s="45">
        <f>B5</f>
        <v>0</v>
      </c>
      <c r="C11" s="14" t="s">
        <v>294</v>
      </c>
      <c r="D11" s="12"/>
    </row>
    <row r="12" spans="1:4">
      <c r="A12" s="5" t="s">
        <v>296</v>
      </c>
      <c r="B12" s="69"/>
      <c r="C12" s="12"/>
      <c r="D12" s="12"/>
    </row>
    <row r="13" spans="1:4">
      <c r="A13" s="5" t="s">
        <v>297</v>
      </c>
      <c r="B13" s="69"/>
      <c r="C13" s="12"/>
      <c r="D13" s="12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9"/>
      <c r="C16" s="12"/>
      <c r="D16" s="12"/>
    </row>
    <row r="17" spans="1:4">
      <c r="A17" s="5" t="s">
        <v>299</v>
      </c>
      <c r="B17" s="69"/>
      <c r="C17" s="12"/>
      <c r="D17" s="12"/>
    </row>
    <row r="18" spans="1:4">
      <c r="A18" s="5" t="s">
        <v>224</v>
      </c>
      <c r="B18" s="69"/>
      <c r="C18" s="12"/>
      <c r="D18" s="12"/>
    </row>
    <row r="19" spans="1:4">
      <c r="A19" s="5" t="s">
        <v>225</v>
      </c>
      <c r="B19" s="69"/>
      <c r="C19" s="12"/>
      <c r="D19" s="12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12"/>
      <c r="D22" s="12"/>
    </row>
    <row r="23" spans="1:4">
      <c r="A23" s="5" t="s">
        <v>228</v>
      </c>
      <c r="B23" s="69"/>
      <c r="C23" s="12"/>
      <c r="D23" s="12"/>
    </row>
    <row r="24" spans="1:4">
      <c r="A24" s="5" t="s">
        <v>229</v>
      </c>
      <c r="B24" s="14" t="s">
        <v>302</v>
      </c>
      <c r="C24" s="12"/>
      <c r="D24" s="12"/>
    </row>
    <row r="25" spans="1:4">
      <c r="A25" s="5" t="s">
        <v>230</v>
      </c>
      <c r="B25" s="14" t="s">
        <v>303</v>
      </c>
      <c r="C25" s="12"/>
      <c r="D25" s="12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9"/>
      <c r="C28" s="12"/>
      <c r="D28" s="12"/>
    </row>
    <row r="29" spans="1:4">
      <c r="A29" s="5" t="s">
        <v>232</v>
      </c>
      <c r="B29" s="69"/>
      <c r="C29" s="12"/>
      <c r="D29" s="12"/>
    </row>
    <row r="30" spans="1:4">
      <c r="A30" s="5" t="s">
        <v>233</v>
      </c>
      <c r="B30" s="69"/>
      <c r="C30" s="12"/>
      <c r="D30" s="12"/>
    </row>
    <row r="31" spans="1:4">
      <c r="A31" s="5" t="s">
        <v>234</v>
      </c>
      <c r="B31" s="14" t="s">
        <v>305</v>
      </c>
      <c r="C31" s="12"/>
      <c r="D31" s="12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12"/>
      <c r="D34" s="12"/>
    </row>
    <row r="35" spans="1:4">
      <c r="A35" s="5" t="s">
        <v>309</v>
      </c>
      <c r="B35" s="69"/>
      <c r="C35" s="12"/>
      <c r="D35" s="12"/>
    </row>
    <row r="36" spans="1:4">
      <c r="A36" s="5" t="s">
        <v>310</v>
      </c>
      <c r="B36" s="14" t="s">
        <v>311</v>
      </c>
      <c r="C36" s="12"/>
      <c r="D36" s="12"/>
    </row>
    <row r="37" spans="1:4">
      <c r="A37" s="5" t="s">
        <v>312</v>
      </c>
      <c r="B37" s="14" t="s">
        <v>313</v>
      </c>
      <c r="C37" s="12"/>
      <c r="D37" s="12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70" t="s">
        <v>66</v>
      </c>
      <c r="B2" s="70" t="s">
        <v>315</v>
      </c>
      <c r="C2" s="70" t="s">
        <v>316</v>
      </c>
      <c r="D2" s="70" t="s">
        <v>317</v>
      </c>
    </row>
    <row r="3" spans="1:4" ht="18" customHeight="1">
      <c r="A3" s="46" t="s">
        <v>318</v>
      </c>
      <c r="B3" s="46"/>
      <c r="C3" s="46"/>
      <c r="D3" s="46"/>
    </row>
    <row r="4" spans="1:4" ht="28" customHeight="1">
      <c r="A4" s="20" t="s">
        <v>319</v>
      </c>
      <c r="B4" s="71" t="s">
        <v>320</v>
      </c>
      <c r="C4" s="55" t="s">
        <v>321</v>
      </c>
      <c r="D4" s="72" t="s">
        <v>322</v>
      </c>
    </row>
    <row r="5" spans="1:4" ht="28" customHeight="1">
      <c r="A5" s="20" t="s">
        <v>323</v>
      </c>
      <c r="B5" s="71" t="s">
        <v>324</v>
      </c>
      <c r="C5" s="55" t="s">
        <v>321</v>
      </c>
      <c r="D5" s="72" t="s">
        <v>325</v>
      </c>
    </row>
    <row r="6" spans="1:4" ht="28" customHeight="1">
      <c r="A6" s="20" t="s">
        <v>326</v>
      </c>
      <c r="B6" s="71" t="s">
        <v>327</v>
      </c>
      <c r="C6" s="55" t="s">
        <v>321</v>
      </c>
      <c r="D6" s="72" t="s">
        <v>328</v>
      </c>
    </row>
    <row r="7" spans="1:4" ht="28" customHeight="1">
      <c r="A7" s="20" t="s">
        <v>246</v>
      </c>
      <c r="B7" s="71" t="s">
        <v>329</v>
      </c>
      <c r="C7" s="55" t="s">
        <v>330</v>
      </c>
      <c r="D7" s="72" t="s">
        <v>331</v>
      </c>
    </row>
    <row r="8" spans="1:4" ht="28" customHeight="1">
      <c r="A8" s="20" t="s">
        <v>332</v>
      </c>
      <c r="B8" s="71" t="s">
        <v>333</v>
      </c>
      <c r="C8" s="55" t="s">
        <v>334</v>
      </c>
      <c r="D8" s="72" t="s">
        <v>335</v>
      </c>
    </row>
    <row r="9" spans="1:4" ht="28" customHeight="1">
      <c r="A9" s="20" t="s">
        <v>248</v>
      </c>
      <c r="B9" s="71" t="s">
        <v>336</v>
      </c>
      <c r="C9" s="55" t="s">
        <v>330</v>
      </c>
      <c r="D9" s="72" t="s">
        <v>337</v>
      </c>
    </row>
    <row r="10" spans="1:4" ht="28" customHeight="1">
      <c r="A10" s="20" t="s">
        <v>338</v>
      </c>
      <c r="B10" s="71" t="s">
        <v>339</v>
      </c>
      <c r="C10" s="55" t="s">
        <v>321</v>
      </c>
      <c r="D10" s="72" t="s">
        <v>340</v>
      </c>
    </row>
    <row r="11" spans="1:4" ht="28" customHeight="1">
      <c r="A11" s="20" t="s">
        <v>341</v>
      </c>
      <c r="B11" s="71" t="s">
        <v>342</v>
      </c>
      <c r="C11" s="55"/>
      <c r="D11" s="72" t="s">
        <v>343</v>
      </c>
    </row>
    <row r="12" spans="1:4" ht="28" customHeight="1">
      <c r="A12" s="20" t="s">
        <v>344</v>
      </c>
      <c r="B12" s="71" t="s">
        <v>345</v>
      </c>
      <c r="C12" s="55" t="s">
        <v>321</v>
      </c>
      <c r="D12" s="72" t="s">
        <v>346</v>
      </c>
    </row>
    <row r="13" spans="1:4" ht="28" customHeight="1">
      <c r="A13" s="20" t="s">
        <v>347</v>
      </c>
      <c r="B13" s="71" t="s">
        <v>348</v>
      </c>
      <c r="C13" s="55" t="s">
        <v>321</v>
      </c>
      <c r="D13" s="72" t="s">
        <v>349</v>
      </c>
    </row>
    <row r="14" spans="1:4" ht="18" customHeight="1">
      <c r="A14" s="46" t="s">
        <v>350</v>
      </c>
      <c r="B14" s="46"/>
      <c r="C14" s="46"/>
      <c r="D14" s="46"/>
    </row>
    <row r="15" spans="1:4" ht="28" customHeight="1">
      <c r="A15" s="20" t="s">
        <v>351</v>
      </c>
      <c r="B15" s="71" t="s">
        <v>352</v>
      </c>
      <c r="C15" s="55" t="s">
        <v>334</v>
      </c>
      <c r="D15" s="72" t="s">
        <v>353</v>
      </c>
    </row>
    <row r="16" spans="1:4" ht="28" customHeight="1">
      <c r="A16" s="20" t="s">
        <v>354</v>
      </c>
      <c r="B16" s="71" t="s">
        <v>355</v>
      </c>
      <c r="C16" s="55"/>
      <c r="D16" s="72" t="s">
        <v>356</v>
      </c>
    </row>
    <row r="17" spans="1:4" ht="28" customHeight="1">
      <c r="A17" s="20" t="s">
        <v>108</v>
      </c>
      <c r="B17" s="71" t="s">
        <v>355</v>
      </c>
      <c r="C17" s="55"/>
      <c r="D17" s="72" t="s">
        <v>357</v>
      </c>
    </row>
    <row r="18" spans="1:4" ht="28" customHeight="1">
      <c r="A18" s="20" t="s">
        <v>133</v>
      </c>
      <c r="B18" s="71" t="s">
        <v>358</v>
      </c>
      <c r="C18" s="55" t="s">
        <v>330</v>
      </c>
      <c r="D18" s="72" t="s">
        <v>359</v>
      </c>
    </row>
    <row r="19" spans="1:4" ht="28" customHeight="1">
      <c r="A19" s="20" t="s">
        <v>360</v>
      </c>
      <c r="B19" s="71" t="s">
        <v>361</v>
      </c>
      <c r="C19" s="55" t="s">
        <v>334</v>
      </c>
      <c r="D19" s="72" t="s">
        <v>362</v>
      </c>
    </row>
    <row r="20" spans="1:4" ht="28" customHeight="1">
      <c r="A20" s="20" t="s">
        <v>363</v>
      </c>
      <c r="B20" s="71" t="s">
        <v>364</v>
      </c>
      <c r="C20" s="55" t="s">
        <v>334</v>
      </c>
      <c r="D20" s="72" t="s">
        <v>365</v>
      </c>
    </row>
    <row r="21" spans="1:4" ht="18" customHeight="1">
      <c r="A21" s="46" t="s">
        <v>366</v>
      </c>
      <c r="B21" s="46"/>
      <c r="C21" s="46"/>
      <c r="D21" s="46"/>
    </row>
    <row r="22" spans="1:4" ht="28" customHeight="1">
      <c r="A22" s="20" t="s">
        <v>367</v>
      </c>
      <c r="B22" s="71" t="s">
        <v>368</v>
      </c>
      <c r="C22" s="55" t="s">
        <v>334</v>
      </c>
      <c r="D22" s="72" t="s">
        <v>369</v>
      </c>
    </row>
    <row r="23" spans="1:4" ht="28" customHeight="1">
      <c r="A23" s="20" t="s">
        <v>370</v>
      </c>
      <c r="B23" s="71" t="s">
        <v>371</v>
      </c>
      <c r="C23" s="55" t="s">
        <v>372</v>
      </c>
      <c r="D23" s="72" t="s">
        <v>373</v>
      </c>
    </row>
    <row r="24" spans="1:4" ht="28" customHeight="1">
      <c r="A24" s="20" t="s">
        <v>374</v>
      </c>
      <c r="B24" s="71" t="s">
        <v>375</v>
      </c>
      <c r="C24" s="55" t="s">
        <v>334</v>
      </c>
      <c r="D24" s="72" t="s">
        <v>376</v>
      </c>
    </row>
    <row r="25" spans="1:4" ht="28" customHeight="1">
      <c r="A25" s="20" t="s">
        <v>377</v>
      </c>
      <c r="B25" s="71" t="s">
        <v>378</v>
      </c>
      <c r="C25" s="55" t="s">
        <v>334</v>
      </c>
      <c r="D25" s="72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2026-05-14T10:49:51Z</dcterms:created>
  <dcterms:modified xsi:type="dcterms:W3CDTF">2026-05-14T10:49:51Z</dcterms:modified>
</cp:coreProperties>
</file>