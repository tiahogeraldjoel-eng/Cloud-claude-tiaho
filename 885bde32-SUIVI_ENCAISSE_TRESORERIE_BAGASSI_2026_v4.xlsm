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COMPTA_ETAT_2024\COMPTA ETAT 2026\DECADE N°15\D15_CLODE\"/>
    </mc:Choice>
  </mc:AlternateContent>
  <xr:revisionPtr revIDLastSave="0" documentId="8_{0BCFD961-BE53-4768-92E5-0429E0C3ED66}" xr6:coauthVersionLast="47" xr6:coauthVersionMax="47" xr10:uidLastSave="{00000000-0000-0000-0000-000000000000}"/>
  <bookViews>
    <workbookView xWindow="-120" yWindow="-120" windowWidth="20730" windowHeight="11040" firstSheet="1" activeTab="2" xr2:uid="{00000000-000D-0000-FFFF-FFFF00000000}"/>
  </bookViews>
  <sheets>
    <sheet name="MODE D'EMPLOI" sheetId="1" r:id="rId1"/>
    <sheet name="PARAMETRES" sheetId="2" r:id="rId2"/>
    <sheet name="TABLEAU DE BORD" sheetId="3" r:id="rId3"/>
    <sheet name="SUIVI 2026" sheetId="4" r:id="rId4"/>
    <sheet name="BILLETAGE" sheetId="5" r:id="rId5"/>
    <sheet name="CAISSIER SEC." sheetId="6" r:id="rId6"/>
    <sheet name="CORRECTIONS" sheetId="7" r:id="rId7"/>
    <sheet name="MOUVEMENTS" sheetId="8" r:id="rId8"/>
  </sheets>
  <calcPr calcId="191029"/>
</workbook>
</file>

<file path=xl/calcChain.xml><?xml version="1.0" encoding="utf-8"?>
<calcChain xmlns="http://schemas.openxmlformats.org/spreadsheetml/2006/main">
  <c r="I260" i="4" l="1"/>
  <c r="I109" i="4" l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K103" i="8" s="1"/>
  <c r="K104" i="8" s="1"/>
  <c r="K105" i="8" s="1"/>
  <c r="K106" i="8" s="1"/>
  <c r="K107" i="8" s="1"/>
  <c r="K108" i="8" s="1"/>
  <c r="K109" i="8" s="1"/>
  <c r="K110" i="8" s="1"/>
  <c r="K111" i="8" s="1"/>
  <c r="K112" i="8" s="1"/>
  <c r="K113" i="8" s="1"/>
  <c r="K114" i="8" s="1"/>
  <c r="K115" i="8" s="1"/>
  <c r="K116" i="8" s="1"/>
  <c r="K117" i="8" s="1"/>
  <c r="K118" i="8" s="1"/>
  <c r="K119" i="8" s="1"/>
  <c r="K120" i="8" s="1"/>
  <c r="K121" i="8" s="1"/>
  <c r="K122" i="8" s="1"/>
  <c r="K123" i="8" s="1"/>
  <c r="K124" i="8" s="1"/>
  <c r="K125" i="8" s="1"/>
  <c r="K126" i="8" s="1"/>
  <c r="K127" i="8" s="1"/>
  <c r="K128" i="8" s="1"/>
  <c r="K129" i="8" s="1"/>
  <c r="K130" i="8" s="1"/>
  <c r="K131" i="8" s="1"/>
  <c r="K132" i="8" s="1"/>
  <c r="K133" i="8" s="1"/>
  <c r="K134" i="8" s="1"/>
  <c r="K135" i="8" s="1"/>
  <c r="K136" i="8" s="1"/>
  <c r="K137" i="8" s="1"/>
  <c r="K138" i="8" s="1"/>
  <c r="K139" i="8" s="1"/>
  <c r="K140" i="8" s="1"/>
  <c r="K141" i="8" s="1"/>
  <c r="K142" i="8" s="1"/>
  <c r="K143" i="8" s="1"/>
  <c r="K144" i="8" s="1"/>
  <c r="K145" i="8" s="1"/>
  <c r="K146" i="8" s="1"/>
  <c r="K147" i="8" s="1"/>
  <c r="K148" i="8" s="1"/>
  <c r="K149" i="8" s="1"/>
  <c r="K150" i="8" s="1"/>
  <c r="K151" i="8" s="1"/>
  <c r="K152" i="8" s="1"/>
  <c r="K153" i="8" s="1"/>
  <c r="K154" i="8" s="1"/>
  <c r="K155" i="8" s="1"/>
  <c r="K156" i="8" s="1"/>
  <c r="K157" i="8" s="1"/>
  <c r="K158" i="8" s="1"/>
  <c r="K159" i="8" s="1"/>
  <c r="K160" i="8" s="1"/>
  <c r="K161" i="8" s="1"/>
  <c r="K162" i="8" s="1"/>
  <c r="K163" i="8" s="1"/>
  <c r="K164" i="8" s="1"/>
  <c r="K165" i="8" s="1"/>
  <c r="K166" i="8" s="1"/>
  <c r="K167" i="8" s="1"/>
  <c r="K168" i="8" s="1"/>
  <c r="K169" i="8" s="1"/>
  <c r="K170" i="8" s="1"/>
  <c r="K171" i="8" s="1"/>
  <c r="K172" i="8" s="1"/>
  <c r="K173" i="8" s="1"/>
  <c r="K174" i="8" s="1"/>
  <c r="K175" i="8" s="1"/>
  <c r="K176" i="8" s="1"/>
  <c r="K177" i="8" s="1"/>
  <c r="K178" i="8" s="1"/>
  <c r="K179" i="8" s="1"/>
  <c r="K180" i="8" s="1"/>
  <c r="K181" i="8" s="1"/>
  <c r="K182" i="8" s="1"/>
  <c r="K183" i="8" s="1"/>
  <c r="K184" i="8" s="1"/>
  <c r="K185" i="8" s="1"/>
  <c r="K186" i="8" s="1"/>
  <c r="K187" i="8" s="1"/>
  <c r="K188" i="8" s="1"/>
  <c r="K189" i="8" s="1"/>
  <c r="K190" i="8" s="1"/>
  <c r="K191" i="8" s="1"/>
  <c r="K192" i="8" s="1"/>
  <c r="K193" i="8" s="1"/>
  <c r="K194" i="8" s="1"/>
  <c r="K195" i="8" s="1"/>
  <c r="K196" i="8" s="1"/>
  <c r="K197" i="8" s="1"/>
  <c r="K198" i="8" s="1"/>
  <c r="K199" i="8" s="1"/>
  <c r="K200" i="8" s="1"/>
  <c r="K201" i="8" s="1"/>
  <c r="K202" i="8" s="1"/>
  <c r="K203" i="8" s="1"/>
  <c r="K204" i="8" s="1"/>
  <c r="K265" i="6"/>
  <c r="I265" i="6"/>
  <c r="H264" i="6"/>
  <c r="G264" i="6"/>
  <c r="H263" i="6"/>
  <c r="G263" i="6"/>
  <c r="H262" i="6"/>
  <c r="G262" i="6"/>
  <c r="H261" i="6"/>
  <c r="G261" i="6"/>
  <c r="H260" i="6"/>
  <c r="G260" i="6"/>
  <c r="H259" i="6"/>
  <c r="G259" i="6"/>
  <c r="H258" i="6"/>
  <c r="G258" i="6"/>
  <c r="H257" i="6"/>
  <c r="G257" i="6"/>
  <c r="H256" i="6"/>
  <c r="G256" i="6"/>
  <c r="H255" i="6"/>
  <c r="G255" i="6"/>
  <c r="H254" i="6"/>
  <c r="G254" i="6"/>
  <c r="H253" i="6"/>
  <c r="G253" i="6"/>
  <c r="H252" i="6"/>
  <c r="G252" i="6"/>
  <c r="H251" i="6"/>
  <c r="G251" i="6"/>
  <c r="H250" i="6"/>
  <c r="G250" i="6"/>
  <c r="H249" i="6"/>
  <c r="G249" i="6"/>
  <c r="H248" i="6"/>
  <c r="G248" i="6"/>
  <c r="H247" i="6"/>
  <c r="G247" i="6"/>
  <c r="H246" i="6"/>
  <c r="G246" i="6"/>
  <c r="H245" i="6"/>
  <c r="G245" i="6"/>
  <c r="H244" i="6"/>
  <c r="G244" i="6"/>
  <c r="H243" i="6"/>
  <c r="G243" i="6"/>
  <c r="H242" i="6"/>
  <c r="G242" i="6"/>
  <c r="H241" i="6"/>
  <c r="G241" i="6"/>
  <c r="H240" i="6"/>
  <c r="G240" i="6"/>
  <c r="H239" i="6"/>
  <c r="G239" i="6"/>
  <c r="H238" i="6"/>
  <c r="G238" i="6"/>
  <c r="H237" i="6"/>
  <c r="G237" i="6"/>
  <c r="H236" i="6"/>
  <c r="G236" i="6"/>
  <c r="H235" i="6"/>
  <c r="G235" i="6"/>
  <c r="H234" i="6"/>
  <c r="G234" i="6"/>
  <c r="H233" i="6"/>
  <c r="G233" i="6"/>
  <c r="H232" i="6"/>
  <c r="G232" i="6"/>
  <c r="H231" i="6"/>
  <c r="G231" i="6"/>
  <c r="H230" i="6"/>
  <c r="G230" i="6"/>
  <c r="H229" i="6"/>
  <c r="G229" i="6"/>
  <c r="H228" i="6"/>
  <c r="G228" i="6"/>
  <c r="H227" i="6"/>
  <c r="G227" i="6"/>
  <c r="H226" i="6"/>
  <c r="G226" i="6"/>
  <c r="H225" i="6"/>
  <c r="G225" i="6"/>
  <c r="H224" i="6"/>
  <c r="G224" i="6"/>
  <c r="H223" i="6"/>
  <c r="G223" i="6"/>
  <c r="H222" i="6"/>
  <c r="G222" i="6"/>
  <c r="H221" i="6"/>
  <c r="G221" i="6"/>
  <c r="H220" i="6"/>
  <c r="G220" i="6"/>
  <c r="H219" i="6"/>
  <c r="G219" i="6"/>
  <c r="H218" i="6"/>
  <c r="G218" i="6"/>
  <c r="H217" i="6"/>
  <c r="G217" i="6"/>
  <c r="H216" i="6"/>
  <c r="G216" i="6"/>
  <c r="H215" i="6"/>
  <c r="G215" i="6"/>
  <c r="H214" i="6"/>
  <c r="G214" i="6"/>
  <c r="H213" i="6"/>
  <c r="G213" i="6"/>
  <c r="H212" i="6"/>
  <c r="G212" i="6"/>
  <c r="H211" i="6"/>
  <c r="G211" i="6"/>
  <c r="H210" i="6"/>
  <c r="G210" i="6"/>
  <c r="H209" i="6"/>
  <c r="G209" i="6"/>
  <c r="H208" i="6"/>
  <c r="G208" i="6"/>
  <c r="H207" i="6"/>
  <c r="G207" i="6"/>
  <c r="H206" i="6"/>
  <c r="G206" i="6"/>
  <c r="H205" i="6"/>
  <c r="G205" i="6"/>
  <c r="H204" i="6"/>
  <c r="G204" i="6"/>
  <c r="H203" i="6"/>
  <c r="G203" i="6"/>
  <c r="H202" i="6"/>
  <c r="G202" i="6"/>
  <c r="H201" i="6"/>
  <c r="G201" i="6"/>
  <c r="H200" i="6"/>
  <c r="G200" i="6"/>
  <c r="H199" i="6"/>
  <c r="G199" i="6"/>
  <c r="H198" i="6"/>
  <c r="G198" i="6"/>
  <c r="H197" i="6"/>
  <c r="G197" i="6"/>
  <c r="H196" i="6"/>
  <c r="G196" i="6"/>
  <c r="H195" i="6"/>
  <c r="G195" i="6"/>
  <c r="H194" i="6"/>
  <c r="G194" i="6"/>
  <c r="H193" i="6"/>
  <c r="G193" i="6"/>
  <c r="H192" i="6"/>
  <c r="G192" i="6"/>
  <c r="H191" i="6"/>
  <c r="G191" i="6"/>
  <c r="H190" i="6"/>
  <c r="G190" i="6"/>
  <c r="H189" i="6"/>
  <c r="G189" i="6"/>
  <c r="H188" i="6"/>
  <c r="G188" i="6"/>
  <c r="H187" i="6"/>
  <c r="G187" i="6"/>
  <c r="H186" i="6"/>
  <c r="G186" i="6"/>
  <c r="H185" i="6"/>
  <c r="G185" i="6"/>
  <c r="H184" i="6"/>
  <c r="G184" i="6"/>
  <c r="H183" i="6"/>
  <c r="G183" i="6"/>
  <c r="H182" i="6"/>
  <c r="G182" i="6"/>
  <c r="H181" i="6"/>
  <c r="G181" i="6"/>
  <c r="H180" i="6"/>
  <c r="G180" i="6"/>
  <c r="H179" i="6"/>
  <c r="G179" i="6"/>
  <c r="H178" i="6"/>
  <c r="G178" i="6"/>
  <c r="H177" i="6"/>
  <c r="G177" i="6"/>
  <c r="H176" i="6"/>
  <c r="G176" i="6"/>
  <c r="H175" i="6"/>
  <c r="G175" i="6"/>
  <c r="H174" i="6"/>
  <c r="G174" i="6"/>
  <c r="H173" i="6"/>
  <c r="G173" i="6"/>
  <c r="H172" i="6"/>
  <c r="G172" i="6"/>
  <c r="H171" i="6"/>
  <c r="G171" i="6"/>
  <c r="H170" i="6"/>
  <c r="G170" i="6"/>
  <c r="H169" i="6"/>
  <c r="G169" i="6"/>
  <c r="H168" i="6"/>
  <c r="G168" i="6"/>
  <c r="H167" i="6"/>
  <c r="G167" i="6"/>
  <c r="H166" i="6"/>
  <c r="G166" i="6"/>
  <c r="H165" i="6"/>
  <c r="G165" i="6"/>
  <c r="H164" i="6"/>
  <c r="G164" i="6"/>
  <c r="H163" i="6"/>
  <c r="G163" i="6"/>
  <c r="H162" i="6"/>
  <c r="G162" i="6"/>
  <c r="H161" i="6"/>
  <c r="G161" i="6"/>
  <c r="H160" i="6"/>
  <c r="G160" i="6"/>
  <c r="H159" i="6"/>
  <c r="G159" i="6"/>
  <c r="H158" i="6"/>
  <c r="G158" i="6"/>
  <c r="H157" i="6"/>
  <c r="G157" i="6"/>
  <c r="H156" i="6"/>
  <c r="G156" i="6"/>
  <c r="H155" i="6"/>
  <c r="G155" i="6"/>
  <c r="H154" i="6"/>
  <c r="G154" i="6"/>
  <c r="H153" i="6"/>
  <c r="G153" i="6"/>
  <c r="H152" i="6"/>
  <c r="G152" i="6"/>
  <c r="H151" i="6"/>
  <c r="G151" i="6"/>
  <c r="H150" i="6"/>
  <c r="G150" i="6"/>
  <c r="H149" i="6"/>
  <c r="G149" i="6"/>
  <c r="H148" i="6"/>
  <c r="G148" i="6"/>
  <c r="H147" i="6"/>
  <c r="G147" i="6"/>
  <c r="H146" i="6"/>
  <c r="G146" i="6"/>
  <c r="H145" i="6"/>
  <c r="G145" i="6"/>
  <c r="H144" i="6"/>
  <c r="G144" i="6"/>
  <c r="H143" i="6"/>
  <c r="G143" i="6"/>
  <c r="H142" i="6"/>
  <c r="G142" i="6"/>
  <c r="H141" i="6"/>
  <c r="G141" i="6"/>
  <c r="H140" i="6"/>
  <c r="G140" i="6"/>
  <c r="H139" i="6"/>
  <c r="G139" i="6"/>
  <c r="H138" i="6"/>
  <c r="G138" i="6"/>
  <c r="H137" i="6"/>
  <c r="G137" i="6"/>
  <c r="H136" i="6"/>
  <c r="G136" i="6"/>
  <c r="H135" i="6"/>
  <c r="G135" i="6"/>
  <c r="H134" i="6"/>
  <c r="G134" i="6"/>
  <c r="H133" i="6"/>
  <c r="G133" i="6"/>
  <c r="H132" i="6"/>
  <c r="G132" i="6"/>
  <c r="H131" i="6"/>
  <c r="G131" i="6"/>
  <c r="H130" i="6"/>
  <c r="G130" i="6"/>
  <c r="H129" i="6"/>
  <c r="G129" i="6"/>
  <c r="H128" i="6"/>
  <c r="G128" i="6"/>
  <c r="H127" i="6"/>
  <c r="G127" i="6"/>
  <c r="H126" i="6"/>
  <c r="G126" i="6"/>
  <c r="H125" i="6"/>
  <c r="G125" i="6"/>
  <c r="H124" i="6"/>
  <c r="G124" i="6"/>
  <c r="H123" i="6"/>
  <c r="G123" i="6"/>
  <c r="H122" i="6"/>
  <c r="G122" i="6"/>
  <c r="H121" i="6"/>
  <c r="G121" i="6"/>
  <c r="H120" i="6"/>
  <c r="G120" i="6"/>
  <c r="H119" i="6"/>
  <c r="G119" i="6"/>
  <c r="H118" i="6"/>
  <c r="G118" i="6"/>
  <c r="H117" i="6"/>
  <c r="G117" i="6"/>
  <c r="H116" i="6"/>
  <c r="G116" i="6"/>
  <c r="H115" i="6"/>
  <c r="G115" i="6"/>
  <c r="H114" i="6"/>
  <c r="G114" i="6"/>
  <c r="H113" i="6"/>
  <c r="G113" i="6"/>
  <c r="H112" i="6"/>
  <c r="G112" i="6"/>
  <c r="H111" i="6"/>
  <c r="G111" i="6"/>
  <c r="H110" i="6"/>
  <c r="G110" i="6"/>
  <c r="H109" i="6"/>
  <c r="G109" i="6"/>
  <c r="H108" i="6"/>
  <c r="G108" i="6"/>
  <c r="H107" i="6"/>
  <c r="G107" i="6"/>
  <c r="H106" i="6"/>
  <c r="G106" i="6"/>
  <c r="H105" i="6"/>
  <c r="G105" i="6"/>
  <c r="H104" i="6"/>
  <c r="G104" i="6"/>
  <c r="H103" i="6"/>
  <c r="G103" i="6"/>
  <c r="H102" i="6"/>
  <c r="G102" i="6"/>
  <c r="H101" i="6"/>
  <c r="G101" i="6"/>
  <c r="H100" i="6"/>
  <c r="G100" i="6"/>
  <c r="H99" i="6"/>
  <c r="G99" i="6"/>
  <c r="H98" i="6"/>
  <c r="G98" i="6"/>
  <c r="H97" i="6"/>
  <c r="G97" i="6"/>
  <c r="H96" i="6"/>
  <c r="G96" i="6"/>
  <c r="H95" i="6"/>
  <c r="G95" i="6"/>
  <c r="H94" i="6"/>
  <c r="G94" i="6"/>
  <c r="H93" i="6"/>
  <c r="G93" i="6"/>
  <c r="H92" i="6"/>
  <c r="G92" i="6"/>
  <c r="H91" i="6"/>
  <c r="G91" i="6"/>
  <c r="H90" i="6"/>
  <c r="G90" i="6"/>
  <c r="H89" i="6"/>
  <c r="G89" i="6"/>
  <c r="H88" i="6"/>
  <c r="G88" i="6"/>
  <c r="H87" i="6"/>
  <c r="G87" i="6"/>
  <c r="H86" i="6"/>
  <c r="G86" i="6"/>
  <c r="H85" i="6"/>
  <c r="G85" i="6"/>
  <c r="H84" i="6"/>
  <c r="G84" i="6"/>
  <c r="H83" i="6"/>
  <c r="G83" i="6"/>
  <c r="H82" i="6"/>
  <c r="G82" i="6"/>
  <c r="H81" i="6"/>
  <c r="G81" i="6"/>
  <c r="H80" i="6"/>
  <c r="G80" i="6"/>
  <c r="H79" i="6"/>
  <c r="G79" i="6"/>
  <c r="H78" i="6"/>
  <c r="G78" i="6"/>
  <c r="H77" i="6"/>
  <c r="G77" i="6"/>
  <c r="H76" i="6"/>
  <c r="G76" i="6"/>
  <c r="H75" i="6"/>
  <c r="G75" i="6"/>
  <c r="H74" i="6"/>
  <c r="G74" i="6"/>
  <c r="H73" i="6"/>
  <c r="G73" i="6"/>
  <c r="H72" i="6"/>
  <c r="G72" i="6"/>
  <c r="H71" i="6"/>
  <c r="G71" i="6"/>
  <c r="H70" i="6"/>
  <c r="G70" i="6"/>
  <c r="H69" i="6"/>
  <c r="G69" i="6"/>
  <c r="H68" i="6"/>
  <c r="G68" i="6"/>
  <c r="H67" i="6"/>
  <c r="G67" i="6"/>
  <c r="H66" i="6"/>
  <c r="G66" i="6"/>
  <c r="H65" i="6"/>
  <c r="G65" i="6"/>
  <c r="H64" i="6"/>
  <c r="G64" i="6"/>
  <c r="H63" i="6"/>
  <c r="G63" i="6"/>
  <c r="H62" i="6"/>
  <c r="G62" i="6"/>
  <c r="H61" i="6"/>
  <c r="G61" i="6"/>
  <c r="H60" i="6"/>
  <c r="G60" i="6"/>
  <c r="H59" i="6"/>
  <c r="G59" i="6"/>
  <c r="H58" i="6"/>
  <c r="G58" i="6"/>
  <c r="H57" i="6"/>
  <c r="G57" i="6"/>
  <c r="H56" i="6"/>
  <c r="G56" i="6"/>
  <c r="H55" i="6"/>
  <c r="G55" i="6"/>
  <c r="H54" i="6"/>
  <c r="G54" i="6"/>
  <c r="H53" i="6"/>
  <c r="G53" i="6"/>
  <c r="H52" i="6"/>
  <c r="G52" i="6"/>
  <c r="H51" i="6"/>
  <c r="G51" i="6"/>
  <c r="H50" i="6"/>
  <c r="G50" i="6"/>
  <c r="H49" i="6"/>
  <c r="G49" i="6"/>
  <c r="H48" i="6"/>
  <c r="G48" i="6"/>
  <c r="H47" i="6"/>
  <c r="G47" i="6"/>
  <c r="H46" i="6"/>
  <c r="G46" i="6"/>
  <c r="H45" i="6"/>
  <c r="G45" i="6"/>
  <c r="H44" i="6"/>
  <c r="G44" i="6"/>
  <c r="H43" i="6"/>
  <c r="G43" i="6"/>
  <c r="H42" i="6"/>
  <c r="G42" i="6"/>
  <c r="H41" i="6"/>
  <c r="G41" i="6"/>
  <c r="H40" i="6"/>
  <c r="G40" i="6"/>
  <c r="H39" i="6"/>
  <c r="G39" i="6"/>
  <c r="H38" i="6"/>
  <c r="G38" i="6"/>
  <c r="H37" i="6"/>
  <c r="G37" i="6"/>
  <c r="H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F11" i="6"/>
  <c r="J11" i="6" s="1"/>
  <c r="F12" i="6" s="1"/>
  <c r="J12" i="6" s="1"/>
  <c r="F13" i="6" s="1"/>
  <c r="J13" i="6" s="1"/>
  <c r="F14" i="6" s="1"/>
  <c r="J14" i="6" s="1"/>
  <c r="F15" i="6" s="1"/>
  <c r="J15" i="6" s="1"/>
  <c r="F16" i="6" s="1"/>
  <c r="J16" i="6" s="1"/>
  <c r="F17" i="6" s="1"/>
  <c r="J17" i="6" s="1"/>
  <c r="F18" i="6" s="1"/>
  <c r="J18" i="6" s="1"/>
  <c r="F19" i="6" s="1"/>
  <c r="J19" i="6" s="1"/>
  <c r="F20" i="6" s="1"/>
  <c r="J20" i="6" s="1"/>
  <c r="F21" i="6" s="1"/>
  <c r="J21" i="6" s="1"/>
  <c r="F22" i="6" s="1"/>
  <c r="J22" i="6" s="1"/>
  <c r="F23" i="6" s="1"/>
  <c r="J23" i="6" s="1"/>
  <c r="F24" i="6" s="1"/>
  <c r="J24" i="6" s="1"/>
  <c r="F25" i="6" s="1"/>
  <c r="J25" i="6" s="1"/>
  <c r="F26" i="6" s="1"/>
  <c r="J26" i="6" s="1"/>
  <c r="F27" i="6" s="1"/>
  <c r="J27" i="6" s="1"/>
  <c r="F28" i="6" s="1"/>
  <c r="J28" i="6" s="1"/>
  <c r="F29" i="6" s="1"/>
  <c r="J29" i="6" s="1"/>
  <c r="F30" i="6" s="1"/>
  <c r="J30" i="6" s="1"/>
  <c r="F31" i="6" s="1"/>
  <c r="J31" i="6" s="1"/>
  <c r="F32" i="6" s="1"/>
  <c r="J32" i="6" s="1"/>
  <c r="F33" i="6" s="1"/>
  <c r="J33" i="6" s="1"/>
  <c r="F34" i="6" s="1"/>
  <c r="J34" i="6" s="1"/>
  <c r="F35" i="6" s="1"/>
  <c r="J35" i="6" s="1"/>
  <c r="F36" i="6" s="1"/>
  <c r="J36" i="6" s="1"/>
  <c r="F37" i="6" s="1"/>
  <c r="J37" i="6" s="1"/>
  <c r="F38" i="6" s="1"/>
  <c r="J38" i="6" s="1"/>
  <c r="F39" i="6" s="1"/>
  <c r="J39" i="6" s="1"/>
  <c r="F40" i="6" s="1"/>
  <c r="J40" i="6" s="1"/>
  <c r="F41" i="6" s="1"/>
  <c r="J41" i="6" s="1"/>
  <c r="F42" i="6" s="1"/>
  <c r="J42" i="6" s="1"/>
  <c r="F43" i="6" s="1"/>
  <c r="J43" i="6" s="1"/>
  <c r="F44" i="6" s="1"/>
  <c r="J44" i="6" s="1"/>
  <c r="F45" i="6" s="1"/>
  <c r="J45" i="6" s="1"/>
  <c r="F46" i="6" s="1"/>
  <c r="J46" i="6" s="1"/>
  <c r="F47" i="6" s="1"/>
  <c r="J47" i="6" s="1"/>
  <c r="F48" i="6" s="1"/>
  <c r="J48" i="6" s="1"/>
  <c r="F49" i="6" s="1"/>
  <c r="J49" i="6" s="1"/>
  <c r="F50" i="6" s="1"/>
  <c r="J50" i="6" s="1"/>
  <c r="F51" i="6" s="1"/>
  <c r="J51" i="6" s="1"/>
  <c r="F52" i="6" s="1"/>
  <c r="J52" i="6" s="1"/>
  <c r="F53" i="6" s="1"/>
  <c r="J53" i="6" s="1"/>
  <c r="F54" i="6" s="1"/>
  <c r="J54" i="6" s="1"/>
  <c r="F55" i="6" s="1"/>
  <c r="J55" i="6" s="1"/>
  <c r="F56" i="6" s="1"/>
  <c r="J56" i="6" s="1"/>
  <c r="F57" i="6" s="1"/>
  <c r="J57" i="6" s="1"/>
  <c r="F58" i="6" s="1"/>
  <c r="J58" i="6" s="1"/>
  <c r="F59" i="6" s="1"/>
  <c r="J59" i="6" s="1"/>
  <c r="F60" i="6" s="1"/>
  <c r="J60" i="6" s="1"/>
  <c r="F61" i="6" s="1"/>
  <c r="J61" i="6" s="1"/>
  <c r="F62" i="6" s="1"/>
  <c r="J62" i="6" s="1"/>
  <c r="F63" i="6" s="1"/>
  <c r="J63" i="6" s="1"/>
  <c r="F64" i="6" s="1"/>
  <c r="J64" i="6" s="1"/>
  <c r="F65" i="6" s="1"/>
  <c r="J65" i="6" s="1"/>
  <c r="F66" i="6" s="1"/>
  <c r="J66" i="6" s="1"/>
  <c r="F67" i="6" s="1"/>
  <c r="J67" i="6" s="1"/>
  <c r="F68" i="6" s="1"/>
  <c r="J68" i="6" s="1"/>
  <c r="F69" i="6" s="1"/>
  <c r="J69" i="6" s="1"/>
  <c r="F70" i="6" s="1"/>
  <c r="J70" i="6" s="1"/>
  <c r="F71" i="6" s="1"/>
  <c r="J71" i="6" s="1"/>
  <c r="F72" i="6" s="1"/>
  <c r="J72" i="6" s="1"/>
  <c r="F73" i="6" s="1"/>
  <c r="J73" i="6" s="1"/>
  <c r="F74" i="6" s="1"/>
  <c r="J74" i="6" s="1"/>
  <c r="F75" i="6" s="1"/>
  <c r="J75" i="6" s="1"/>
  <c r="F76" i="6" s="1"/>
  <c r="J76" i="6" s="1"/>
  <c r="F77" i="6" s="1"/>
  <c r="J77" i="6" s="1"/>
  <c r="F78" i="6" s="1"/>
  <c r="J78" i="6" s="1"/>
  <c r="F79" i="6" s="1"/>
  <c r="J79" i="6" s="1"/>
  <c r="F80" i="6" s="1"/>
  <c r="J80" i="6" s="1"/>
  <c r="F81" i="6" s="1"/>
  <c r="J81" i="6" s="1"/>
  <c r="F82" i="6" s="1"/>
  <c r="J82" i="6" s="1"/>
  <c r="F83" i="6" s="1"/>
  <c r="J83" i="6" s="1"/>
  <c r="F84" i="6" s="1"/>
  <c r="J84" i="6" s="1"/>
  <c r="F85" i="6" s="1"/>
  <c r="J85" i="6" s="1"/>
  <c r="F86" i="6" s="1"/>
  <c r="J86" i="6" s="1"/>
  <c r="F87" i="6" s="1"/>
  <c r="J87" i="6" s="1"/>
  <c r="F88" i="6" s="1"/>
  <c r="J88" i="6" s="1"/>
  <c r="F89" i="6" s="1"/>
  <c r="J89" i="6" s="1"/>
  <c r="F90" i="6" s="1"/>
  <c r="J90" i="6" s="1"/>
  <c r="F91" i="6" s="1"/>
  <c r="J91" i="6" s="1"/>
  <c r="F92" i="6" s="1"/>
  <c r="J92" i="6" s="1"/>
  <c r="F93" i="6" s="1"/>
  <c r="J93" i="6" s="1"/>
  <c r="F94" i="6" s="1"/>
  <c r="J94" i="6" s="1"/>
  <c r="F95" i="6" s="1"/>
  <c r="J95" i="6" s="1"/>
  <c r="F96" i="6" s="1"/>
  <c r="J96" i="6" s="1"/>
  <c r="F97" i="6" s="1"/>
  <c r="J97" i="6" s="1"/>
  <c r="F98" i="6" s="1"/>
  <c r="J98" i="6" s="1"/>
  <c r="F99" i="6" s="1"/>
  <c r="J99" i="6" s="1"/>
  <c r="F100" i="6" s="1"/>
  <c r="J100" i="6" s="1"/>
  <c r="F101" i="6" s="1"/>
  <c r="J101" i="6" s="1"/>
  <c r="F102" i="6" s="1"/>
  <c r="J102" i="6" s="1"/>
  <c r="F103" i="6" s="1"/>
  <c r="J103" i="6" s="1"/>
  <c r="F104" i="6" s="1"/>
  <c r="J104" i="6" s="1"/>
  <c r="F105" i="6" s="1"/>
  <c r="J105" i="6" s="1"/>
  <c r="F106" i="6" s="1"/>
  <c r="J106" i="6" s="1"/>
  <c r="F107" i="6" s="1"/>
  <c r="J107" i="6" s="1"/>
  <c r="F108" i="6" s="1"/>
  <c r="J108" i="6" s="1"/>
  <c r="F109" i="6" s="1"/>
  <c r="J109" i="6" s="1"/>
  <c r="F110" i="6" s="1"/>
  <c r="J110" i="6" s="1"/>
  <c r="F111" i="6" s="1"/>
  <c r="J111" i="6" s="1"/>
  <c r="F112" i="6" s="1"/>
  <c r="J112" i="6" s="1"/>
  <c r="F113" i="6" s="1"/>
  <c r="J113" i="6" s="1"/>
  <c r="F114" i="6" s="1"/>
  <c r="J114" i="6" s="1"/>
  <c r="F115" i="6" s="1"/>
  <c r="J115" i="6" s="1"/>
  <c r="F116" i="6" s="1"/>
  <c r="J116" i="6" s="1"/>
  <c r="F117" i="6" s="1"/>
  <c r="J117" i="6" s="1"/>
  <c r="F118" i="6" s="1"/>
  <c r="J118" i="6" s="1"/>
  <c r="F119" i="6" s="1"/>
  <c r="J119" i="6" s="1"/>
  <c r="F120" i="6" s="1"/>
  <c r="J120" i="6" s="1"/>
  <c r="F121" i="6" s="1"/>
  <c r="J121" i="6" s="1"/>
  <c r="F122" i="6" s="1"/>
  <c r="J122" i="6" s="1"/>
  <c r="F123" i="6" s="1"/>
  <c r="J123" i="6" s="1"/>
  <c r="F124" i="6" s="1"/>
  <c r="J124" i="6" s="1"/>
  <c r="F125" i="6" s="1"/>
  <c r="J125" i="6" s="1"/>
  <c r="F126" i="6" s="1"/>
  <c r="J126" i="6" s="1"/>
  <c r="F127" i="6" s="1"/>
  <c r="J127" i="6" s="1"/>
  <c r="F128" i="6" s="1"/>
  <c r="J128" i="6" s="1"/>
  <c r="F129" i="6" s="1"/>
  <c r="J129" i="6" s="1"/>
  <c r="F130" i="6" s="1"/>
  <c r="J130" i="6" s="1"/>
  <c r="F131" i="6" s="1"/>
  <c r="J131" i="6" s="1"/>
  <c r="F132" i="6" s="1"/>
  <c r="J132" i="6" s="1"/>
  <c r="F133" i="6" s="1"/>
  <c r="J133" i="6" s="1"/>
  <c r="F134" i="6" s="1"/>
  <c r="J134" i="6" s="1"/>
  <c r="F135" i="6" s="1"/>
  <c r="J135" i="6" s="1"/>
  <c r="F136" i="6" s="1"/>
  <c r="J136" i="6" s="1"/>
  <c r="F137" i="6" s="1"/>
  <c r="J137" i="6" s="1"/>
  <c r="F138" i="6" s="1"/>
  <c r="J138" i="6" s="1"/>
  <c r="F139" i="6" s="1"/>
  <c r="J139" i="6" s="1"/>
  <c r="F140" i="6" s="1"/>
  <c r="J140" i="6" s="1"/>
  <c r="F141" i="6" s="1"/>
  <c r="J141" i="6" s="1"/>
  <c r="F142" i="6" s="1"/>
  <c r="J142" i="6" s="1"/>
  <c r="F143" i="6" s="1"/>
  <c r="J143" i="6" s="1"/>
  <c r="F144" i="6" s="1"/>
  <c r="J144" i="6" s="1"/>
  <c r="F145" i="6" s="1"/>
  <c r="J145" i="6" s="1"/>
  <c r="F146" i="6" s="1"/>
  <c r="J146" i="6" s="1"/>
  <c r="F147" i="6" s="1"/>
  <c r="J147" i="6" s="1"/>
  <c r="F148" i="6" s="1"/>
  <c r="J148" i="6" s="1"/>
  <c r="F149" i="6" s="1"/>
  <c r="J149" i="6" s="1"/>
  <c r="F150" i="6" s="1"/>
  <c r="J150" i="6" s="1"/>
  <c r="F151" i="6" s="1"/>
  <c r="J151" i="6" s="1"/>
  <c r="F152" i="6" s="1"/>
  <c r="J152" i="6" s="1"/>
  <c r="F153" i="6" s="1"/>
  <c r="J153" i="6" s="1"/>
  <c r="F154" i="6" s="1"/>
  <c r="J154" i="6" s="1"/>
  <c r="F155" i="6" s="1"/>
  <c r="J155" i="6" s="1"/>
  <c r="F156" i="6" s="1"/>
  <c r="J156" i="6" s="1"/>
  <c r="F157" i="6" s="1"/>
  <c r="J157" i="6" s="1"/>
  <c r="F158" i="6" s="1"/>
  <c r="J158" i="6" s="1"/>
  <c r="F159" i="6" s="1"/>
  <c r="J159" i="6" s="1"/>
  <c r="F160" i="6" s="1"/>
  <c r="J160" i="6" s="1"/>
  <c r="F161" i="6" s="1"/>
  <c r="J161" i="6" s="1"/>
  <c r="F162" i="6" s="1"/>
  <c r="J162" i="6" s="1"/>
  <c r="F163" i="6" s="1"/>
  <c r="J163" i="6" s="1"/>
  <c r="F164" i="6" s="1"/>
  <c r="J164" i="6" s="1"/>
  <c r="F165" i="6" s="1"/>
  <c r="J165" i="6" s="1"/>
  <c r="F166" i="6" s="1"/>
  <c r="J166" i="6" s="1"/>
  <c r="F167" i="6" s="1"/>
  <c r="J167" i="6" s="1"/>
  <c r="F168" i="6" s="1"/>
  <c r="J168" i="6" s="1"/>
  <c r="F169" i="6" s="1"/>
  <c r="J169" i="6" s="1"/>
  <c r="F170" i="6" s="1"/>
  <c r="J170" i="6" s="1"/>
  <c r="F171" i="6" s="1"/>
  <c r="J171" i="6" s="1"/>
  <c r="F172" i="6" s="1"/>
  <c r="J172" i="6" s="1"/>
  <c r="F173" i="6" s="1"/>
  <c r="J173" i="6" s="1"/>
  <c r="F174" i="6" s="1"/>
  <c r="J174" i="6" s="1"/>
  <c r="F175" i="6" s="1"/>
  <c r="J175" i="6" s="1"/>
  <c r="F176" i="6" s="1"/>
  <c r="J176" i="6" s="1"/>
  <c r="F177" i="6" s="1"/>
  <c r="J177" i="6" s="1"/>
  <c r="F178" i="6" s="1"/>
  <c r="J178" i="6" s="1"/>
  <c r="F179" i="6" s="1"/>
  <c r="J179" i="6" s="1"/>
  <c r="F180" i="6" s="1"/>
  <c r="J180" i="6" s="1"/>
  <c r="F181" i="6" s="1"/>
  <c r="J181" i="6" s="1"/>
  <c r="F182" i="6" s="1"/>
  <c r="J182" i="6" s="1"/>
  <c r="F183" i="6" s="1"/>
  <c r="J183" i="6" s="1"/>
  <c r="F184" i="6" s="1"/>
  <c r="J184" i="6" s="1"/>
  <c r="F185" i="6" s="1"/>
  <c r="J185" i="6" s="1"/>
  <c r="F186" i="6" s="1"/>
  <c r="J186" i="6" s="1"/>
  <c r="F187" i="6" s="1"/>
  <c r="J187" i="6" s="1"/>
  <c r="F188" i="6" s="1"/>
  <c r="J188" i="6" s="1"/>
  <c r="F189" i="6" s="1"/>
  <c r="J189" i="6" s="1"/>
  <c r="F190" i="6" s="1"/>
  <c r="J190" i="6" s="1"/>
  <c r="F191" i="6" s="1"/>
  <c r="J191" i="6" s="1"/>
  <c r="F192" i="6" s="1"/>
  <c r="J192" i="6" s="1"/>
  <c r="F193" i="6" s="1"/>
  <c r="J193" i="6" s="1"/>
  <c r="F194" i="6" s="1"/>
  <c r="J194" i="6" s="1"/>
  <c r="F195" i="6" s="1"/>
  <c r="J195" i="6" s="1"/>
  <c r="F196" i="6" s="1"/>
  <c r="J196" i="6" s="1"/>
  <c r="F197" i="6" s="1"/>
  <c r="J197" i="6" s="1"/>
  <c r="F198" i="6" s="1"/>
  <c r="J198" i="6" s="1"/>
  <c r="F199" i="6" s="1"/>
  <c r="J199" i="6" s="1"/>
  <c r="F200" i="6" s="1"/>
  <c r="J200" i="6" s="1"/>
  <c r="F201" i="6" s="1"/>
  <c r="J201" i="6" s="1"/>
  <c r="F202" i="6" s="1"/>
  <c r="J202" i="6" s="1"/>
  <c r="F203" i="6" s="1"/>
  <c r="J203" i="6" s="1"/>
  <c r="F204" i="6" s="1"/>
  <c r="J204" i="6" s="1"/>
  <c r="F205" i="6" s="1"/>
  <c r="J205" i="6" s="1"/>
  <c r="F206" i="6" s="1"/>
  <c r="J206" i="6" s="1"/>
  <c r="F207" i="6" s="1"/>
  <c r="J207" i="6" s="1"/>
  <c r="F208" i="6" s="1"/>
  <c r="J208" i="6" s="1"/>
  <c r="F209" i="6" s="1"/>
  <c r="J209" i="6" s="1"/>
  <c r="F210" i="6" s="1"/>
  <c r="J210" i="6" s="1"/>
  <c r="F211" i="6" s="1"/>
  <c r="J211" i="6" s="1"/>
  <c r="F212" i="6" s="1"/>
  <c r="J212" i="6" s="1"/>
  <c r="F213" i="6" s="1"/>
  <c r="J213" i="6" s="1"/>
  <c r="F214" i="6" s="1"/>
  <c r="J214" i="6" s="1"/>
  <c r="F215" i="6" s="1"/>
  <c r="J215" i="6" s="1"/>
  <c r="F216" i="6" s="1"/>
  <c r="J216" i="6" s="1"/>
  <c r="F217" i="6" s="1"/>
  <c r="J217" i="6" s="1"/>
  <c r="F218" i="6" s="1"/>
  <c r="J218" i="6" s="1"/>
  <c r="F219" i="6" s="1"/>
  <c r="J219" i="6" s="1"/>
  <c r="F220" i="6" s="1"/>
  <c r="J220" i="6" s="1"/>
  <c r="F221" i="6" s="1"/>
  <c r="J221" i="6" s="1"/>
  <c r="F222" i="6" s="1"/>
  <c r="J222" i="6" s="1"/>
  <c r="F223" i="6" s="1"/>
  <c r="J223" i="6" s="1"/>
  <c r="F224" i="6" s="1"/>
  <c r="J224" i="6" s="1"/>
  <c r="F225" i="6" s="1"/>
  <c r="J225" i="6" s="1"/>
  <c r="F226" i="6" s="1"/>
  <c r="J226" i="6" s="1"/>
  <c r="F227" i="6" s="1"/>
  <c r="J227" i="6" s="1"/>
  <c r="F228" i="6" s="1"/>
  <c r="J228" i="6" s="1"/>
  <c r="F229" i="6" s="1"/>
  <c r="J229" i="6" s="1"/>
  <c r="F230" i="6" s="1"/>
  <c r="J230" i="6" s="1"/>
  <c r="F231" i="6" s="1"/>
  <c r="J231" i="6" s="1"/>
  <c r="F232" i="6" s="1"/>
  <c r="J232" i="6" s="1"/>
  <c r="F233" i="6" s="1"/>
  <c r="J233" i="6" s="1"/>
  <c r="F234" i="6" s="1"/>
  <c r="J234" i="6" s="1"/>
  <c r="F235" i="6" s="1"/>
  <c r="J235" i="6" s="1"/>
  <c r="F236" i="6" s="1"/>
  <c r="J236" i="6" s="1"/>
  <c r="F237" i="6" s="1"/>
  <c r="J237" i="6" s="1"/>
  <c r="F238" i="6" s="1"/>
  <c r="J238" i="6" s="1"/>
  <c r="F239" i="6" s="1"/>
  <c r="J239" i="6" s="1"/>
  <c r="F240" i="6" s="1"/>
  <c r="J240" i="6" s="1"/>
  <c r="F241" i="6" s="1"/>
  <c r="J241" i="6" s="1"/>
  <c r="F242" i="6" s="1"/>
  <c r="J242" i="6" s="1"/>
  <c r="F243" i="6" s="1"/>
  <c r="J243" i="6" s="1"/>
  <c r="F244" i="6" s="1"/>
  <c r="J244" i="6" s="1"/>
  <c r="F245" i="6" s="1"/>
  <c r="J245" i="6" s="1"/>
  <c r="F246" i="6" s="1"/>
  <c r="J246" i="6" s="1"/>
  <c r="F247" i="6" s="1"/>
  <c r="J247" i="6" s="1"/>
  <c r="F248" i="6" s="1"/>
  <c r="J248" i="6" s="1"/>
  <c r="F249" i="6" s="1"/>
  <c r="J249" i="6" s="1"/>
  <c r="F250" i="6" s="1"/>
  <c r="J250" i="6" s="1"/>
  <c r="F251" i="6" s="1"/>
  <c r="J251" i="6" s="1"/>
  <c r="F252" i="6" s="1"/>
  <c r="J252" i="6" s="1"/>
  <c r="F253" i="6" s="1"/>
  <c r="J253" i="6" s="1"/>
  <c r="F254" i="6" s="1"/>
  <c r="J254" i="6" s="1"/>
  <c r="F255" i="6" s="1"/>
  <c r="J255" i="6" s="1"/>
  <c r="F256" i="6" s="1"/>
  <c r="J256" i="6" s="1"/>
  <c r="F257" i="6" s="1"/>
  <c r="J257" i="6" s="1"/>
  <c r="F258" i="6" s="1"/>
  <c r="J258" i="6" s="1"/>
  <c r="F259" i="6" s="1"/>
  <c r="J259" i="6" s="1"/>
  <c r="F260" i="6" s="1"/>
  <c r="J260" i="6" s="1"/>
  <c r="F261" i="6" s="1"/>
  <c r="J261" i="6" s="1"/>
  <c r="F262" i="6" s="1"/>
  <c r="J262" i="6" s="1"/>
  <c r="F263" i="6" s="1"/>
  <c r="J263" i="6" s="1"/>
  <c r="F264" i="6" s="1"/>
  <c r="J264" i="6" s="1"/>
  <c r="J265" i="6" s="1"/>
  <c r="H10" i="6"/>
  <c r="G10" i="6"/>
  <c r="H9" i="6"/>
  <c r="G9" i="6"/>
  <c r="H8" i="6"/>
  <c r="G8" i="6"/>
  <c r="H7" i="6"/>
  <c r="G7" i="6"/>
  <c r="H6" i="6"/>
  <c r="G6" i="6"/>
  <c r="H5" i="6"/>
  <c r="G5" i="6"/>
  <c r="F5" i="6"/>
  <c r="J5" i="6" s="1"/>
  <c r="F6" i="6" s="1"/>
  <c r="J6" i="6" s="1"/>
  <c r="F7" i="6" s="1"/>
  <c r="J7" i="6" s="1"/>
  <c r="F8" i="6" s="1"/>
  <c r="J8" i="6" s="1"/>
  <c r="F9" i="6" s="1"/>
  <c r="J9" i="6" s="1"/>
  <c r="F10" i="6" s="1"/>
  <c r="J10" i="6" s="1"/>
  <c r="H4" i="6"/>
  <c r="G4" i="6"/>
  <c r="F4" i="6"/>
  <c r="J4" i="6" s="1"/>
  <c r="V266" i="5"/>
  <c r="U266" i="5"/>
  <c r="S266" i="5"/>
  <c r="R266" i="5"/>
  <c r="Q266" i="5"/>
  <c r="P266" i="5"/>
  <c r="O266" i="5"/>
  <c r="N266" i="5"/>
  <c r="M266" i="5"/>
  <c r="L266" i="5"/>
  <c r="K266" i="5"/>
  <c r="I266" i="5"/>
  <c r="H266" i="5"/>
  <c r="G266" i="5"/>
  <c r="F266" i="5"/>
  <c r="E266" i="5"/>
  <c r="T265" i="5"/>
  <c r="J265" i="5"/>
  <c r="W265" i="5" s="1"/>
  <c r="W264" i="5"/>
  <c r="T264" i="5"/>
  <c r="J264" i="5"/>
  <c r="T263" i="5"/>
  <c r="W263" i="5" s="1"/>
  <c r="J263" i="5"/>
  <c r="T262" i="5"/>
  <c r="J262" i="5"/>
  <c r="W262" i="5" s="1"/>
  <c r="T261" i="5"/>
  <c r="J261" i="5"/>
  <c r="W261" i="5" s="1"/>
  <c r="W260" i="5"/>
  <c r="T260" i="5"/>
  <c r="J260" i="5"/>
  <c r="T259" i="5"/>
  <c r="W259" i="5" s="1"/>
  <c r="J259" i="5"/>
  <c r="T258" i="5"/>
  <c r="J258" i="5"/>
  <c r="W258" i="5" s="1"/>
  <c r="T257" i="5"/>
  <c r="J257" i="5"/>
  <c r="W257" i="5" s="1"/>
  <c r="W256" i="5"/>
  <c r="T256" i="5"/>
  <c r="J256" i="5"/>
  <c r="T255" i="5"/>
  <c r="W255" i="5" s="1"/>
  <c r="J255" i="5"/>
  <c r="T254" i="5"/>
  <c r="J254" i="5"/>
  <c r="W254" i="5" s="1"/>
  <c r="T253" i="5"/>
  <c r="J253" i="5"/>
  <c r="W253" i="5" s="1"/>
  <c r="W252" i="5"/>
  <c r="T252" i="5"/>
  <c r="J252" i="5"/>
  <c r="T251" i="5"/>
  <c r="W251" i="5" s="1"/>
  <c r="J251" i="5"/>
  <c r="T250" i="5"/>
  <c r="J250" i="5"/>
  <c r="W250" i="5" s="1"/>
  <c r="T249" i="5"/>
  <c r="J249" i="5"/>
  <c r="W249" i="5" s="1"/>
  <c r="W248" i="5"/>
  <c r="T248" i="5"/>
  <c r="J248" i="5"/>
  <c r="T247" i="5"/>
  <c r="J247" i="5"/>
  <c r="T246" i="5"/>
  <c r="J246" i="5"/>
  <c r="W246" i="5" s="1"/>
  <c r="T245" i="5"/>
  <c r="J245" i="5"/>
  <c r="W245" i="5" s="1"/>
  <c r="W244" i="5"/>
  <c r="T244" i="5"/>
  <c r="J244" i="5"/>
  <c r="T243" i="5"/>
  <c r="J243" i="5"/>
  <c r="T242" i="5"/>
  <c r="J242" i="5"/>
  <c r="W242" i="5" s="1"/>
  <c r="T241" i="5"/>
  <c r="J241" i="5"/>
  <c r="W241" i="5" s="1"/>
  <c r="W240" i="5"/>
  <c r="T240" i="5"/>
  <c r="J240" i="5"/>
  <c r="T239" i="5"/>
  <c r="J239" i="5"/>
  <c r="T238" i="5"/>
  <c r="J238" i="5"/>
  <c r="W238" i="5" s="1"/>
  <c r="T237" i="5"/>
  <c r="J237" i="5"/>
  <c r="W237" i="5" s="1"/>
  <c r="W236" i="5"/>
  <c r="T236" i="5"/>
  <c r="J236" i="5"/>
  <c r="T235" i="5"/>
  <c r="J235" i="5"/>
  <c r="T234" i="5"/>
  <c r="J234" i="5"/>
  <c r="W234" i="5" s="1"/>
  <c r="T233" i="5"/>
  <c r="J233" i="5"/>
  <c r="W233" i="5" s="1"/>
  <c r="W232" i="5"/>
  <c r="T232" i="5"/>
  <c r="J232" i="5"/>
  <c r="T231" i="5"/>
  <c r="J231" i="5"/>
  <c r="T230" i="5"/>
  <c r="J230" i="5"/>
  <c r="W230" i="5" s="1"/>
  <c r="T229" i="5"/>
  <c r="J229" i="5"/>
  <c r="W229" i="5" s="1"/>
  <c r="W228" i="5"/>
  <c r="T228" i="5"/>
  <c r="J228" i="5"/>
  <c r="T227" i="5"/>
  <c r="J227" i="5"/>
  <c r="T226" i="5"/>
  <c r="J226" i="5"/>
  <c r="W226" i="5" s="1"/>
  <c r="T225" i="5"/>
  <c r="J225" i="5"/>
  <c r="W225" i="5" s="1"/>
  <c r="W224" i="5"/>
  <c r="T224" i="5"/>
  <c r="J224" i="5"/>
  <c r="T223" i="5"/>
  <c r="J223" i="5"/>
  <c r="T222" i="5"/>
  <c r="J222" i="5"/>
  <c r="W222" i="5" s="1"/>
  <c r="T221" i="5"/>
  <c r="W221" i="5" s="1"/>
  <c r="J221" i="5"/>
  <c r="W220" i="5"/>
  <c r="T220" i="5"/>
  <c r="J220" i="5"/>
  <c r="T219" i="5"/>
  <c r="J219" i="5"/>
  <c r="W219" i="5" s="1"/>
  <c r="T218" i="5"/>
  <c r="J218" i="5"/>
  <c r="W218" i="5" s="1"/>
  <c r="T217" i="5"/>
  <c r="J217" i="5"/>
  <c r="W217" i="5" s="1"/>
  <c r="W216" i="5"/>
  <c r="T216" i="5"/>
  <c r="J216" i="5"/>
  <c r="T215" i="5"/>
  <c r="J215" i="5"/>
  <c r="W215" i="5" s="1"/>
  <c r="T214" i="5"/>
  <c r="J214" i="5"/>
  <c r="W214" i="5" s="1"/>
  <c r="T213" i="5"/>
  <c r="W213" i="5" s="1"/>
  <c r="J213" i="5"/>
  <c r="W212" i="5"/>
  <c r="T212" i="5"/>
  <c r="J212" i="5"/>
  <c r="T211" i="5"/>
  <c r="J211" i="5"/>
  <c r="W211" i="5" s="1"/>
  <c r="W210" i="5"/>
  <c r="T210" i="5"/>
  <c r="J210" i="5"/>
  <c r="T209" i="5"/>
  <c r="J209" i="5"/>
  <c r="W209" i="5" s="1"/>
  <c r="W208" i="5"/>
  <c r="T208" i="5"/>
  <c r="J208" i="5"/>
  <c r="T207" i="5"/>
  <c r="J207" i="5"/>
  <c r="W207" i="5" s="1"/>
  <c r="W206" i="5"/>
  <c r="T206" i="5"/>
  <c r="J206" i="5"/>
  <c r="T205" i="5"/>
  <c r="J205" i="5"/>
  <c r="W204" i="5"/>
  <c r="T204" i="5"/>
  <c r="J204" i="5"/>
  <c r="T203" i="5"/>
  <c r="J203" i="5"/>
  <c r="W203" i="5" s="1"/>
  <c r="T202" i="5"/>
  <c r="W202" i="5" s="1"/>
  <c r="J202" i="5"/>
  <c r="T201" i="5"/>
  <c r="J201" i="5"/>
  <c r="W200" i="5"/>
  <c r="T200" i="5"/>
  <c r="J200" i="5"/>
  <c r="T199" i="5"/>
  <c r="J199" i="5"/>
  <c r="W199" i="5" s="1"/>
  <c r="T198" i="5"/>
  <c r="W198" i="5" s="1"/>
  <c r="J198" i="5"/>
  <c r="T197" i="5"/>
  <c r="J197" i="5"/>
  <c r="W196" i="5"/>
  <c r="T196" i="5"/>
  <c r="J196" i="5"/>
  <c r="T195" i="5"/>
  <c r="J195" i="5"/>
  <c r="W195" i="5" s="1"/>
  <c r="T194" i="5"/>
  <c r="W194" i="5" s="1"/>
  <c r="J194" i="5"/>
  <c r="T193" i="5"/>
  <c r="J193" i="5"/>
  <c r="W193" i="5" s="1"/>
  <c r="W192" i="5"/>
  <c r="T192" i="5"/>
  <c r="J192" i="5"/>
  <c r="T191" i="5"/>
  <c r="J191" i="5"/>
  <c r="W191" i="5" s="1"/>
  <c r="T190" i="5"/>
  <c r="W190" i="5" s="1"/>
  <c r="J190" i="5"/>
  <c r="T189" i="5"/>
  <c r="J189" i="5"/>
  <c r="W188" i="5"/>
  <c r="T188" i="5"/>
  <c r="J188" i="5"/>
  <c r="T187" i="5"/>
  <c r="J187" i="5"/>
  <c r="W187" i="5" s="1"/>
  <c r="T186" i="5"/>
  <c r="W186" i="5" s="1"/>
  <c r="J186" i="5"/>
  <c r="T185" i="5"/>
  <c r="J185" i="5"/>
  <c r="W185" i="5" s="1"/>
  <c r="W184" i="5"/>
  <c r="T184" i="5"/>
  <c r="J184" i="5"/>
  <c r="T183" i="5"/>
  <c r="J183" i="5"/>
  <c r="W183" i="5" s="1"/>
  <c r="T182" i="5"/>
  <c r="W182" i="5" s="1"/>
  <c r="J182" i="5"/>
  <c r="T181" i="5"/>
  <c r="J181" i="5"/>
  <c r="W180" i="5"/>
  <c r="T180" i="5"/>
  <c r="J180" i="5"/>
  <c r="T179" i="5"/>
  <c r="J179" i="5"/>
  <c r="W179" i="5" s="1"/>
  <c r="T178" i="5"/>
  <c r="W178" i="5" s="1"/>
  <c r="J178" i="5"/>
  <c r="T177" i="5"/>
  <c r="J177" i="5"/>
  <c r="W176" i="5"/>
  <c r="T176" i="5"/>
  <c r="J176" i="5"/>
  <c r="T175" i="5"/>
  <c r="J175" i="5"/>
  <c r="W175" i="5" s="1"/>
  <c r="T174" i="5"/>
  <c r="W174" i="5" s="1"/>
  <c r="J174" i="5"/>
  <c r="T173" i="5"/>
  <c r="J173" i="5"/>
  <c r="W172" i="5"/>
  <c r="T172" i="5"/>
  <c r="J172" i="5"/>
  <c r="T171" i="5"/>
  <c r="W171" i="5" s="1"/>
  <c r="J171" i="5"/>
  <c r="W170" i="5"/>
  <c r="T170" i="5"/>
  <c r="J170" i="5"/>
  <c r="T169" i="5"/>
  <c r="J169" i="5"/>
  <c r="W168" i="5"/>
  <c r="T168" i="5"/>
  <c r="J168" i="5"/>
  <c r="W167" i="5"/>
  <c r="T167" i="5"/>
  <c r="J167" i="5"/>
  <c r="T166" i="5"/>
  <c r="J166" i="5"/>
  <c r="W165" i="5"/>
  <c r="T165" i="5"/>
  <c r="J165" i="5"/>
  <c r="W164" i="5"/>
  <c r="T164" i="5"/>
  <c r="J164" i="5"/>
  <c r="T163" i="5"/>
  <c r="J163" i="5"/>
  <c r="W163" i="5" s="1"/>
  <c r="W162" i="5"/>
  <c r="T162" i="5"/>
  <c r="J162" i="5"/>
  <c r="W161" i="5"/>
  <c r="T161" i="5"/>
  <c r="J161" i="5"/>
  <c r="W160" i="5"/>
  <c r="T160" i="5"/>
  <c r="J160" i="5"/>
  <c r="T159" i="5"/>
  <c r="J159" i="5"/>
  <c r="W159" i="5" s="1"/>
  <c r="T158" i="5"/>
  <c r="J158" i="5"/>
  <c r="W158" i="5" s="1"/>
  <c r="W157" i="5"/>
  <c r="T157" i="5"/>
  <c r="J157" i="5"/>
  <c r="W156" i="5"/>
  <c r="T156" i="5"/>
  <c r="J156" i="5"/>
  <c r="T155" i="5"/>
  <c r="J155" i="5"/>
  <c r="W155" i="5" s="1"/>
  <c r="T154" i="5"/>
  <c r="W154" i="5" s="1"/>
  <c r="J154" i="5"/>
  <c r="W153" i="5"/>
  <c r="T153" i="5"/>
  <c r="J153" i="5"/>
  <c r="W152" i="5"/>
  <c r="T152" i="5"/>
  <c r="J152" i="5"/>
  <c r="T151" i="5"/>
  <c r="J151" i="5"/>
  <c r="W151" i="5" s="1"/>
  <c r="T150" i="5"/>
  <c r="W150" i="5" s="1"/>
  <c r="J150" i="5"/>
  <c r="W149" i="5"/>
  <c r="T149" i="5"/>
  <c r="J149" i="5"/>
  <c r="W148" i="5"/>
  <c r="T148" i="5"/>
  <c r="J148" i="5"/>
  <c r="T147" i="5"/>
  <c r="J147" i="5"/>
  <c r="W147" i="5" s="1"/>
  <c r="T146" i="5"/>
  <c r="J146" i="5"/>
  <c r="W146" i="5" s="1"/>
  <c r="W145" i="5"/>
  <c r="T145" i="5"/>
  <c r="J145" i="5"/>
  <c r="W144" i="5"/>
  <c r="T144" i="5"/>
  <c r="J144" i="5"/>
  <c r="T143" i="5"/>
  <c r="J143" i="5"/>
  <c r="W143" i="5" s="1"/>
  <c r="W142" i="5"/>
  <c r="T142" i="5"/>
  <c r="J142" i="5"/>
  <c r="W141" i="5"/>
  <c r="T141" i="5"/>
  <c r="J141" i="5"/>
  <c r="W140" i="5"/>
  <c r="T140" i="5"/>
  <c r="J140" i="5"/>
  <c r="T139" i="5"/>
  <c r="J139" i="5"/>
  <c r="W139" i="5" s="1"/>
  <c r="T138" i="5"/>
  <c r="J138" i="5"/>
  <c r="W137" i="5"/>
  <c r="T137" i="5"/>
  <c r="J137" i="5"/>
  <c r="W136" i="5"/>
  <c r="T136" i="5"/>
  <c r="J136" i="5"/>
  <c r="T135" i="5"/>
  <c r="J135" i="5"/>
  <c r="W135" i="5" s="1"/>
  <c r="T134" i="5"/>
  <c r="J134" i="5"/>
  <c r="W134" i="5" s="1"/>
  <c r="W133" i="5"/>
  <c r="T133" i="5"/>
  <c r="J133" i="5"/>
  <c r="W132" i="5"/>
  <c r="T132" i="5"/>
  <c r="J132" i="5"/>
  <c r="T131" i="5"/>
  <c r="J131" i="5"/>
  <c r="W131" i="5" s="1"/>
  <c r="T130" i="5"/>
  <c r="J130" i="5"/>
  <c r="W130" i="5" s="1"/>
  <c r="W129" i="5"/>
  <c r="T129" i="5"/>
  <c r="J129" i="5"/>
  <c r="W128" i="5"/>
  <c r="T128" i="5"/>
  <c r="J128" i="5"/>
  <c r="T127" i="5"/>
  <c r="J127" i="5"/>
  <c r="W127" i="5" s="1"/>
  <c r="T126" i="5"/>
  <c r="J126" i="5"/>
  <c r="W126" i="5" s="1"/>
  <c r="W125" i="5"/>
  <c r="T125" i="5"/>
  <c r="J125" i="5"/>
  <c r="W124" i="5"/>
  <c r="T124" i="5"/>
  <c r="J124" i="5"/>
  <c r="T123" i="5"/>
  <c r="J123" i="5"/>
  <c r="W123" i="5" s="1"/>
  <c r="T122" i="5"/>
  <c r="J122" i="5"/>
  <c r="W122" i="5" s="1"/>
  <c r="T121" i="5"/>
  <c r="J121" i="5"/>
  <c r="W121" i="5" s="1"/>
  <c r="T120" i="5"/>
  <c r="J120" i="5"/>
  <c r="W120" i="5" s="1"/>
  <c r="T119" i="5"/>
  <c r="J119" i="5"/>
  <c r="W119" i="5" s="1"/>
  <c r="T118" i="5"/>
  <c r="J118" i="5"/>
  <c r="T117" i="5"/>
  <c r="J117" i="5"/>
  <c r="W117" i="5" s="1"/>
  <c r="T116" i="5"/>
  <c r="J116" i="5"/>
  <c r="W116" i="5" s="1"/>
  <c r="T115" i="5"/>
  <c r="J115" i="5"/>
  <c r="W115" i="5" s="1"/>
  <c r="W114" i="5"/>
  <c r="T114" i="5"/>
  <c r="J114" i="5"/>
  <c r="W113" i="5"/>
  <c r="T113" i="5"/>
  <c r="J113" i="5"/>
  <c r="W112" i="5"/>
  <c r="T112" i="5"/>
  <c r="J112" i="5"/>
  <c r="W111" i="5"/>
  <c r="T111" i="5"/>
  <c r="J111" i="5"/>
  <c r="T110" i="5"/>
  <c r="J110" i="5"/>
  <c r="T109" i="5"/>
  <c r="J109" i="5"/>
  <c r="T108" i="5"/>
  <c r="W108" i="5" s="1"/>
  <c r="J108" i="5"/>
  <c r="T107" i="5"/>
  <c r="J107" i="5"/>
  <c r="W106" i="5"/>
  <c r="T106" i="5"/>
  <c r="J106" i="5"/>
  <c r="W105" i="5"/>
  <c r="T105" i="5"/>
  <c r="J105" i="5"/>
  <c r="W104" i="5"/>
  <c r="T104" i="5"/>
  <c r="J104" i="5"/>
  <c r="W103" i="5"/>
  <c r="T103" i="5"/>
  <c r="J103" i="5"/>
  <c r="T102" i="5"/>
  <c r="J102" i="5"/>
  <c r="W102" i="5" s="1"/>
  <c r="T101" i="5"/>
  <c r="J101" i="5"/>
  <c r="W101" i="5" s="1"/>
  <c r="T100" i="5"/>
  <c r="J100" i="5"/>
  <c r="W100" i="5" s="1"/>
  <c r="T99" i="5"/>
  <c r="J99" i="5"/>
  <c r="W99" i="5" s="1"/>
  <c r="W98" i="5"/>
  <c r="T98" i="5"/>
  <c r="J98" i="5"/>
  <c r="W97" i="5"/>
  <c r="T97" i="5"/>
  <c r="J97" i="5"/>
  <c r="W96" i="5"/>
  <c r="T96" i="5"/>
  <c r="J96" i="5"/>
  <c r="W95" i="5"/>
  <c r="T95" i="5"/>
  <c r="J95" i="5"/>
  <c r="T94" i="5"/>
  <c r="J94" i="5"/>
  <c r="W94" i="5" s="1"/>
  <c r="T93" i="5"/>
  <c r="J93" i="5"/>
  <c r="T92" i="5"/>
  <c r="J92" i="5"/>
  <c r="W92" i="5" s="1"/>
  <c r="W91" i="5"/>
  <c r="T91" i="5"/>
  <c r="J91" i="5"/>
  <c r="W90" i="5"/>
  <c r="T90" i="5"/>
  <c r="J90" i="5"/>
  <c r="T89" i="5"/>
  <c r="W89" i="5" s="1"/>
  <c r="J89" i="5"/>
  <c r="W88" i="5"/>
  <c r="T88" i="5"/>
  <c r="J88" i="5"/>
  <c r="W87" i="5"/>
  <c r="T87" i="5"/>
  <c r="J87" i="5"/>
  <c r="T86" i="5"/>
  <c r="J86" i="5"/>
  <c r="T85" i="5"/>
  <c r="J85" i="5"/>
  <c r="W84" i="5"/>
  <c r="T84" i="5"/>
  <c r="J84" i="5"/>
  <c r="W83" i="5"/>
  <c r="T83" i="5"/>
  <c r="J83" i="5"/>
  <c r="T82" i="5"/>
  <c r="J82" i="5"/>
  <c r="W82" i="5" s="1"/>
  <c r="T81" i="5"/>
  <c r="J81" i="5"/>
  <c r="W81" i="5" s="1"/>
  <c r="T80" i="5"/>
  <c r="J80" i="5"/>
  <c r="W80" i="5" s="1"/>
  <c r="W79" i="5"/>
  <c r="T79" i="5"/>
  <c r="J79" i="5"/>
  <c r="T78" i="5"/>
  <c r="J78" i="5"/>
  <c r="T77" i="5"/>
  <c r="J77" i="5"/>
  <c r="W77" i="5" s="1"/>
  <c r="W76" i="5"/>
  <c r="T76" i="5"/>
  <c r="J76" i="5"/>
  <c r="W75" i="5"/>
  <c r="T75" i="5"/>
  <c r="J75" i="5"/>
  <c r="T74" i="5"/>
  <c r="J74" i="5"/>
  <c r="W74" i="5" s="1"/>
  <c r="T73" i="5"/>
  <c r="J73" i="5"/>
  <c r="W73" i="5" s="1"/>
  <c r="T72" i="5"/>
  <c r="J72" i="5"/>
  <c r="W72" i="5" s="1"/>
  <c r="W71" i="5"/>
  <c r="T71" i="5"/>
  <c r="J71" i="5"/>
  <c r="T70" i="5"/>
  <c r="J70" i="5"/>
  <c r="T69" i="5"/>
  <c r="J69" i="5"/>
  <c r="W68" i="5"/>
  <c r="T68" i="5"/>
  <c r="J68" i="5"/>
  <c r="W67" i="5"/>
  <c r="T67" i="5"/>
  <c r="J67" i="5"/>
  <c r="T66" i="5"/>
  <c r="J66" i="5"/>
  <c r="W66" i="5" s="1"/>
  <c r="T65" i="5"/>
  <c r="J65" i="5"/>
  <c r="W65" i="5" s="1"/>
  <c r="T64" i="5"/>
  <c r="J64" i="5"/>
  <c r="W64" i="5" s="1"/>
  <c r="W63" i="5"/>
  <c r="T63" i="5"/>
  <c r="J63" i="5"/>
  <c r="T62" i="5"/>
  <c r="J62" i="5"/>
  <c r="T61" i="5"/>
  <c r="J61" i="5"/>
  <c r="W61" i="5" s="1"/>
  <c r="W60" i="5"/>
  <c r="T60" i="5"/>
  <c r="J60" i="5"/>
  <c r="W59" i="5"/>
  <c r="T59" i="5"/>
  <c r="J59" i="5"/>
  <c r="T58" i="5"/>
  <c r="J58" i="5"/>
  <c r="W58" i="5" s="1"/>
  <c r="T57" i="5"/>
  <c r="J57" i="5"/>
  <c r="W57" i="5" s="1"/>
  <c r="T56" i="5"/>
  <c r="J56" i="5"/>
  <c r="W56" i="5" s="1"/>
  <c r="W55" i="5"/>
  <c r="T55" i="5"/>
  <c r="J55" i="5"/>
  <c r="W54" i="5"/>
  <c r="T54" i="5"/>
  <c r="J54" i="5"/>
  <c r="W53" i="5"/>
  <c r="T53" i="5"/>
  <c r="J53" i="5"/>
  <c r="W52" i="5"/>
  <c r="T52" i="5"/>
  <c r="J52" i="5"/>
  <c r="T51" i="5"/>
  <c r="J51" i="5"/>
  <c r="W51" i="5" s="1"/>
  <c r="W50" i="5"/>
  <c r="T50" i="5"/>
  <c r="J50" i="5"/>
  <c r="T49" i="5"/>
  <c r="J49" i="5"/>
  <c r="W49" i="5" s="1"/>
  <c r="T48" i="5"/>
  <c r="J48" i="5"/>
  <c r="T47" i="5"/>
  <c r="J47" i="5"/>
  <c r="W47" i="5" s="1"/>
  <c r="T46" i="5"/>
  <c r="W46" i="5" s="1"/>
  <c r="J46" i="5"/>
  <c r="W45" i="5"/>
  <c r="T45" i="5"/>
  <c r="J45" i="5"/>
  <c r="W44" i="5"/>
  <c r="T44" i="5"/>
  <c r="J44" i="5"/>
  <c r="W43" i="5"/>
  <c r="T43" i="5"/>
  <c r="J43" i="5"/>
  <c r="W42" i="5"/>
  <c r="T42" i="5"/>
  <c r="J42" i="5"/>
  <c r="T41" i="5"/>
  <c r="J41" i="5"/>
  <c r="W41" i="5" s="1"/>
  <c r="T40" i="5"/>
  <c r="J40" i="5"/>
  <c r="W40" i="5" s="1"/>
  <c r="W39" i="5"/>
  <c r="T39" i="5"/>
  <c r="J39" i="5"/>
  <c r="T38" i="5"/>
  <c r="J38" i="5"/>
  <c r="W38" i="5" s="1"/>
  <c r="T37" i="5"/>
  <c r="W37" i="5" s="1"/>
  <c r="J37" i="5"/>
  <c r="W36" i="5"/>
  <c r="T36" i="5"/>
  <c r="J36" i="5"/>
  <c r="W35" i="5"/>
  <c r="T35" i="5"/>
  <c r="J35" i="5"/>
  <c r="W34" i="5"/>
  <c r="T34" i="5"/>
  <c r="J34" i="5"/>
  <c r="T33" i="5"/>
  <c r="J33" i="5"/>
  <c r="W33" i="5" s="1"/>
  <c r="T32" i="5"/>
  <c r="J32" i="5"/>
  <c r="W32" i="5" s="1"/>
  <c r="T31" i="5"/>
  <c r="J31" i="5"/>
  <c r="W31" i="5" s="1"/>
  <c r="W30" i="5"/>
  <c r="T30" i="5"/>
  <c r="J30" i="5"/>
  <c r="W29" i="5"/>
  <c r="T29" i="5"/>
  <c r="J29" i="5"/>
  <c r="W28" i="5"/>
  <c r="T28" i="5"/>
  <c r="J28" i="5"/>
  <c r="W27" i="5"/>
  <c r="T27" i="5"/>
  <c r="J27" i="5"/>
  <c r="W26" i="5"/>
  <c r="T26" i="5"/>
  <c r="J26" i="5"/>
  <c r="T25" i="5"/>
  <c r="J25" i="5"/>
  <c r="W25" i="5" s="1"/>
  <c r="T24" i="5"/>
  <c r="J24" i="5"/>
  <c r="T23" i="5"/>
  <c r="J23" i="5"/>
  <c r="W23" i="5" s="1"/>
  <c r="T22" i="5"/>
  <c r="J22" i="5"/>
  <c r="W22" i="5" s="1"/>
  <c r="T21" i="5"/>
  <c r="W21" i="5" s="1"/>
  <c r="J21" i="5"/>
  <c r="T20" i="5"/>
  <c r="J20" i="5"/>
  <c r="W20" i="5" s="1"/>
  <c r="W19" i="5"/>
  <c r="T19" i="5"/>
  <c r="J19" i="5"/>
  <c r="W18" i="5"/>
  <c r="T18" i="5"/>
  <c r="J18" i="5"/>
  <c r="T17" i="5"/>
  <c r="J17" i="5"/>
  <c r="W17" i="5" s="1"/>
  <c r="T16" i="5"/>
  <c r="J16" i="5"/>
  <c r="W16" i="5" s="1"/>
  <c r="T15" i="5"/>
  <c r="J15" i="5"/>
  <c r="W15" i="5" s="1"/>
  <c r="T14" i="5"/>
  <c r="J14" i="5"/>
  <c r="W14" i="5" s="1"/>
  <c r="T13" i="5"/>
  <c r="J13" i="5"/>
  <c r="W13" i="5" s="1"/>
  <c r="T12" i="5"/>
  <c r="J12" i="5"/>
  <c r="W12" i="5" s="1"/>
  <c r="T11" i="5"/>
  <c r="J11" i="5"/>
  <c r="W11" i="5" s="1"/>
  <c r="T10" i="5"/>
  <c r="W10" i="5" s="1"/>
  <c r="J10" i="5"/>
  <c r="T9" i="5"/>
  <c r="J9" i="5"/>
  <c r="W9" i="5" s="1"/>
  <c r="T8" i="5"/>
  <c r="J8" i="5"/>
  <c r="W8" i="5" s="1"/>
  <c r="T7" i="5"/>
  <c r="J7" i="5"/>
  <c r="W7" i="5" s="1"/>
  <c r="T6" i="5"/>
  <c r="J6" i="5"/>
  <c r="W6" i="5" s="1"/>
  <c r="W5" i="5"/>
  <c r="T5" i="5"/>
  <c r="J5" i="5"/>
  <c r="N265" i="4"/>
  <c r="L265" i="4"/>
  <c r="K265" i="4"/>
  <c r="J265" i="4"/>
  <c r="H265" i="4"/>
  <c r="G265" i="4"/>
  <c r="F265" i="4"/>
  <c r="I264" i="4"/>
  <c r="I263" i="4"/>
  <c r="I262" i="4"/>
  <c r="I261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E22" i="3" s="1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E21" i="3" s="1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E19" i="3" s="1"/>
  <c r="I121" i="4"/>
  <c r="I120" i="4"/>
  <c r="I119" i="4"/>
  <c r="I118" i="4"/>
  <c r="I117" i="4"/>
  <c r="I116" i="4"/>
  <c r="I115" i="4"/>
  <c r="I114" i="4"/>
  <c r="I113" i="4"/>
  <c r="I112" i="4"/>
  <c r="I111" i="4"/>
  <c r="I110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E15" i="3" s="1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E14" i="3" s="1"/>
  <c r="I9" i="4"/>
  <c r="I8" i="4"/>
  <c r="I7" i="4"/>
  <c r="I6" i="4"/>
  <c r="Q5" i="4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I5" i="4"/>
  <c r="Q4" i="4"/>
  <c r="I4" i="4"/>
  <c r="F4" i="4"/>
  <c r="M4" i="4" s="1"/>
  <c r="H25" i="3"/>
  <c r="G25" i="3"/>
  <c r="F25" i="3"/>
  <c r="D25" i="3"/>
  <c r="C25" i="3"/>
  <c r="H24" i="3"/>
  <c r="G24" i="3"/>
  <c r="F24" i="3"/>
  <c r="E24" i="3"/>
  <c r="D24" i="3"/>
  <c r="C24" i="3"/>
  <c r="H23" i="3"/>
  <c r="G23" i="3"/>
  <c r="F23" i="3"/>
  <c r="E23" i="3"/>
  <c r="D23" i="3"/>
  <c r="C23" i="3"/>
  <c r="H22" i="3"/>
  <c r="G22" i="3"/>
  <c r="F22" i="3"/>
  <c r="D22" i="3"/>
  <c r="C22" i="3"/>
  <c r="H21" i="3"/>
  <c r="G21" i="3"/>
  <c r="F21" i="3"/>
  <c r="D21" i="3"/>
  <c r="C21" i="3"/>
  <c r="H20" i="3"/>
  <c r="G20" i="3"/>
  <c r="F20" i="3"/>
  <c r="E20" i="3"/>
  <c r="D20" i="3"/>
  <c r="C20" i="3"/>
  <c r="H19" i="3"/>
  <c r="G19" i="3"/>
  <c r="F19" i="3"/>
  <c r="D19" i="3"/>
  <c r="C19" i="3"/>
  <c r="H18" i="3"/>
  <c r="G18" i="3"/>
  <c r="F18" i="3"/>
  <c r="E18" i="3"/>
  <c r="D18" i="3"/>
  <c r="C18" i="3"/>
  <c r="H17" i="3"/>
  <c r="G17" i="3"/>
  <c r="F17" i="3"/>
  <c r="E17" i="3"/>
  <c r="D17" i="3"/>
  <c r="C17" i="3"/>
  <c r="H16" i="3"/>
  <c r="G16" i="3"/>
  <c r="F16" i="3"/>
  <c r="E16" i="3"/>
  <c r="D16" i="3"/>
  <c r="C16" i="3"/>
  <c r="H15" i="3"/>
  <c r="G15" i="3"/>
  <c r="F15" i="3"/>
  <c r="D15" i="3"/>
  <c r="C15" i="3"/>
  <c r="H14" i="3"/>
  <c r="G14" i="3"/>
  <c r="F14" i="3"/>
  <c r="D14" i="3"/>
  <c r="C14" i="3"/>
  <c r="E10" i="3"/>
  <c r="E25" i="3" l="1"/>
  <c r="E26" i="3" s="1"/>
  <c r="W110" i="5"/>
  <c r="C26" i="3"/>
  <c r="W109" i="5"/>
  <c r="D26" i="3"/>
  <c r="F26" i="3"/>
  <c r="G26" i="3"/>
  <c r="H26" i="3"/>
  <c r="X5" i="5"/>
  <c r="P4" i="4"/>
  <c r="Q26" i="4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J14" i="3"/>
  <c r="I265" i="4"/>
  <c r="W69" i="5"/>
  <c r="W85" i="5"/>
  <c r="W107" i="5"/>
  <c r="J266" i="5"/>
  <c r="T266" i="5"/>
  <c r="Y5" i="5"/>
  <c r="W48" i="5"/>
  <c r="W62" i="5"/>
  <c r="W70" i="5"/>
  <c r="W78" i="5"/>
  <c r="W86" i="5"/>
  <c r="W138" i="5"/>
  <c r="W24" i="5"/>
  <c r="W93" i="5"/>
  <c r="W118" i="5"/>
  <c r="W166" i="5"/>
  <c r="W173" i="5"/>
  <c r="W177" i="5"/>
  <c r="W169" i="5"/>
  <c r="W181" i="5"/>
  <c r="W189" i="5"/>
  <c r="W197" i="5"/>
  <c r="W201" i="5"/>
  <c r="W205" i="5"/>
  <c r="W223" i="5"/>
  <c r="W227" i="5"/>
  <c r="W231" i="5"/>
  <c r="W235" i="5"/>
  <c r="W239" i="5"/>
  <c r="W243" i="5"/>
  <c r="W247" i="5"/>
  <c r="G265" i="6"/>
  <c r="H265" i="6"/>
  <c r="W266" i="5" l="1"/>
  <c r="Q46" i="4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J15" i="3"/>
  <c r="AA5" i="5"/>
  <c r="AB5" i="5"/>
  <c r="S4" i="4"/>
  <c r="F5" i="4"/>
  <c r="M5" i="4" s="1"/>
  <c r="R4" i="4"/>
  <c r="X6" i="5" l="1"/>
  <c r="P5" i="4"/>
  <c r="Q68" i="4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J16" i="3"/>
  <c r="AD5" i="5"/>
  <c r="AC5" i="5"/>
  <c r="AE5" i="5" s="1"/>
  <c r="Q90" i="4" l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03" i="4" s="1"/>
  <c r="Q104" i="4" s="1"/>
  <c r="Q105" i="4" s="1"/>
  <c r="Q106" i="4" s="1"/>
  <c r="Q107" i="4" s="1"/>
  <c r="Q108" i="4" s="1"/>
  <c r="Q109" i="4" s="1"/>
  <c r="Q110" i="4" s="1"/>
  <c r="J17" i="3"/>
  <c r="F6" i="4"/>
  <c r="M6" i="4" s="1"/>
  <c r="R5" i="4"/>
  <c r="Y6" i="5"/>
  <c r="AA6" i="5" l="1"/>
  <c r="AB6" i="5"/>
  <c r="S5" i="4"/>
  <c r="X7" i="5"/>
  <c r="P6" i="4"/>
  <c r="Q111" i="4"/>
  <c r="Q112" i="4" s="1"/>
  <c r="Q113" i="4" s="1"/>
  <c r="Q114" i="4" s="1"/>
  <c r="Q115" i="4" s="1"/>
  <c r="Q116" i="4" s="1"/>
  <c r="Q117" i="4" s="1"/>
  <c r="Q118" i="4" s="1"/>
  <c r="Q119" i="4" s="1"/>
  <c r="Q120" i="4" s="1"/>
  <c r="Q121" i="4" s="1"/>
  <c r="Q122" i="4" s="1"/>
  <c r="Q123" i="4" s="1"/>
  <c r="Q124" i="4" s="1"/>
  <c r="Q125" i="4" s="1"/>
  <c r="Q126" i="4" s="1"/>
  <c r="Q127" i="4" s="1"/>
  <c r="Q128" i="4" s="1"/>
  <c r="Q129" i="4" s="1"/>
  <c r="Q130" i="4" s="1"/>
  <c r="Q131" i="4" s="1"/>
  <c r="Q132" i="4" s="1"/>
  <c r="J18" i="3"/>
  <c r="Q133" i="4" l="1"/>
  <c r="Q134" i="4" s="1"/>
  <c r="Q135" i="4" s="1"/>
  <c r="Q136" i="4" s="1"/>
  <c r="Q137" i="4" s="1"/>
  <c r="Q138" i="4" s="1"/>
  <c r="Q139" i="4" s="1"/>
  <c r="Q140" i="4" s="1"/>
  <c r="Q141" i="4" s="1"/>
  <c r="Q142" i="4" s="1"/>
  <c r="Q143" i="4" s="1"/>
  <c r="Q144" i="4" s="1"/>
  <c r="Q145" i="4" s="1"/>
  <c r="Q146" i="4" s="1"/>
  <c r="Q147" i="4" s="1"/>
  <c r="Q148" i="4" s="1"/>
  <c r="Q149" i="4" s="1"/>
  <c r="Q150" i="4" s="1"/>
  <c r="Q151" i="4" s="1"/>
  <c r="Q152" i="4" s="1"/>
  <c r="Q153" i="4" s="1"/>
  <c r="Q154" i="4" s="1"/>
  <c r="Q155" i="4" s="1"/>
  <c r="J19" i="3"/>
  <c r="F7" i="4"/>
  <c r="M7" i="4" s="1"/>
  <c r="R6" i="4"/>
  <c r="Y7" i="5"/>
  <c r="AD6" i="5"/>
  <c r="AC6" i="5"/>
  <c r="AE6" i="5" s="1"/>
  <c r="AB7" i="5" l="1"/>
  <c r="AA7" i="5"/>
  <c r="S6" i="4"/>
  <c r="X8" i="5"/>
  <c r="P7" i="4"/>
  <c r="Q156" i="4"/>
  <c r="Q157" i="4" s="1"/>
  <c r="Q158" i="4" s="1"/>
  <c r="Q159" i="4" s="1"/>
  <c r="Q160" i="4" s="1"/>
  <c r="Q161" i="4" s="1"/>
  <c r="Q162" i="4" s="1"/>
  <c r="Q163" i="4" s="1"/>
  <c r="Q164" i="4" s="1"/>
  <c r="Q165" i="4" s="1"/>
  <c r="Q166" i="4" s="1"/>
  <c r="Q167" i="4" s="1"/>
  <c r="Q168" i="4" s="1"/>
  <c r="Q169" i="4" s="1"/>
  <c r="Q170" i="4" s="1"/>
  <c r="Q171" i="4" s="1"/>
  <c r="Q172" i="4" s="1"/>
  <c r="Q173" i="4" s="1"/>
  <c r="Q174" i="4" s="1"/>
  <c r="Q175" i="4" s="1"/>
  <c r="Q176" i="4" s="1"/>
  <c r="J20" i="3"/>
  <c r="Q177" i="4" l="1"/>
  <c r="Q178" i="4" s="1"/>
  <c r="Q179" i="4" s="1"/>
  <c r="Q180" i="4" s="1"/>
  <c r="Q181" i="4" s="1"/>
  <c r="Q182" i="4" s="1"/>
  <c r="Q183" i="4" s="1"/>
  <c r="Q184" i="4" s="1"/>
  <c r="Q185" i="4" s="1"/>
  <c r="Q186" i="4" s="1"/>
  <c r="Q187" i="4" s="1"/>
  <c r="Q188" i="4" s="1"/>
  <c r="Q189" i="4" s="1"/>
  <c r="Q190" i="4" s="1"/>
  <c r="Q191" i="4" s="1"/>
  <c r="Q192" i="4" s="1"/>
  <c r="Q193" i="4" s="1"/>
  <c r="Q194" i="4" s="1"/>
  <c r="Q195" i="4" s="1"/>
  <c r="Q196" i="4" s="1"/>
  <c r="Q197" i="4" s="1"/>
  <c r="Q198" i="4" s="1"/>
  <c r="J21" i="3"/>
  <c r="F8" i="4"/>
  <c r="M8" i="4" s="1"/>
  <c r="R7" i="4"/>
  <c r="Y8" i="5"/>
  <c r="AC7" i="5"/>
  <c r="AD7" i="5"/>
  <c r="AB8" i="5" l="1"/>
  <c r="AA8" i="5"/>
  <c r="S7" i="4"/>
  <c r="X9" i="5"/>
  <c r="Y9" i="5" s="1"/>
  <c r="P8" i="4"/>
  <c r="AE7" i="5"/>
  <c r="Q199" i="4"/>
  <c r="Q200" i="4" s="1"/>
  <c r="Q201" i="4" s="1"/>
  <c r="Q202" i="4" s="1"/>
  <c r="Q203" i="4" s="1"/>
  <c r="Q204" i="4" s="1"/>
  <c r="Q205" i="4" s="1"/>
  <c r="Q206" i="4" s="1"/>
  <c r="Q207" i="4" s="1"/>
  <c r="Q208" i="4" s="1"/>
  <c r="Q209" i="4" s="1"/>
  <c r="Q210" i="4" s="1"/>
  <c r="Q211" i="4" s="1"/>
  <c r="Q212" i="4" s="1"/>
  <c r="Q213" i="4" s="1"/>
  <c r="Q214" i="4" s="1"/>
  <c r="Q215" i="4" s="1"/>
  <c r="Q216" i="4" s="1"/>
  <c r="Q217" i="4" s="1"/>
  <c r="Q218" i="4" s="1"/>
  <c r="Q219" i="4" s="1"/>
  <c r="Q220" i="4" s="1"/>
  <c r="J22" i="3"/>
  <c r="AA9" i="5" l="1"/>
  <c r="AB9" i="5"/>
  <c r="S8" i="4"/>
  <c r="AC9" i="5"/>
  <c r="AC8" i="5"/>
  <c r="R8" i="4"/>
  <c r="F9" i="4"/>
  <c r="M9" i="4" s="1"/>
  <c r="Q221" i="4"/>
  <c r="Q222" i="4" s="1"/>
  <c r="Q223" i="4" s="1"/>
  <c r="Q224" i="4" s="1"/>
  <c r="Q225" i="4" s="1"/>
  <c r="Q226" i="4" s="1"/>
  <c r="Q227" i="4" s="1"/>
  <c r="Q228" i="4" s="1"/>
  <c r="Q229" i="4" s="1"/>
  <c r="Q230" i="4" s="1"/>
  <c r="Q231" i="4" s="1"/>
  <c r="Q232" i="4" s="1"/>
  <c r="Q233" i="4" s="1"/>
  <c r="Q234" i="4" s="1"/>
  <c r="Q235" i="4" s="1"/>
  <c r="Q236" i="4" s="1"/>
  <c r="Q237" i="4" s="1"/>
  <c r="Q238" i="4" s="1"/>
  <c r="Q239" i="4" s="1"/>
  <c r="Q240" i="4" s="1"/>
  <c r="Q241" i="4" s="1"/>
  <c r="J23" i="3"/>
  <c r="AD9" i="5"/>
  <c r="AD8" i="5"/>
  <c r="AE9" i="5" l="1"/>
  <c r="Q242" i="4"/>
  <c r="Q243" i="4" s="1"/>
  <c r="Q244" i="4" s="1"/>
  <c r="Q245" i="4" s="1"/>
  <c r="Q246" i="4" s="1"/>
  <c r="Q247" i="4" s="1"/>
  <c r="Q248" i="4" s="1"/>
  <c r="Q249" i="4" s="1"/>
  <c r="Q250" i="4" s="1"/>
  <c r="Q251" i="4" s="1"/>
  <c r="Q252" i="4" s="1"/>
  <c r="Q253" i="4" s="1"/>
  <c r="Q254" i="4" s="1"/>
  <c r="Q255" i="4" s="1"/>
  <c r="Q256" i="4" s="1"/>
  <c r="Q257" i="4" s="1"/>
  <c r="Q258" i="4" s="1"/>
  <c r="Q259" i="4" s="1"/>
  <c r="Q260" i="4" s="1"/>
  <c r="Q261" i="4" s="1"/>
  <c r="Q262" i="4" s="1"/>
  <c r="Q263" i="4" s="1"/>
  <c r="Q264" i="4" s="1"/>
  <c r="J24" i="3"/>
  <c r="AE8" i="5"/>
  <c r="X10" i="5"/>
  <c r="Y10" i="5" s="1"/>
  <c r="P9" i="4"/>
  <c r="F10" i="4" l="1"/>
  <c r="M10" i="4" s="1"/>
  <c r="R9" i="4"/>
  <c r="AB10" i="5"/>
  <c r="AA10" i="5"/>
  <c r="S9" i="4"/>
  <c r="Q265" i="4"/>
  <c r="J26" i="3"/>
  <c r="J25" i="3"/>
  <c r="C17" i="2"/>
  <c r="H6" i="3"/>
  <c r="AD10" i="5" l="1"/>
  <c r="AC10" i="5"/>
  <c r="AE10" i="5" s="1"/>
  <c r="X11" i="5"/>
  <c r="Y11" i="5" s="1"/>
  <c r="P10" i="4"/>
  <c r="AA11" i="5" l="1"/>
  <c r="AC11" i="5" s="1"/>
  <c r="AB11" i="5"/>
  <c r="AD11" i="5" s="1"/>
  <c r="S10" i="4"/>
  <c r="R10" i="4"/>
  <c r="F11" i="4"/>
  <c r="M11" i="4" s="1"/>
  <c r="X12" i="5" l="1"/>
  <c r="Y12" i="5" s="1"/>
  <c r="P11" i="4"/>
  <c r="AE11" i="5"/>
  <c r="R11" i="4" l="1"/>
  <c r="F12" i="4"/>
  <c r="M12" i="4" s="1"/>
  <c r="AB12" i="5"/>
  <c r="AD12" i="5" s="1"/>
  <c r="AA12" i="5"/>
  <c r="AC12" i="5" s="1"/>
  <c r="AE12" i="5" s="1"/>
  <c r="S11" i="4"/>
  <c r="X13" i="5" l="1"/>
  <c r="Y13" i="5" s="1"/>
  <c r="P12" i="4"/>
  <c r="F13" i="4" l="1"/>
  <c r="M13" i="4" s="1"/>
  <c r="R12" i="4"/>
  <c r="AA13" i="5"/>
  <c r="AC13" i="5" s="1"/>
  <c r="AE13" i="5" s="1"/>
  <c r="AB13" i="5"/>
  <c r="AD13" i="5" s="1"/>
  <c r="S12" i="4"/>
  <c r="X14" i="5" l="1"/>
  <c r="Y14" i="5" s="1"/>
  <c r="P13" i="4"/>
  <c r="F14" i="4" l="1"/>
  <c r="M14" i="4" s="1"/>
  <c r="R13" i="4"/>
  <c r="AA14" i="5"/>
  <c r="AC14" i="5" s="1"/>
  <c r="AB14" i="5"/>
  <c r="AD14" i="5" s="1"/>
  <c r="S13" i="4"/>
  <c r="AE14" i="5" l="1"/>
  <c r="X15" i="5"/>
  <c r="Y15" i="5" s="1"/>
  <c r="P14" i="4"/>
  <c r="F15" i="4" l="1"/>
  <c r="M15" i="4" s="1"/>
  <c r="R14" i="4"/>
  <c r="AB15" i="5"/>
  <c r="AD15" i="5" s="1"/>
  <c r="AA15" i="5"/>
  <c r="AC15" i="5" s="1"/>
  <c r="AE15" i="5" s="1"/>
  <c r="S14" i="4"/>
  <c r="X16" i="5" l="1"/>
  <c r="Y16" i="5" s="1"/>
  <c r="P15" i="4"/>
  <c r="F16" i="4" l="1"/>
  <c r="M16" i="4" s="1"/>
  <c r="R15" i="4"/>
  <c r="AB16" i="5"/>
  <c r="AD16" i="5" s="1"/>
  <c r="AA16" i="5"/>
  <c r="AC16" i="5" s="1"/>
  <c r="AE16" i="5" s="1"/>
  <c r="S15" i="4"/>
  <c r="X17" i="5" l="1"/>
  <c r="Y17" i="5" s="1"/>
  <c r="P16" i="4"/>
  <c r="R16" i="4" l="1"/>
  <c r="F17" i="4"/>
  <c r="M17" i="4" s="1"/>
  <c r="AA17" i="5"/>
  <c r="AC17" i="5" s="1"/>
  <c r="AE17" i="5" s="1"/>
  <c r="AB17" i="5"/>
  <c r="AD17" i="5" s="1"/>
  <c r="S16" i="4"/>
  <c r="X18" i="5" l="1"/>
  <c r="Y18" i="5" s="1"/>
  <c r="P17" i="4"/>
  <c r="F18" i="4" l="1"/>
  <c r="M18" i="4" s="1"/>
  <c r="R17" i="4"/>
  <c r="AB18" i="5"/>
  <c r="AD18" i="5" s="1"/>
  <c r="AA18" i="5"/>
  <c r="AC18" i="5" s="1"/>
  <c r="S17" i="4"/>
  <c r="AE18" i="5" l="1"/>
  <c r="X19" i="5"/>
  <c r="Y19" i="5" s="1"/>
  <c r="P18" i="4"/>
  <c r="R18" i="4" l="1"/>
  <c r="F19" i="4"/>
  <c r="M19" i="4" s="1"/>
  <c r="AB19" i="5"/>
  <c r="AD19" i="5" s="1"/>
  <c r="AA19" i="5"/>
  <c r="AC19" i="5" s="1"/>
  <c r="S18" i="4"/>
  <c r="AE19" i="5" l="1"/>
  <c r="X20" i="5"/>
  <c r="Y20" i="5" s="1"/>
  <c r="P19" i="4"/>
  <c r="AB20" i="5" l="1"/>
  <c r="AD20" i="5" s="1"/>
  <c r="AA20" i="5"/>
  <c r="AC20" i="5" s="1"/>
  <c r="AE20" i="5" s="1"/>
  <c r="S19" i="4"/>
  <c r="R19" i="4"/>
  <c r="F20" i="4"/>
  <c r="M20" i="4" s="1"/>
  <c r="X21" i="5" l="1"/>
  <c r="Y21" i="5" s="1"/>
  <c r="P20" i="4"/>
  <c r="F21" i="4" l="1"/>
  <c r="M21" i="4" s="1"/>
  <c r="R20" i="4"/>
  <c r="AA21" i="5"/>
  <c r="AC21" i="5" s="1"/>
  <c r="AB21" i="5"/>
  <c r="AD21" i="5" s="1"/>
  <c r="S20" i="4"/>
  <c r="AE21" i="5" l="1"/>
  <c r="X22" i="5"/>
  <c r="Y22" i="5" s="1"/>
  <c r="P21" i="4"/>
  <c r="F22" i="4" l="1"/>
  <c r="M22" i="4" s="1"/>
  <c r="R21" i="4"/>
  <c r="AB22" i="5"/>
  <c r="AD22" i="5" s="1"/>
  <c r="AA22" i="5"/>
  <c r="AC22" i="5" s="1"/>
  <c r="AE22" i="5" s="1"/>
  <c r="S21" i="4"/>
  <c r="X23" i="5" l="1"/>
  <c r="Y23" i="5" s="1"/>
  <c r="P22" i="4"/>
  <c r="F23" i="4" l="1"/>
  <c r="M23" i="4" s="1"/>
  <c r="R22" i="4"/>
  <c r="AB23" i="5"/>
  <c r="AD23" i="5" s="1"/>
  <c r="AA23" i="5"/>
  <c r="AC23" i="5" s="1"/>
  <c r="AE23" i="5" s="1"/>
  <c r="S22" i="4"/>
  <c r="X24" i="5" l="1"/>
  <c r="Y24" i="5" s="1"/>
  <c r="P23" i="4"/>
  <c r="F24" i="4" l="1"/>
  <c r="M24" i="4" s="1"/>
  <c r="R23" i="4"/>
  <c r="AA24" i="5"/>
  <c r="AC24" i="5" s="1"/>
  <c r="AB24" i="5"/>
  <c r="AD24" i="5" s="1"/>
  <c r="S23" i="4"/>
  <c r="AE24" i="5" l="1"/>
  <c r="X25" i="5"/>
  <c r="Y25" i="5" s="1"/>
  <c r="P24" i="4"/>
  <c r="AA25" i="5" l="1"/>
  <c r="AC25" i="5" s="1"/>
  <c r="AB25" i="5"/>
  <c r="AD25" i="5" s="1"/>
  <c r="S24" i="4"/>
  <c r="R24" i="4"/>
  <c r="F25" i="4"/>
  <c r="M25" i="4" s="1"/>
  <c r="X26" i="5" l="1"/>
  <c r="Y26" i="5" s="1"/>
  <c r="P25" i="4"/>
  <c r="AE25" i="5"/>
  <c r="I14" i="3" l="1"/>
  <c r="F26" i="4"/>
  <c r="M26" i="4" s="1"/>
  <c r="R25" i="4"/>
  <c r="AB26" i="5"/>
  <c r="AD26" i="5" s="1"/>
  <c r="AA26" i="5"/>
  <c r="AC26" i="5" s="1"/>
  <c r="AE26" i="5" s="1"/>
  <c r="S25" i="4"/>
  <c r="X27" i="5" l="1"/>
  <c r="Y27" i="5" s="1"/>
  <c r="P26" i="4"/>
  <c r="R26" i="4" l="1"/>
  <c r="F27" i="4"/>
  <c r="M27" i="4" s="1"/>
  <c r="AB27" i="5"/>
  <c r="AD27" i="5" s="1"/>
  <c r="AA27" i="5"/>
  <c r="AC27" i="5" s="1"/>
  <c r="S26" i="4"/>
  <c r="AE27" i="5" l="1"/>
  <c r="X28" i="5"/>
  <c r="Y28" i="5" s="1"/>
  <c r="P27" i="4"/>
  <c r="R27" i="4" l="1"/>
  <c r="F28" i="4"/>
  <c r="M28" i="4" s="1"/>
  <c r="AB28" i="5"/>
  <c r="AD28" i="5" s="1"/>
  <c r="AA28" i="5"/>
  <c r="AC28" i="5" s="1"/>
  <c r="AE28" i="5" s="1"/>
  <c r="S27" i="4"/>
  <c r="X29" i="5" l="1"/>
  <c r="Y29" i="5" s="1"/>
  <c r="P28" i="4"/>
  <c r="F29" i="4" l="1"/>
  <c r="M29" i="4" s="1"/>
  <c r="R28" i="4"/>
  <c r="AA29" i="5"/>
  <c r="AC29" i="5" s="1"/>
  <c r="AB29" i="5"/>
  <c r="AD29" i="5" s="1"/>
  <c r="S28" i="4"/>
  <c r="AE29" i="5" l="1"/>
  <c r="X30" i="5"/>
  <c r="Y30" i="5" s="1"/>
  <c r="P29" i="4"/>
  <c r="F30" i="4" l="1"/>
  <c r="M30" i="4" s="1"/>
  <c r="R29" i="4"/>
  <c r="AB30" i="5"/>
  <c r="AD30" i="5" s="1"/>
  <c r="AA30" i="5"/>
  <c r="AC30" i="5" s="1"/>
  <c r="AE30" i="5" s="1"/>
  <c r="S29" i="4"/>
  <c r="X31" i="5" l="1"/>
  <c r="Y31" i="5" s="1"/>
  <c r="P30" i="4"/>
  <c r="F31" i="4" l="1"/>
  <c r="M31" i="4" s="1"/>
  <c r="R30" i="4"/>
  <c r="AB31" i="5"/>
  <c r="AD31" i="5" s="1"/>
  <c r="AA31" i="5"/>
  <c r="AC31" i="5" s="1"/>
  <c r="AE31" i="5" s="1"/>
  <c r="S30" i="4"/>
  <c r="X32" i="5" l="1"/>
  <c r="Y32" i="5" s="1"/>
  <c r="P31" i="4"/>
  <c r="F32" i="4" l="1"/>
  <c r="M32" i="4" s="1"/>
  <c r="R31" i="4"/>
  <c r="AA32" i="5"/>
  <c r="AC32" i="5" s="1"/>
  <c r="AB32" i="5"/>
  <c r="AD32" i="5" s="1"/>
  <c r="S31" i="4"/>
  <c r="AE32" i="5" l="1"/>
  <c r="X33" i="5"/>
  <c r="Y33" i="5" s="1"/>
  <c r="P32" i="4"/>
  <c r="AA33" i="5" l="1"/>
  <c r="AC33" i="5" s="1"/>
  <c r="AE33" i="5" s="1"/>
  <c r="AB33" i="5"/>
  <c r="AD33" i="5" s="1"/>
  <c r="S32" i="4"/>
  <c r="R32" i="4"/>
  <c r="F33" i="4"/>
  <c r="M33" i="4" s="1"/>
  <c r="X34" i="5" l="1"/>
  <c r="Y34" i="5" s="1"/>
  <c r="P33" i="4"/>
  <c r="F34" i="4" l="1"/>
  <c r="M34" i="4" s="1"/>
  <c r="R33" i="4"/>
  <c r="AB34" i="5"/>
  <c r="AD34" i="5" s="1"/>
  <c r="AA34" i="5"/>
  <c r="AC34" i="5" s="1"/>
  <c r="AE34" i="5" s="1"/>
  <c r="S33" i="4"/>
  <c r="P34" i="4" l="1"/>
  <c r="X35" i="5"/>
  <c r="Y35" i="5" s="1"/>
  <c r="AB35" i="5" l="1"/>
  <c r="AD35" i="5" s="1"/>
  <c r="AA35" i="5"/>
  <c r="AC35" i="5" s="1"/>
  <c r="AE35" i="5" s="1"/>
  <c r="S34" i="4"/>
  <c r="R34" i="4"/>
  <c r="F35" i="4"/>
  <c r="M35" i="4" s="1"/>
  <c r="X36" i="5" l="1"/>
  <c r="Y36" i="5" s="1"/>
  <c r="P35" i="4"/>
  <c r="R35" i="4" l="1"/>
  <c r="F36" i="4"/>
  <c r="M36" i="4" s="1"/>
  <c r="AB36" i="5"/>
  <c r="AD36" i="5" s="1"/>
  <c r="AA36" i="5"/>
  <c r="AC36" i="5" s="1"/>
  <c r="AE36" i="5" s="1"/>
  <c r="S35" i="4"/>
  <c r="X37" i="5" l="1"/>
  <c r="Y37" i="5" s="1"/>
  <c r="P36" i="4"/>
  <c r="F37" i="4" l="1"/>
  <c r="M37" i="4" s="1"/>
  <c r="R36" i="4"/>
  <c r="AA37" i="5"/>
  <c r="AC37" i="5" s="1"/>
  <c r="AB37" i="5"/>
  <c r="AD37" i="5" s="1"/>
  <c r="S36" i="4"/>
  <c r="AE37" i="5" l="1"/>
  <c r="X38" i="5"/>
  <c r="Y38" i="5" s="1"/>
  <c r="P37" i="4"/>
  <c r="AB38" i="5" l="1"/>
  <c r="AD38" i="5" s="1"/>
  <c r="AA38" i="5"/>
  <c r="AC38" i="5" s="1"/>
  <c r="S37" i="4"/>
  <c r="F38" i="4"/>
  <c r="M38" i="4" s="1"/>
  <c r="R37" i="4"/>
  <c r="X39" i="5" l="1"/>
  <c r="Y39" i="5" s="1"/>
  <c r="P38" i="4"/>
  <c r="AE38" i="5"/>
  <c r="F39" i="4" l="1"/>
  <c r="M39" i="4" s="1"/>
  <c r="R38" i="4"/>
  <c r="AB39" i="5"/>
  <c r="AD39" i="5" s="1"/>
  <c r="AA39" i="5"/>
  <c r="AC39" i="5" s="1"/>
  <c r="AE39" i="5" s="1"/>
  <c r="S38" i="4"/>
  <c r="X40" i="5" l="1"/>
  <c r="Y40" i="5" s="1"/>
  <c r="P39" i="4"/>
  <c r="F40" i="4" l="1"/>
  <c r="M40" i="4" s="1"/>
  <c r="R39" i="4"/>
  <c r="AA40" i="5"/>
  <c r="AC40" i="5" s="1"/>
  <c r="AE40" i="5" s="1"/>
  <c r="AB40" i="5"/>
  <c r="AD40" i="5" s="1"/>
  <c r="S39" i="4"/>
  <c r="X41" i="5" l="1"/>
  <c r="Y41" i="5" s="1"/>
  <c r="P40" i="4"/>
  <c r="R40" i="4" l="1"/>
  <c r="F41" i="4"/>
  <c r="M41" i="4" s="1"/>
  <c r="AA41" i="5"/>
  <c r="AC41" i="5" s="1"/>
  <c r="AB41" i="5"/>
  <c r="AD41" i="5" s="1"/>
  <c r="S40" i="4"/>
  <c r="AE41" i="5" l="1"/>
  <c r="X42" i="5"/>
  <c r="Y42" i="5" s="1"/>
  <c r="P41" i="4"/>
  <c r="F42" i="4" l="1"/>
  <c r="M42" i="4" s="1"/>
  <c r="R41" i="4"/>
  <c r="AA42" i="5"/>
  <c r="AC42" i="5" s="1"/>
  <c r="S41" i="4"/>
  <c r="AB42" i="5"/>
  <c r="AD42" i="5" s="1"/>
  <c r="AE42" i="5" l="1"/>
  <c r="X43" i="5"/>
  <c r="Y43" i="5" s="1"/>
  <c r="P42" i="4"/>
  <c r="R42" i="4" l="1"/>
  <c r="F43" i="4"/>
  <c r="M43" i="4" s="1"/>
  <c r="AA43" i="5"/>
  <c r="AC43" i="5" s="1"/>
  <c r="AE43" i="5" s="1"/>
  <c r="AB43" i="5"/>
  <c r="AD43" i="5" s="1"/>
  <c r="S42" i="4"/>
  <c r="X44" i="5" l="1"/>
  <c r="Y44" i="5" s="1"/>
  <c r="P43" i="4"/>
  <c r="R43" i="4" l="1"/>
  <c r="F44" i="4"/>
  <c r="M44" i="4" s="1"/>
  <c r="AB44" i="5"/>
  <c r="AD44" i="5" s="1"/>
  <c r="AA44" i="5"/>
  <c r="AC44" i="5" s="1"/>
  <c r="S43" i="4"/>
  <c r="AE44" i="5" l="1"/>
  <c r="X45" i="5"/>
  <c r="Y45" i="5" s="1"/>
  <c r="P44" i="4"/>
  <c r="F45" i="4" l="1"/>
  <c r="M45" i="4" s="1"/>
  <c r="R44" i="4"/>
  <c r="AA45" i="5"/>
  <c r="AC45" i="5" s="1"/>
  <c r="AB45" i="5"/>
  <c r="AD45" i="5" s="1"/>
  <c r="S44" i="4"/>
  <c r="AE45" i="5" l="1"/>
  <c r="X46" i="5"/>
  <c r="Y46" i="5" s="1"/>
  <c r="P45" i="4"/>
  <c r="AB46" i="5" l="1"/>
  <c r="AD46" i="5" s="1"/>
  <c r="AA46" i="5"/>
  <c r="AC46" i="5" s="1"/>
  <c r="AE46" i="5" s="1"/>
  <c r="S45" i="4"/>
  <c r="F46" i="4"/>
  <c r="M46" i="4" s="1"/>
  <c r="I15" i="3"/>
  <c r="R45" i="4"/>
  <c r="X47" i="5" l="1"/>
  <c r="Y47" i="5" s="1"/>
  <c r="P46" i="4"/>
  <c r="F47" i="4" l="1"/>
  <c r="M47" i="4" s="1"/>
  <c r="R46" i="4"/>
  <c r="AB47" i="5"/>
  <c r="AD47" i="5" s="1"/>
  <c r="AA47" i="5"/>
  <c r="AC47" i="5" s="1"/>
  <c r="AE47" i="5" s="1"/>
  <c r="S46" i="4"/>
  <c r="X48" i="5" l="1"/>
  <c r="Y48" i="5" s="1"/>
  <c r="P47" i="4"/>
  <c r="R47" i="4" l="1"/>
  <c r="F48" i="4"/>
  <c r="M48" i="4" s="1"/>
  <c r="AB48" i="5"/>
  <c r="AD48" i="5" s="1"/>
  <c r="AA48" i="5"/>
  <c r="AC48" i="5" s="1"/>
  <c r="AE48" i="5" s="1"/>
  <c r="S47" i="4"/>
  <c r="X49" i="5" l="1"/>
  <c r="Y49" i="5" s="1"/>
  <c r="P48" i="4"/>
  <c r="F49" i="4" l="1"/>
  <c r="M49" i="4" s="1"/>
  <c r="R48" i="4"/>
  <c r="AA49" i="5"/>
  <c r="AC49" i="5" s="1"/>
  <c r="AB49" i="5"/>
  <c r="AD49" i="5" s="1"/>
  <c r="S48" i="4"/>
  <c r="AE49" i="5" l="1"/>
  <c r="X50" i="5"/>
  <c r="Y50" i="5" s="1"/>
  <c r="P49" i="4"/>
  <c r="F50" i="4" l="1"/>
  <c r="M50" i="4" s="1"/>
  <c r="R49" i="4"/>
  <c r="AA50" i="5"/>
  <c r="AC50" i="5" s="1"/>
  <c r="AB50" i="5"/>
  <c r="AD50" i="5" s="1"/>
  <c r="S49" i="4"/>
  <c r="AE50" i="5" l="1"/>
  <c r="X51" i="5"/>
  <c r="Y51" i="5" s="1"/>
  <c r="P50" i="4"/>
  <c r="R50" i="4" l="1"/>
  <c r="F51" i="4"/>
  <c r="M51" i="4" s="1"/>
  <c r="AB51" i="5"/>
  <c r="AD51" i="5" s="1"/>
  <c r="AA51" i="5"/>
  <c r="AC51" i="5" s="1"/>
  <c r="AE51" i="5" s="1"/>
  <c r="S50" i="4"/>
  <c r="X52" i="5" l="1"/>
  <c r="Y52" i="5" s="1"/>
  <c r="P51" i="4"/>
  <c r="F52" i="4" l="1"/>
  <c r="M52" i="4" s="1"/>
  <c r="R51" i="4"/>
  <c r="AB52" i="5"/>
  <c r="AD52" i="5" s="1"/>
  <c r="AA52" i="5"/>
  <c r="AC52" i="5" s="1"/>
  <c r="AE52" i="5" s="1"/>
  <c r="S51" i="4"/>
  <c r="X53" i="5" l="1"/>
  <c r="Y53" i="5" s="1"/>
  <c r="P52" i="4"/>
  <c r="R52" i="4" l="1"/>
  <c r="F53" i="4"/>
  <c r="M53" i="4" s="1"/>
  <c r="AA53" i="5"/>
  <c r="AC53" i="5" s="1"/>
  <c r="AB53" i="5"/>
  <c r="AD53" i="5" s="1"/>
  <c r="S52" i="4"/>
  <c r="AE53" i="5" l="1"/>
  <c r="X54" i="5"/>
  <c r="Y54" i="5" s="1"/>
  <c r="P53" i="4"/>
  <c r="F54" i="4" l="1"/>
  <c r="M54" i="4" s="1"/>
  <c r="R53" i="4"/>
  <c r="AB54" i="5"/>
  <c r="AD54" i="5" s="1"/>
  <c r="AA54" i="5"/>
  <c r="AC54" i="5" s="1"/>
  <c r="AE54" i="5" s="1"/>
  <c r="S53" i="4"/>
  <c r="X55" i="5" l="1"/>
  <c r="Y55" i="5" s="1"/>
  <c r="P54" i="4"/>
  <c r="F55" i="4" l="1"/>
  <c r="M55" i="4" s="1"/>
  <c r="R54" i="4"/>
  <c r="AB55" i="5"/>
  <c r="AD55" i="5" s="1"/>
  <c r="AA55" i="5"/>
  <c r="AC55" i="5" s="1"/>
  <c r="AE55" i="5" s="1"/>
  <c r="S54" i="4"/>
  <c r="X56" i="5" l="1"/>
  <c r="Y56" i="5" s="1"/>
  <c r="P55" i="4"/>
  <c r="R55" i="4" l="1"/>
  <c r="F56" i="4"/>
  <c r="M56" i="4" s="1"/>
  <c r="AB56" i="5"/>
  <c r="AD56" i="5" s="1"/>
  <c r="AA56" i="5"/>
  <c r="AC56" i="5" s="1"/>
  <c r="AE56" i="5" s="1"/>
  <c r="S55" i="4"/>
  <c r="X57" i="5" l="1"/>
  <c r="Y57" i="5" s="1"/>
  <c r="P56" i="4"/>
  <c r="R56" i="4" l="1"/>
  <c r="F57" i="4"/>
  <c r="M57" i="4" s="1"/>
  <c r="AA57" i="5"/>
  <c r="AC57" i="5" s="1"/>
  <c r="AB57" i="5"/>
  <c r="AD57" i="5" s="1"/>
  <c r="S56" i="4"/>
  <c r="AE57" i="5" l="1"/>
  <c r="X58" i="5"/>
  <c r="Y58" i="5" s="1"/>
  <c r="P57" i="4"/>
  <c r="F58" i="4" l="1"/>
  <c r="M58" i="4" s="1"/>
  <c r="R57" i="4"/>
  <c r="AB58" i="5"/>
  <c r="AD58" i="5" s="1"/>
  <c r="AA58" i="5"/>
  <c r="AC58" i="5" s="1"/>
  <c r="AE58" i="5" s="1"/>
  <c r="S57" i="4"/>
  <c r="X59" i="5" l="1"/>
  <c r="Y59" i="5" s="1"/>
  <c r="P58" i="4"/>
  <c r="F59" i="4" l="1"/>
  <c r="M59" i="4" s="1"/>
  <c r="R58" i="4"/>
  <c r="AB59" i="5"/>
  <c r="AD59" i="5" s="1"/>
  <c r="AA59" i="5"/>
  <c r="AC59" i="5" s="1"/>
  <c r="AE59" i="5" s="1"/>
  <c r="S58" i="4"/>
  <c r="X60" i="5" l="1"/>
  <c r="Y60" i="5" s="1"/>
  <c r="P59" i="4"/>
  <c r="F60" i="4" l="1"/>
  <c r="M60" i="4" s="1"/>
  <c r="R59" i="4"/>
  <c r="AB60" i="5"/>
  <c r="AD60" i="5" s="1"/>
  <c r="AA60" i="5"/>
  <c r="AC60" i="5" s="1"/>
  <c r="AE60" i="5" s="1"/>
  <c r="S59" i="4"/>
  <c r="X61" i="5" l="1"/>
  <c r="Y61" i="5" s="1"/>
  <c r="P60" i="4"/>
  <c r="F61" i="4" l="1"/>
  <c r="M61" i="4" s="1"/>
  <c r="R60" i="4"/>
  <c r="AA61" i="5"/>
  <c r="AC61" i="5" s="1"/>
  <c r="AB61" i="5"/>
  <c r="AD61" i="5" s="1"/>
  <c r="S60" i="4"/>
  <c r="AE61" i="5" l="1"/>
  <c r="X62" i="5"/>
  <c r="Y62" i="5" s="1"/>
  <c r="P61" i="4"/>
  <c r="R61" i="4" l="1"/>
  <c r="F62" i="4"/>
  <c r="M62" i="4" s="1"/>
  <c r="AB62" i="5"/>
  <c r="AD62" i="5" s="1"/>
  <c r="AA62" i="5"/>
  <c r="AC62" i="5" s="1"/>
  <c r="AE62" i="5" s="1"/>
  <c r="S61" i="4"/>
  <c r="X63" i="5" l="1"/>
  <c r="Y63" i="5" s="1"/>
  <c r="P62" i="4"/>
  <c r="AB63" i="5" l="1"/>
  <c r="AD63" i="5" s="1"/>
  <c r="AA63" i="5"/>
  <c r="AC63" i="5" s="1"/>
  <c r="AE63" i="5" s="1"/>
  <c r="S62" i="4"/>
  <c r="F63" i="4"/>
  <c r="M63" i="4" s="1"/>
  <c r="R62" i="4"/>
  <c r="X64" i="5" l="1"/>
  <c r="Y64" i="5" s="1"/>
  <c r="P63" i="4"/>
  <c r="R63" i="4" l="1"/>
  <c r="F64" i="4"/>
  <c r="M64" i="4" s="1"/>
  <c r="AB64" i="5"/>
  <c r="AD64" i="5" s="1"/>
  <c r="AA64" i="5"/>
  <c r="AC64" i="5" s="1"/>
  <c r="AE64" i="5" s="1"/>
  <c r="S63" i="4"/>
  <c r="X65" i="5" l="1"/>
  <c r="Y65" i="5" s="1"/>
  <c r="P64" i="4"/>
  <c r="R64" i="4" l="1"/>
  <c r="F65" i="4"/>
  <c r="M65" i="4" s="1"/>
  <c r="AA65" i="5"/>
  <c r="AC65" i="5" s="1"/>
  <c r="AB65" i="5"/>
  <c r="AD65" i="5" s="1"/>
  <c r="S64" i="4"/>
  <c r="AE65" i="5" l="1"/>
  <c r="X66" i="5"/>
  <c r="Y66" i="5" s="1"/>
  <c r="P65" i="4"/>
  <c r="F66" i="4" l="1"/>
  <c r="M66" i="4" s="1"/>
  <c r="R65" i="4"/>
  <c r="AB66" i="5"/>
  <c r="AD66" i="5" s="1"/>
  <c r="AA66" i="5"/>
  <c r="AC66" i="5" s="1"/>
  <c r="AE66" i="5" s="1"/>
  <c r="S65" i="4"/>
  <c r="X67" i="5" l="1"/>
  <c r="Y67" i="5" s="1"/>
  <c r="P66" i="4"/>
  <c r="F67" i="4" l="1"/>
  <c r="M67" i="4" s="1"/>
  <c r="R66" i="4"/>
  <c r="AB67" i="5"/>
  <c r="AD67" i="5" s="1"/>
  <c r="AA67" i="5"/>
  <c r="AC67" i="5" s="1"/>
  <c r="AE67" i="5" s="1"/>
  <c r="S66" i="4"/>
  <c r="X68" i="5" l="1"/>
  <c r="Y68" i="5" s="1"/>
  <c r="P67" i="4"/>
  <c r="AB68" i="5" l="1"/>
  <c r="AD68" i="5" s="1"/>
  <c r="AA68" i="5"/>
  <c r="AC68" i="5" s="1"/>
  <c r="AE68" i="5" s="1"/>
  <c r="S67" i="4"/>
  <c r="F68" i="4"/>
  <c r="M68" i="4" s="1"/>
  <c r="R67" i="4"/>
  <c r="I16" i="3"/>
  <c r="X69" i="5" l="1"/>
  <c r="Y69" i="5" s="1"/>
  <c r="P68" i="4"/>
  <c r="F69" i="4" l="1"/>
  <c r="M69" i="4" s="1"/>
  <c r="R68" i="4"/>
  <c r="AA69" i="5"/>
  <c r="AC69" i="5" s="1"/>
  <c r="AB69" i="5"/>
  <c r="AD69" i="5" s="1"/>
  <c r="S68" i="4"/>
  <c r="AE69" i="5" l="1"/>
  <c r="X70" i="5"/>
  <c r="Y70" i="5" s="1"/>
  <c r="P69" i="4"/>
  <c r="F70" i="4" l="1"/>
  <c r="M70" i="4" s="1"/>
  <c r="R69" i="4"/>
  <c r="AB70" i="5"/>
  <c r="AD70" i="5" s="1"/>
  <c r="AA70" i="5"/>
  <c r="AC70" i="5" s="1"/>
  <c r="AE70" i="5" s="1"/>
  <c r="S69" i="4"/>
  <c r="X71" i="5" l="1"/>
  <c r="Y71" i="5" s="1"/>
  <c r="P70" i="4"/>
  <c r="R70" i="4" l="1"/>
  <c r="F71" i="4"/>
  <c r="M71" i="4" s="1"/>
  <c r="AB71" i="5"/>
  <c r="AD71" i="5" s="1"/>
  <c r="AA71" i="5"/>
  <c r="AC71" i="5" s="1"/>
  <c r="AE71" i="5" s="1"/>
  <c r="S70" i="4"/>
  <c r="X72" i="5" l="1"/>
  <c r="Y72" i="5" s="1"/>
  <c r="P71" i="4"/>
  <c r="R71" i="4" l="1"/>
  <c r="F72" i="4"/>
  <c r="M72" i="4" s="1"/>
  <c r="AB72" i="5"/>
  <c r="AD72" i="5" s="1"/>
  <c r="AA72" i="5"/>
  <c r="AC72" i="5" s="1"/>
  <c r="AE72" i="5" s="1"/>
  <c r="S71" i="4"/>
  <c r="X73" i="5" l="1"/>
  <c r="Y73" i="5" s="1"/>
  <c r="P72" i="4"/>
  <c r="F73" i="4" l="1"/>
  <c r="M73" i="4" s="1"/>
  <c r="R72" i="4"/>
  <c r="AA73" i="5"/>
  <c r="AC73" i="5" s="1"/>
  <c r="AB73" i="5"/>
  <c r="AD73" i="5" s="1"/>
  <c r="S72" i="4"/>
  <c r="AE73" i="5" l="1"/>
  <c r="X74" i="5"/>
  <c r="Y74" i="5" s="1"/>
  <c r="P73" i="4"/>
  <c r="F74" i="4" l="1"/>
  <c r="M74" i="4" s="1"/>
  <c r="R73" i="4"/>
  <c r="AB74" i="5"/>
  <c r="AD74" i="5" s="1"/>
  <c r="AA74" i="5"/>
  <c r="AC74" i="5" s="1"/>
  <c r="AE74" i="5" s="1"/>
  <c r="S73" i="4"/>
  <c r="X75" i="5" l="1"/>
  <c r="Y75" i="5" s="1"/>
  <c r="P74" i="4"/>
  <c r="R74" i="4" l="1"/>
  <c r="F75" i="4"/>
  <c r="M75" i="4" s="1"/>
  <c r="AB75" i="5"/>
  <c r="AD75" i="5" s="1"/>
  <c r="AA75" i="5"/>
  <c r="AC75" i="5" s="1"/>
  <c r="AE75" i="5" s="1"/>
  <c r="S74" i="4"/>
  <c r="X76" i="5" l="1"/>
  <c r="Y76" i="5" s="1"/>
  <c r="P75" i="4"/>
  <c r="R75" i="4" l="1"/>
  <c r="F76" i="4"/>
  <c r="M76" i="4" s="1"/>
  <c r="AB76" i="5"/>
  <c r="AD76" i="5" s="1"/>
  <c r="AA76" i="5"/>
  <c r="AC76" i="5" s="1"/>
  <c r="AE76" i="5" s="1"/>
  <c r="S75" i="4"/>
  <c r="X77" i="5" l="1"/>
  <c r="Y77" i="5" s="1"/>
  <c r="P76" i="4"/>
  <c r="F77" i="4" l="1"/>
  <c r="M77" i="4" s="1"/>
  <c r="R76" i="4"/>
  <c r="AA77" i="5"/>
  <c r="AC77" i="5" s="1"/>
  <c r="AB77" i="5"/>
  <c r="AD77" i="5" s="1"/>
  <c r="S76" i="4"/>
  <c r="AE77" i="5" l="1"/>
  <c r="X78" i="5"/>
  <c r="Y78" i="5" s="1"/>
  <c r="P77" i="4"/>
  <c r="F78" i="4" l="1"/>
  <c r="M78" i="4" s="1"/>
  <c r="R77" i="4"/>
  <c r="AB78" i="5"/>
  <c r="AD78" i="5" s="1"/>
  <c r="AA78" i="5"/>
  <c r="AC78" i="5" s="1"/>
  <c r="AE78" i="5" s="1"/>
  <c r="S77" i="4"/>
  <c r="X79" i="5" l="1"/>
  <c r="Y79" i="5" s="1"/>
  <c r="P78" i="4"/>
  <c r="R78" i="4" l="1"/>
  <c r="F79" i="4"/>
  <c r="M79" i="4" s="1"/>
  <c r="AB79" i="5"/>
  <c r="AD79" i="5" s="1"/>
  <c r="AA79" i="5"/>
  <c r="AC79" i="5" s="1"/>
  <c r="AE79" i="5" s="1"/>
  <c r="S78" i="4"/>
  <c r="X80" i="5" l="1"/>
  <c r="Y80" i="5" s="1"/>
  <c r="P79" i="4"/>
  <c r="R79" i="4" l="1"/>
  <c r="F80" i="4"/>
  <c r="M80" i="4" s="1"/>
  <c r="AB80" i="5"/>
  <c r="AD80" i="5" s="1"/>
  <c r="AA80" i="5"/>
  <c r="AC80" i="5" s="1"/>
  <c r="AE80" i="5" s="1"/>
  <c r="S79" i="4"/>
  <c r="X81" i="5" l="1"/>
  <c r="Y81" i="5" s="1"/>
  <c r="P80" i="4"/>
  <c r="F81" i="4" l="1"/>
  <c r="M81" i="4" s="1"/>
  <c r="R80" i="4"/>
  <c r="AA81" i="5"/>
  <c r="AC81" i="5" s="1"/>
  <c r="AB81" i="5"/>
  <c r="AD81" i="5" s="1"/>
  <c r="S80" i="4"/>
  <c r="AE81" i="5" l="1"/>
  <c r="X82" i="5"/>
  <c r="Y82" i="5" s="1"/>
  <c r="P81" i="4"/>
  <c r="F82" i="4" l="1"/>
  <c r="M82" i="4" s="1"/>
  <c r="R81" i="4"/>
  <c r="AB82" i="5"/>
  <c r="AD82" i="5" s="1"/>
  <c r="AA82" i="5"/>
  <c r="AC82" i="5" s="1"/>
  <c r="AE82" i="5" s="1"/>
  <c r="S81" i="4"/>
  <c r="X83" i="5" l="1"/>
  <c r="Y83" i="5" s="1"/>
  <c r="P82" i="4"/>
  <c r="R82" i="4" l="1"/>
  <c r="F83" i="4"/>
  <c r="M83" i="4" s="1"/>
  <c r="AB83" i="5"/>
  <c r="AD83" i="5" s="1"/>
  <c r="AA83" i="5"/>
  <c r="AC83" i="5" s="1"/>
  <c r="AE83" i="5" s="1"/>
  <c r="S82" i="4"/>
  <c r="X84" i="5" l="1"/>
  <c r="Y84" i="5" s="1"/>
  <c r="P83" i="4"/>
  <c r="R83" i="4" l="1"/>
  <c r="F84" i="4"/>
  <c r="M84" i="4" s="1"/>
  <c r="AB84" i="5"/>
  <c r="AD84" i="5" s="1"/>
  <c r="AA84" i="5"/>
  <c r="AC84" i="5" s="1"/>
  <c r="AE84" i="5" s="1"/>
  <c r="S83" i="4"/>
  <c r="X85" i="5" l="1"/>
  <c r="Y85" i="5" s="1"/>
  <c r="P84" i="4"/>
  <c r="F85" i="4" l="1"/>
  <c r="M85" i="4" s="1"/>
  <c r="R84" i="4"/>
  <c r="AA85" i="5"/>
  <c r="AC85" i="5" s="1"/>
  <c r="AB85" i="5"/>
  <c r="AD85" i="5" s="1"/>
  <c r="S84" i="4"/>
  <c r="AE85" i="5" l="1"/>
  <c r="X86" i="5"/>
  <c r="Y86" i="5" s="1"/>
  <c r="P85" i="4"/>
  <c r="F86" i="4" l="1"/>
  <c r="M86" i="4" s="1"/>
  <c r="R85" i="4"/>
  <c r="AB86" i="5"/>
  <c r="AD86" i="5" s="1"/>
  <c r="AA86" i="5"/>
  <c r="AC86" i="5" s="1"/>
  <c r="AE86" i="5" s="1"/>
  <c r="S85" i="4"/>
  <c r="X87" i="5" l="1"/>
  <c r="Y87" i="5" s="1"/>
  <c r="P86" i="4"/>
  <c r="F87" i="4" l="1"/>
  <c r="M87" i="4" s="1"/>
  <c r="R86" i="4"/>
  <c r="AB87" i="5"/>
  <c r="AD87" i="5" s="1"/>
  <c r="AA87" i="5"/>
  <c r="AC87" i="5" s="1"/>
  <c r="AE87" i="5" s="1"/>
  <c r="S86" i="4"/>
  <c r="X88" i="5" l="1"/>
  <c r="Y88" i="5" s="1"/>
  <c r="P87" i="4"/>
  <c r="R87" i="4" l="1"/>
  <c r="F88" i="4"/>
  <c r="M88" i="4" s="1"/>
  <c r="AB88" i="5"/>
  <c r="AD88" i="5" s="1"/>
  <c r="AA88" i="5"/>
  <c r="AC88" i="5" s="1"/>
  <c r="AE88" i="5" s="1"/>
  <c r="S87" i="4"/>
  <c r="X89" i="5" l="1"/>
  <c r="Y89" i="5" s="1"/>
  <c r="P88" i="4"/>
  <c r="F89" i="4" l="1"/>
  <c r="M89" i="4" s="1"/>
  <c r="R88" i="4"/>
  <c r="AB89" i="5"/>
  <c r="AD89" i="5" s="1"/>
  <c r="AA89" i="5"/>
  <c r="AC89" i="5" s="1"/>
  <c r="S88" i="4"/>
  <c r="X90" i="5" l="1"/>
  <c r="Y90" i="5" s="1"/>
  <c r="P89" i="4"/>
  <c r="AE89" i="5"/>
  <c r="F90" i="4" l="1"/>
  <c r="M90" i="4" s="1"/>
  <c r="R89" i="4"/>
  <c r="I17" i="3"/>
  <c r="AA90" i="5"/>
  <c r="AC90" i="5" s="1"/>
  <c r="AB90" i="5"/>
  <c r="AD90" i="5" s="1"/>
  <c r="S89" i="4"/>
  <c r="AE90" i="5" l="1"/>
  <c r="X91" i="5"/>
  <c r="Y91" i="5" s="1"/>
  <c r="P90" i="4"/>
  <c r="F91" i="4" l="1"/>
  <c r="M91" i="4" s="1"/>
  <c r="R90" i="4"/>
  <c r="AB91" i="5"/>
  <c r="AD91" i="5" s="1"/>
  <c r="AA91" i="5"/>
  <c r="AC91" i="5" s="1"/>
  <c r="AE91" i="5" s="1"/>
  <c r="S90" i="4"/>
  <c r="X92" i="5" l="1"/>
  <c r="Y92" i="5" s="1"/>
  <c r="P91" i="4"/>
  <c r="R91" i="4" l="1"/>
  <c r="F92" i="4"/>
  <c r="M92" i="4" s="1"/>
  <c r="AA92" i="5"/>
  <c r="AC92" i="5" s="1"/>
  <c r="AB92" i="5"/>
  <c r="AD92" i="5" s="1"/>
  <c r="S91" i="4"/>
  <c r="AE92" i="5" l="1"/>
  <c r="X93" i="5"/>
  <c r="Y93" i="5" s="1"/>
  <c r="P92" i="4"/>
  <c r="R92" i="4" l="1"/>
  <c r="F93" i="4"/>
  <c r="M93" i="4" s="1"/>
  <c r="AB93" i="5"/>
  <c r="AD93" i="5" s="1"/>
  <c r="AA93" i="5"/>
  <c r="AC93" i="5" s="1"/>
  <c r="AE93" i="5" s="1"/>
  <c r="S92" i="4"/>
  <c r="X94" i="5" l="1"/>
  <c r="Y94" i="5" s="1"/>
  <c r="P93" i="4"/>
  <c r="F94" i="4" l="1"/>
  <c r="M94" i="4" s="1"/>
  <c r="R93" i="4"/>
  <c r="AA94" i="5"/>
  <c r="AC94" i="5" s="1"/>
  <c r="AB94" i="5"/>
  <c r="AD94" i="5" s="1"/>
  <c r="S93" i="4"/>
  <c r="AE94" i="5" l="1"/>
  <c r="X95" i="5"/>
  <c r="Y95" i="5" s="1"/>
  <c r="P94" i="4"/>
  <c r="R94" i="4" l="1"/>
  <c r="F95" i="4"/>
  <c r="M95" i="4" s="1"/>
  <c r="AB95" i="5"/>
  <c r="AD95" i="5" s="1"/>
  <c r="AA95" i="5"/>
  <c r="AC95" i="5" s="1"/>
  <c r="AE95" i="5" s="1"/>
  <c r="S94" i="4"/>
  <c r="X96" i="5" l="1"/>
  <c r="Y96" i="5" s="1"/>
  <c r="P95" i="4"/>
  <c r="R95" i="4" l="1"/>
  <c r="F96" i="4"/>
  <c r="M96" i="4" s="1"/>
  <c r="AB96" i="5"/>
  <c r="AD96" i="5" s="1"/>
  <c r="AA96" i="5"/>
  <c r="AC96" i="5" s="1"/>
  <c r="AE96" i="5" s="1"/>
  <c r="S95" i="4"/>
  <c r="X97" i="5" l="1"/>
  <c r="Y97" i="5" s="1"/>
  <c r="P96" i="4"/>
  <c r="R96" i="4" l="1"/>
  <c r="F97" i="4"/>
  <c r="M97" i="4" s="1"/>
  <c r="AB97" i="5"/>
  <c r="AD97" i="5" s="1"/>
  <c r="AA97" i="5"/>
  <c r="AC97" i="5" s="1"/>
  <c r="AE97" i="5" s="1"/>
  <c r="S96" i="4"/>
  <c r="X98" i="5" l="1"/>
  <c r="Y98" i="5" s="1"/>
  <c r="P97" i="4"/>
  <c r="F98" i="4" l="1"/>
  <c r="M98" i="4" s="1"/>
  <c r="R97" i="4"/>
  <c r="AA98" i="5"/>
  <c r="AC98" i="5" s="1"/>
  <c r="AB98" i="5"/>
  <c r="AD98" i="5" s="1"/>
  <c r="S97" i="4"/>
  <c r="AE98" i="5" l="1"/>
  <c r="X99" i="5"/>
  <c r="Y99" i="5" s="1"/>
  <c r="P98" i="4"/>
  <c r="F99" i="4" l="1"/>
  <c r="M99" i="4" s="1"/>
  <c r="R98" i="4"/>
  <c r="AB99" i="5"/>
  <c r="AD99" i="5" s="1"/>
  <c r="AA99" i="5"/>
  <c r="AC99" i="5" s="1"/>
  <c r="AE99" i="5" s="1"/>
  <c r="S98" i="4"/>
  <c r="X100" i="5" l="1"/>
  <c r="Y100" i="5" s="1"/>
  <c r="P99" i="4"/>
  <c r="F100" i="4" l="1"/>
  <c r="M100" i="4" s="1"/>
  <c r="R99" i="4"/>
  <c r="AB100" i="5"/>
  <c r="AD100" i="5" s="1"/>
  <c r="AA100" i="5"/>
  <c r="AC100" i="5" s="1"/>
  <c r="S99" i="4"/>
  <c r="X101" i="5" l="1"/>
  <c r="Y101" i="5" s="1"/>
  <c r="P100" i="4"/>
  <c r="AE100" i="5"/>
  <c r="F101" i="4" l="1"/>
  <c r="M101" i="4" s="1"/>
  <c r="R100" i="4"/>
  <c r="AA101" i="5"/>
  <c r="AC101" i="5" s="1"/>
  <c r="AB101" i="5"/>
  <c r="AD101" i="5" s="1"/>
  <c r="S100" i="4"/>
  <c r="AE101" i="5" l="1"/>
  <c r="P101" i="4"/>
  <c r="X102" i="5"/>
  <c r="Y102" i="5" s="1"/>
  <c r="R101" i="4" l="1"/>
  <c r="F102" i="4"/>
  <c r="M102" i="4" s="1"/>
  <c r="AA102" i="5"/>
  <c r="AC102" i="5" s="1"/>
  <c r="AB102" i="5"/>
  <c r="AD102" i="5" s="1"/>
  <c r="S101" i="4"/>
  <c r="AE102" i="5" l="1"/>
  <c r="X103" i="5"/>
  <c r="Y103" i="5" s="1"/>
  <c r="P102" i="4"/>
  <c r="F103" i="4" l="1"/>
  <c r="M103" i="4" s="1"/>
  <c r="R102" i="4"/>
  <c r="AA103" i="5"/>
  <c r="AC103" i="5" s="1"/>
  <c r="S102" i="4"/>
  <c r="AB103" i="5"/>
  <c r="AD103" i="5" s="1"/>
  <c r="AE103" i="5" l="1"/>
  <c r="X104" i="5"/>
  <c r="Y104" i="5" s="1"/>
  <c r="P103" i="4"/>
  <c r="R103" i="4" l="1"/>
  <c r="F104" i="4"/>
  <c r="M104" i="4" s="1"/>
  <c r="AA104" i="5"/>
  <c r="AC104" i="5" s="1"/>
  <c r="AB104" i="5"/>
  <c r="AD104" i="5" s="1"/>
  <c r="S103" i="4"/>
  <c r="AE104" i="5" l="1"/>
  <c r="X105" i="5"/>
  <c r="Y105" i="5" s="1"/>
  <c r="P104" i="4"/>
  <c r="R104" i="4" l="1"/>
  <c r="F105" i="4"/>
  <c r="M105" i="4" s="1"/>
  <c r="AB105" i="5"/>
  <c r="AD105" i="5" s="1"/>
  <c r="S104" i="4"/>
  <c r="AA105" i="5"/>
  <c r="AC105" i="5" s="1"/>
  <c r="AE105" i="5" s="1"/>
  <c r="X106" i="5" l="1"/>
  <c r="Y106" i="5" s="1"/>
  <c r="P105" i="4"/>
  <c r="F106" i="4" l="1"/>
  <c r="M106" i="4" s="1"/>
  <c r="R105" i="4"/>
  <c r="AA106" i="5"/>
  <c r="AC106" i="5" s="1"/>
  <c r="AB106" i="5"/>
  <c r="AD106" i="5" s="1"/>
  <c r="S105" i="4"/>
  <c r="AE106" i="5" l="1"/>
  <c r="X107" i="5"/>
  <c r="Y107" i="5" s="1"/>
  <c r="P106" i="4"/>
  <c r="F107" i="4" l="1"/>
  <c r="M107" i="4" s="1"/>
  <c r="R106" i="4"/>
  <c r="AB107" i="5"/>
  <c r="AD107" i="5" s="1"/>
  <c r="AA107" i="5"/>
  <c r="AC107" i="5" s="1"/>
  <c r="AE107" i="5" s="1"/>
  <c r="S106" i="4"/>
  <c r="X108" i="5" l="1"/>
  <c r="Y108" i="5" s="1"/>
  <c r="P107" i="4"/>
  <c r="R107" i="4" l="1"/>
  <c r="F108" i="4"/>
  <c r="M108" i="4" s="1"/>
  <c r="AB108" i="5"/>
  <c r="AD108" i="5" s="1"/>
  <c r="AA108" i="5"/>
  <c r="AC108" i="5" s="1"/>
  <c r="AE108" i="5" s="1"/>
  <c r="S107" i="4"/>
  <c r="X109" i="5" l="1"/>
  <c r="Y109" i="5" s="1"/>
  <c r="P108" i="4"/>
  <c r="R108" i="4" l="1"/>
  <c r="F109" i="4"/>
  <c r="M109" i="4" s="1"/>
  <c r="AA109" i="5"/>
  <c r="AC109" i="5" s="1"/>
  <c r="AB109" i="5"/>
  <c r="AD109" i="5" s="1"/>
  <c r="S108" i="4"/>
  <c r="AE109" i="5" l="1"/>
  <c r="X110" i="5"/>
  <c r="Y110" i="5" s="1"/>
  <c r="P109" i="4"/>
  <c r="F110" i="4" l="1"/>
  <c r="M110" i="4" s="1"/>
  <c r="R109" i="4"/>
  <c r="AA110" i="5"/>
  <c r="AC110" i="5" s="1"/>
  <c r="AB110" i="5"/>
  <c r="AD110" i="5" s="1"/>
  <c r="S109" i="4"/>
  <c r="AE110" i="5" l="1"/>
  <c r="X111" i="5"/>
  <c r="Y111" i="5" s="1"/>
  <c r="P110" i="4"/>
  <c r="R110" i="4" l="1"/>
  <c r="I18" i="3"/>
  <c r="F111" i="4"/>
  <c r="M111" i="4" s="1"/>
  <c r="AB111" i="5"/>
  <c r="AD111" i="5" s="1"/>
  <c r="AA111" i="5"/>
  <c r="AC111" i="5" s="1"/>
  <c r="S110" i="4"/>
  <c r="AE111" i="5" l="1"/>
  <c r="X112" i="5"/>
  <c r="Y112" i="5" s="1"/>
  <c r="P111" i="4"/>
  <c r="R111" i="4" l="1"/>
  <c r="F112" i="4"/>
  <c r="M112" i="4" s="1"/>
  <c r="AB112" i="5"/>
  <c r="AD112" i="5" s="1"/>
  <c r="AA112" i="5"/>
  <c r="AC112" i="5" s="1"/>
  <c r="S111" i="4"/>
  <c r="AE112" i="5" l="1"/>
  <c r="P112" i="4"/>
  <c r="X113" i="5"/>
  <c r="Y113" i="5" s="1"/>
  <c r="AB113" i="5" l="1"/>
  <c r="AD113" i="5" s="1"/>
  <c r="AA113" i="5"/>
  <c r="AC113" i="5" s="1"/>
  <c r="S112" i="4"/>
  <c r="R112" i="4"/>
  <c r="F113" i="4"/>
  <c r="M113" i="4" s="1"/>
  <c r="AE113" i="5" l="1"/>
  <c r="X114" i="5"/>
  <c r="Y114" i="5" s="1"/>
  <c r="P113" i="4"/>
  <c r="F114" i="4" l="1"/>
  <c r="M114" i="4" s="1"/>
  <c r="R113" i="4"/>
  <c r="AA114" i="5"/>
  <c r="AC114" i="5" s="1"/>
  <c r="AB114" i="5"/>
  <c r="AD114" i="5" s="1"/>
  <c r="S113" i="4"/>
  <c r="AE114" i="5" l="1"/>
  <c r="X115" i="5"/>
  <c r="Y115" i="5" s="1"/>
  <c r="P114" i="4"/>
  <c r="F115" i="4" l="1"/>
  <c r="M115" i="4" s="1"/>
  <c r="R114" i="4"/>
  <c r="AB115" i="5"/>
  <c r="AD115" i="5" s="1"/>
  <c r="AA115" i="5"/>
  <c r="AC115" i="5" s="1"/>
  <c r="S114" i="4"/>
  <c r="AE115" i="5" l="1"/>
  <c r="X116" i="5"/>
  <c r="Y116" i="5" s="1"/>
  <c r="P115" i="4"/>
  <c r="F116" i="4" l="1"/>
  <c r="M116" i="4" s="1"/>
  <c r="R115" i="4"/>
  <c r="AB116" i="5"/>
  <c r="AD116" i="5" s="1"/>
  <c r="AA116" i="5"/>
  <c r="AC116" i="5" s="1"/>
  <c r="S115" i="4"/>
  <c r="AE116" i="5" l="1"/>
  <c r="X117" i="5"/>
  <c r="Y117" i="5" s="1"/>
  <c r="P116" i="4"/>
  <c r="F117" i="4" l="1"/>
  <c r="M117" i="4" s="1"/>
  <c r="R116" i="4"/>
  <c r="AA117" i="5"/>
  <c r="AC117" i="5" s="1"/>
  <c r="AB117" i="5"/>
  <c r="AD117" i="5" s="1"/>
  <c r="S116" i="4"/>
  <c r="AE117" i="5" l="1"/>
  <c r="X118" i="5"/>
  <c r="Y118" i="5" s="1"/>
  <c r="P117" i="4"/>
  <c r="F118" i="4" l="1"/>
  <c r="M118" i="4" s="1"/>
  <c r="R117" i="4"/>
  <c r="AA118" i="5"/>
  <c r="AC118" i="5" s="1"/>
  <c r="AB118" i="5"/>
  <c r="AD118" i="5" s="1"/>
  <c r="S117" i="4"/>
  <c r="AE118" i="5" l="1"/>
  <c r="X119" i="5"/>
  <c r="Y119" i="5" s="1"/>
  <c r="P118" i="4"/>
  <c r="R118" i="4" l="1"/>
  <c r="F119" i="4"/>
  <c r="M119" i="4" s="1"/>
  <c r="AA119" i="5"/>
  <c r="AC119" i="5" s="1"/>
  <c r="AB119" i="5"/>
  <c r="AD119" i="5" s="1"/>
  <c r="S118" i="4"/>
  <c r="AE119" i="5" l="1"/>
  <c r="X120" i="5"/>
  <c r="Y120" i="5" s="1"/>
  <c r="P119" i="4"/>
  <c r="R119" i="4" l="1"/>
  <c r="F120" i="4"/>
  <c r="M120" i="4" s="1"/>
  <c r="AB120" i="5"/>
  <c r="AD120" i="5" s="1"/>
  <c r="S119" i="4"/>
  <c r="AA120" i="5"/>
  <c r="AC120" i="5" s="1"/>
  <c r="AE120" i="5" s="1"/>
  <c r="X121" i="5" l="1"/>
  <c r="Y121" i="5" s="1"/>
  <c r="P120" i="4"/>
  <c r="R120" i="4" l="1"/>
  <c r="F121" i="4"/>
  <c r="M121" i="4" s="1"/>
  <c r="AB121" i="5"/>
  <c r="AD121" i="5" s="1"/>
  <c r="AA121" i="5"/>
  <c r="AC121" i="5" s="1"/>
  <c r="S120" i="4"/>
  <c r="AE121" i="5" l="1"/>
  <c r="X122" i="5"/>
  <c r="Y122" i="5" s="1"/>
  <c r="P121" i="4"/>
  <c r="F122" i="4" l="1"/>
  <c r="M122" i="4" s="1"/>
  <c r="R121" i="4"/>
  <c r="AA122" i="5"/>
  <c r="AC122" i="5" s="1"/>
  <c r="AB122" i="5"/>
  <c r="AD122" i="5" s="1"/>
  <c r="S121" i="4"/>
  <c r="AE122" i="5" l="1"/>
  <c r="X123" i="5"/>
  <c r="Y123" i="5" s="1"/>
  <c r="P122" i="4"/>
  <c r="F123" i="4" l="1"/>
  <c r="M123" i="4" s="1"/>
  <c r="R122" i="4"/>
  <c r="AA123" i="5"/>
  <c r="AC123" i="5" s="1"/>
  <c r="AB123" i="5"/>
  <c r="AD123" i="5" s="1"/>
  <c r="S122" i="4"/>
  <c r="AE123" i="5" l="1"/>
  <c r="X124" i="5"/>
  <c r="Y124" i="5" s="1"/>
  <c r="P123" i="4"/>
  <c r="F124" i="4" l="1"/>
  <c r="M124" i="4" s="1"/>
  <c r="R123" i="4"/>
  <c r="AB124" i="5"/>
  <c r="AD124" i="5" s="1"/>
  <c r="AA124" i="5"/>
  <c r="AC124" i="5" s="1"/>
  <c r="S123" i="4"/>
  <c r="AE124" i="5" l="1"/>
  <c r="X125" i="5"/>
  <c r="Y125" i="5" s="1"/>
  <c r="P124" i="4"/>
  <c r="F125" i="4" l="1"/>
  <c r="M125" i="4" s="1"/>
  <c r="R124" i="4"/>
  <c r="AB125" i="5"/>
  <c r="AD125" i="5" s="1"/>
  <c r="AA125" i="5"/>
  <c r="AC125" i="5" s="1"/>
  <c r="S124" i="4"/>
  <c r="AE125" i="5" l="1"/>
  <c r="X126" i="5"/>
  <c r="Y126" i="5" s="1"/>
  <c r="P125" i="4"/>
  <c r="F126" i="4" l="1"/>
  <c r="M126" i="4" s="1"/>
  <c r="R125" i="4"/>
  <c r="AA126" i="5"/>
  <c r="AC126" i="5" s="1"/>
  <c r="AB126" i="5"/>
  <c r="AD126" i="5" s="1"/>
  <c r="S125" i="4"/>
  <c r="AE126" i="5" l="1"/>
  <c r="X127" i="5"/>
  <c r="Y127" i="5" s="1"/>
  <c r="P126" i="4"/>
  <c r="F127" i="4" l="1"/>
  <c r="M127" i="4" s="1"/>
  <c r="R126" i="4"/>
  <c r="AA127" i="5"/>
  <c r="AC127" i="5" s="1"/>
  <c r="AB127" i="5"/>
  <c r="AD127" i="5" s="1"/>
  <c r="S126" i="4"/>
  <c r="AE127" i="5" l="1"/>
  <c r="X128" i="5"/>
  <c r="Y128" i="5" s="1"/>
  <c r="P127" i="4"/>
  <c r="R127" i="4" l="1"/>
  <c r="F128" i="4"/>
  <c r="M128" i="4" s="1"/>
  <c r="AB128" i="5"/>
  <c r="AD128" i="5" s="1"/>
  <c r="AA128" i="5"/>
  <c r="AC128" i="5" s="1"/>
  <c r="S127" i="4"/>
  <c r="AE128" i="5" l="1"/>
  <c r="X129" i="5"/>
  <c r="Y129" i="5" s="1"/>
  <c r="P128" i="4"/>
  <c r="R128" i="4" l="1"/>
  <c r="F129" i="4"/>
  <c r="M129" i="4" s="1"/>
  <c r="AB129" i="5"/>
  <c r="AD129" i="5" s="1"/>
  <c r="AA129" i="5"/>
  <c r="AC129" i="5" s="1"/>
  <c r="S128" i="4"/>
  <c r="AE129" i="5" l="1"/>
  <c r="X130" i="5"/>
  <c r="Y130" i="5" s="1"/>
  <c r="P129" i="4"/>
  <c r="F130" i="4" l="1"/>
  <c r="M130" i="4" s="1"/>
  <c r="R129" i="4"/>
  <c r="AA130" i="5"/>
  <c r="AC130" i="5" s="1"/>
  <c r="AB130" i="5"/>
  <c r="AD130" i="5" s="1"/>
  <c r="S129" i="4"/>
  <c r="AE130" i="5" l="1"/>
  <c r="X131" i="5"/>
  <c r="Y131" i="5" s="1"/>
  <c r="P130" i="4"/>
  <c r="F131" i="4" l="1"/>
  <c r="M131" i="4" s="1"/>
  <c r="R130" i="4"/>
  <c r="AA131" i="5"/>
  <c r="AC131" i="5" s="1"/>
  <c r="AB131" i="5"/>
  <c r="AD131" i="5" s="1"/>
  <c r="S130" i="4"/>
  <c r="AE131" i="5" l="1"/>
  <c r="X132" i="5"/>
  <c r="Y132" i="5" s="1"/>
  <c r="P131" i="4"/>
  <c r="F132" i="4" l="1"/>
  <c r="M132" i="4" s="1"/>
  <c r="R131" i="4"/>
  <c r="AB132" i="5"/>
  <c r="AD132" i="5" s="1"/>
  <c r="AA132" i="5"/>
  <c r="AC132" i="5" s="1"/>
  <c r="S131" i="4"/>
  <c r="AE132" i="5" l="1"/>
  <c r="X133" i="5"/>
  <c r="Y133" i="5" s="1"/>
  <c r="P132" i="4"/>
  <c r="F133" i="4" l="1"/>
  <c r="M133" i="4" s="1"/>
  <c r="R132" i="4"/>
  <c r="I19" i="3"/>
  <c r="AB133" i="5"/>
  <c r="AD133" i="5" s="1"/>
  <c r="AA133" i="5"/>
  <c r="AC133" i="5" s="1"/>
  <c r="S132" i="4"/>
  <c r="AE133" i="5" l="1"/>
  <c r="X134" i="5"/>
  <c r="Y134" i="5" s="1"/>
  <c r="P133" i="4"/>
  <c r="F134" i="4" l="1"/>
  <c r="M134" i="4" s="1"/>
  <c r="R133" i="4"/>
  <c r="AA134" i="5"/>
  <c r="AC134" i="5" s="1"/>
  <c r="AB134" i="5"/>
  <c r="AD134" i="5" s="1"/>
  <c r="S133" i="4"/>
  <c r="AE134" i="5" l="1"/>
  <c r="X135" i="5"/>
  <c r="Y135" i="5" s="1"/>
  <c r="P134" i="4"/>
  <c r="F135" i="4" l="1"/>
  <c r="M135" i="4" s="1"/>
  <c r="R134" i="4"/>
  <c r="AA135" i="5"/>
  <c r="AC135" i="5" s="1"/>
  <c r="AB135" i="5"/>
  <c r="AD135" i="5" s="1"/>
  <c r="S134" i="4"/>
  <c r="AE135" i="5" l="1"/>
  <c r="X136" i="5"/>
  <c r="Y136" i="5" s="1"/>
  <c r="P135" i="4"/>
  <c r="R135" i="4" l="1"/>
  <c r="F136" i="4"/>
  <c r="M136" i="4" s="1"/>
  <c r="AB136" i="5"/>
  <c r="AD136" i="5" s="1"/>
  <c r="AA136" i="5"/>
  <c r="AC136" i="5" s="1"/>
  <c r="S135" i="4"/>
  <c r="AE136" i="5" l="1"/>
  <c r="X137" i="5"/>
  <c r="Y137" i="5" s="1"/>
  <c r="P136" i="4"/>
  <c r="R136" i="4" l="1"/>
  <c r="F137" i="4"/>
  <c r="M137" i="4" s="1"/>
  <c r="AB137" i="5"/>
  <c r="AD137" i="5" s="1"/>
  <c r="AA137" i="5"/>
  <c r="AC137" i="5" s="1"/>
  <c r="AE137" i="5" s="1"/>
  <c r="S136" i="4"/>
  <c r="X138" i="5" l="1"/>
  <c r="Y138" i="5" s="1"/>
  <c r="P137" i="4"/>
  <c r="F138" i="4" l="1"/>
  <c r="M138" i="4" s="1"/>
  <c r="R137" i="4"/>
  <c r="AB138" i="5"/>
  <c r="AD138" i="5" s="1"/>
  <c r="AA138" i="5"/>
  <c r="AC138" i="5" s="1"/>
  <c r="S137" i="4"/>
  <c r="AE138" i="5" l="1"/>
  <c r="X139" i="5"/>
  <c r="Y139" i="5" s="1"/>
  <c r="P138" i="4"/>
  <c r="F139" i="4" l="1"/>
  <c r="M139" i="4" s="1"/>
  <c r="R138" i="4"/>
  <c r="AA139" i="5"/>
  <c r="AC139" i="5" s="1"/>
  <c r="AB139" i="5"/>
  <c r="AD139" i="5" s="1"/>
  <c r="S138" i="4"/>
  <c r="AE139" i="5" l="1"/>
  <c r="X140" i="5"/>
  <c r="Y140" i="5" s="1"/>
  <c r="P139" i="4"/>
  <c r="F140" i="4" l="1"/>
  <c r="M140" i="4" s="1"/>
  <c r="R139" i="4"/>
  <c r="AA140" i="5"/>
  <c r="AC140" i="5" s="1"/>
  <c r="AB140" i="5"/>
  <c r="AD140" i="5" s="1"/>
  <c r="S139" i="4"/>
  <c r="AE140" i="5" l="1"/>
  <c r="X141" i="5"/>
  <c r="Y141" i="5" s="1"/>
  <c r="P140" i="4"/>
  <c r="F141" i="4" l="1"/>
  <c r="M141" i="4" s="1"/>
  <c r="R140" i="4"/>
  <c r="AB141" i="5"/>
  <c r="AD141" i="5" s="1"/>
  <c r="AA141" i="5"/>
  <c r="AC141" i="5" s="1"/>
  <c r="S140" i="4"/>
  <c r="AE141" i="5" l="1"/>
  <c r="X142" i="5"/>
  <c r="Y142" i="5" s="1"/>
  <c r="P141" i="4"/>
  <c r="F142" i="4" l="1"/>
  <c r="M142" i="4" s="1"/>
  <c r="R141" i="4"/>
  <c r="AB142" i="5"/>
  <c r="AD142" i="5" s="1"/>
  <c r="AA142" i="5"/>
  <c r="AC142" i="5" s="1"/>
  <c r="S141" i="4"/>
  <c r="AE142" i="5" l="1"/>
  <c r="X143" i="5"/>
  <c r="Y143" i="5" s="1"/>
  <c r="P142" i="4"/>
  <c r="F143" i="4" l="1"/>
  <c r="M143" i="4" s="1"/>
  <c r="R142" i="4"/>
  <c r="AA143" i="5"/>
  <c r="AC143" i="5" s="1"/>
  <c r="AB143" i="5"/>
  <c r="AD143" i="5" s="1"/>
  <c r="S142" i="4"/>
  <c r="AE143" i="5" l="1"/>
  <c r="X144" i="5"/>
  <c r="Y144" i="5" s="1"/>
  <c r="P143" i="4"/>
  <c r="R143" i="4" l="1"/>
  <c r="F144" i="4"/>
  <c r="M144" i="4" s="1"/>
  <c r="AB144" i="5"/>
  <c r="AD144" i="5" s="1"/>
  <c r="AA144" i="5"/>
  <c r="AC144" i="5" s="1"/>
  <c r="AE144" i="5" s="1"/>
  <c r="S143" i="4"/>
  <c r="X145" i="5" l="1"/>
  <c r="Y145" i="5" s="1"/>
  <c r="P144" i="4"/>
  <c r="R144" i="4" l="1"/>
  <c r="F145" i="4"/>
  <c r="M145" i="4" s="1"/>
  <c r="AB145" i="5"/>
  <c r="AD145" i="5" s="1"/>
  <c r="AA145" i="5"/>
  <c r="AC145" i="5" s="1"/>
  <c r="S144" i="4"/>
  <c r="AE145" i="5" l="1"/>
  <c r="X146" i="5"/>
  <c r="Y146" i="5" s="1"/>
  <c r="P145" i="4"/>
  <c r="F146" i="4" l="1"/>
  <c r="M146" i="4" s="1"/>
  <c r="R145" i="4"/>
  <c r="AB146" i="5"/>
  <c r="AD146" i="5" s="1"/>
  <c r="AA146" i="5"/>
  <c r="AC146" i="5" s="1"/>
  <c r="S145" i="4"/>
  <c r="AE146" i="5" l="1"/>
  <c r="X147" i="5"/>
  <c r="Y147" i="5" s="1"/>
  <c r="P146" i="4"/>
  <c r="F147" i="4" l="1"/>
  <c r="M147" i="4" s="1"/>
  <c r="R146" i="4"/>
  <c r="AA147" i="5"/>
  <c r="AC147" i="5" s="1"/>
  <c r="AB147" i="5"/>
  <c r="AD147" i="5" s="1"/>
  <c r="S146" i="4"/>
  <c r="AE147" i="5" l="1"/>
  <c r="X148" i="5"/>
  <c r="Y148" i="5" s="1"/>
  <c r="P147" i="4"/>
  <c r="F148" i="4" l="1"/>
  <c r="M148" i="4" s="1"/>
  <c r="R147" i="4"/>
  <c r="AB148" i="5"/>
  <c r="AD148" i="5" s="1"/>
  <c r="AA148" i="5"/>
  <c r="AC148" i="5" s="1"/>
  <c r="S147" i="4"/>
  <c r="AE148" i="5" l="1"/>
  <c r="X149" i="5"/>
  <c r="Y149" i="5" s="1"/>
  <c r="P148" i="4"/>
  <c r="F149" i="4" l="1"/>
  <c r="M149" i="4" s="1"/>
  <c r="R148" i="4"/>
  <c r="AB149" i="5"/>
  <c r="AD149" i="5" s="1"/>
  <c r="AA149" i="5"/>
  <c r="AC149" i="5" s="1"/>
  <c r="S148" i="4"/>
  <c r="AE149" i="5" l="1"/>
  <c r="X150" i="5"/>
  <c r="Y150" i="5" s="1"/>
  <c r="P149" i="4"/>
  <c r="F150" i="4" l="1"/>
  <c r="M150" i="4" s="1"/>
  <c r="R149" i="4"/>
  <c r="AB150" i="5"/>
  <c r="AD150" i="5" s="1"/>
  <c r="AA150" i="5"/>
  <c r="AC150" i="5" s="1"/>
  <c r="S149" i="4"/>
  <c r="AE150" i="5" l="1"/>
  <c r="X151" i="5"/>
  <c r="Y151" i="5" s="1"/>
  <c r="P150" i="4"/>
  <c r="R150" i="4" l="1"/>
  <c r="F151" i="4"/>
  <c r="M151" i="4" s="1"/>
  <c r="AA151" i="5"/>
  <c r="AC151" i="5" s="1"/>
  <c r="AB151" i="5"/>
  <c r="AD151" i="5" s="1"/>
  <c r="S150" i="4"/>
  <c r="AE151" i="5" l="1"/>
  <c r="X152" i="5"/>
  <c r="Y152" i="5" s="1"/>
  <c r="P151" i="4"/>
  <c r="R151" i="4" l="1"/>
  <c r="F152" i="4"/>
  <c r="M152" i="4" s="1"/>
  <c r="AB152" i="5"/>
  <c r="AD152" i="5" s="1"/>
  <c r="S151" i="4"/>
  <c r="AA152" i="5"/>
  <c r="AC152" i="5" s="1"/>
  <c r="AE152" i="5" l="1"/>
  <c r="X153" i="5"/>
  <c r="Y153" i="5" s="1"/>
  <c r="P152" i="4"/>
  <c r="R152" i="4" l="1"/>
  <c r="F153" i="4"/>
  <c r="M153" i="4" s="1"/>
  <c r="AB153" i="5"/>
  <c r="AD153" i="5" s="1"/>
  <c r="AA153" i="5"/>
  <c r="AC153" i="5" s="1"/>
  <c r="S152" i="4"/>
  <c r="AE153" i="5" l="1"/>
  <c r="X154" i="5"/>
  <c r="Y154" i="5" s="1"/>
  <c r="P153" i="4"/>
  <c r="AB154" i="5" l="1"/>
  <c r="AD154" i="5" s="1"/>
  <c r="AA154" i="5"/>
  <c r="AC154" i="5" s="1"/>
  <c r="S153" i="4"/>
  <c r="F154" i="4"/>
  <c r="M154" i="4" s="1"/>
  <c r="R153" i="4"/>
  <c r="AE154" i="5" l="1"/>
  <c r="X155" i="5"/>
  <c r="Y155" i="5" s="1"/>
  <c r="P154" i="4"/>
  <c r="F155" i="4" l="1"/>
  <c r="M155" i="4" s="1"/>
  <c r="R154" i="4"/>
  <c r="AA155" i="5"/>
  <c r="AC155" i="5" s="1"/>
  <c r="AB155" i="5"/>
  <c r="AD155" i="5" s="1"/>
  <c r="S154" i="4"/>
  <c r="AE155" i="5" l="1"/>
  <c r="X156" i="5"/>
  <c r="Y156" i="5" s="1"/>
  <c r="P155" i="4"/>
  <c r="F156" i="4" l="1"/>
  <c r="M156" i="4" s="1"/>
  <c r="R155" i="4"/>
  <c r="I20" i="3"/>
  <c r="AB156" i="5"/>
  <c r="AD156" i="5" s="1"/>
  <c r="AA156" i="5"/>
  <c r="AC156" i="5" s="1"/>
  <c r="S155" i="4"/>
  <c r="AE156" i="5" l="1"/>
  <c r="X157" i="5"/>
  <c r="Y157" i="5" s="1"/>
  <c r="P156" i="4"/>
  <c r="F157" i="4" l="1"/>
  <c r="M157" i="4" s="1"/>
  <c r="R156" i="4"/>
  <c r="AB157" i="5"/>
  <c r="AD157" i="5" s="1"/>
  <c r="AA157" i="5"/>
  <c r="AC157" i="5" s="1"/>
  <c r="S156" i="4"/>
  <c r="AE157" i="5" l="1"/>
  <c r="X158" i="5"/>
  <c r="Y158" i="5" s="1"/>
  <c r="P157" i="4"/>
  <c r="F158" i="4" l="1"/>
  <c r="M158" i="4" s="1"/>
  <c r="R157" i="4"/>
  <c r="AB158" i="5"/>
  <c r="AD158" i="5" s="1"/>
  <c r="AA158" i="5"/>
  <c r="AC158" i="5" s="1"/>
  <c r="S157" i="4"/>
  <c r="AE158" i="5" l="1"/>
  <c r="X159" i="5"/>
  <c r="Y159" i="5" s="1"/>
  <c r="P158" i="4"/>
  <c r="F159" i="4" l="1"/>
  <c r="M159" i="4" s="1"/>
  <c r="R158" i="4"/>
  <c r="AA159" i="5"/>
  <c r="AC159" i="5" s="1"/>
  <c r="AB159" i="5"/>
  <c r="AD159" i="5" s="1"/>
  <c r="S158" i="4"/>
  <c r="AE159" i="5" l="1"/>
  <c r="X160" i="5"/>
  <c r="Y160" i="5" s="1"/>
  <c r="P159" i="4"/>
  <c r="R159" i="4" l="1"/>
  <c r="F160" i="4"/>
  <c r="M160" i="4" s="1"/>
  <c r="AA160" i="5"/>
  <c r="AC160" i="5" s="1"/>
  <c r="AB160" i="5"/>
  <c r="AD160" i="5" s="1"/>
  <c r="S159" i="4"/>
  <c r="AE160" i="5" l="1"/>
  <c r="X161" i="5"/>
  <c r="Y161" i="5" s="1"/>
  <c r="P160" i="4"/>
  <c r="R160" i="4" l="1"/>
  <c r="F161" i="4"/>
  <c r="M161" i="4" s="1"/>
  <c r="AB161" i="5"/>
  <c r="AD161" i="5" s="1"/>
  <c r="AA161" i="5"/>
  <c r="AC161" i="5" s="1"/>
  <c r="S160" i="4"/>
  <c r="AE161" i="5" l="1"/>
  <c r="X162" i="5"/>
  <c r="Y162" i="5" s="1"/>
  <c r="P161" i="4"/>
  <c r="F162" i="4" l="1"/>
  <c r="M162" i="4" s="1"/>
  <c r="R161" i="4"/>
  <c r="AB162" i="5"/>
  <c r="AD162" i="5" s="1"/>
  <c r="AA162" i="5"/>
  <c r="AC162" i="5" s="1"/>
  <c r="S161" i="4"/>
  <c r="AE162" i="5" l="1"/>
  <c r="X163" i="5"/>
  <c r="Y163" i="5" s="1"/>
  <c r="P162" i="4"/>
  <c r="F163" i="4" l="1"/>
  <c r="M163" i="4" s="1"/>
  <c r="R162" i="4"/>
  <c r="AA163" i="5"/>
  <c r="AC163" i="5" s="1"/>
  <c r="AB163" i="5"/>
  <c r="AD163" i="5" s="1"/>
  <c r="S162" i="4"/>
  <c r="AE163" i="5" l="1"/>
  <c r="X164" i="5"/>
  <c r="Y164" i="5" s="1"/>
  <c r="P163" i="4"/>
  <c r="F164" i="4" l="1"/>
  <c r="M164" i="4" s="1"/>
  <c r="R163" i="4"/>
  <c r="AA164" i="5"/>
  <c r="AC164" i="5" s="1"/>
  <c r="AB164" i="5"/>
  <c r="AD164" i="5" s="1"/>
  <c r="S163" i="4"/>
  <c r="AE164" i="5" l="1"/>
  <c r="X165" i="5"/>
  <c r="Y165" i="5" s="1"/>
  <c r="P164" i="4"/>
  <c r="F165" i="4" l="1"/>
  <c r="M165" i="4" s="1"/>
  <c r="R164" i="4"/>
  <c r="AB165" i="5"/>
  <c r="AD165" i="5" s="1"/>
  <c r="AA165" i="5"/>
  <c r="AC165" i="5" s="1"/>
  <c r="S164" i="4"/>
  <c r="AE165" i="5" l="1"/>
  <c r="X166" i="5"/>
  <c r="Y166" i="5" s="1"/>
  <c r="P165" i="4"/>
  <c r="F166" i="4" l="1"/>
  <c r="M166" i="4" s="1"/>
  <c r="R165" i="4"/>
  <c r="AB166" i="5"/>
  <c r="AD166" i="5" s="1"/>
  <c r="AA166" i="5"/>
  <c r="AC166" i="5" s="1"/>
  <c r="S165" i="4"/>
  <c r="AE166" i="5" l="1"/>
  <c r="X167" i="5"/>
  <c r="Y167" i="5" s="1"/>
  <c r="P166" i="4"/>
  <c r="F167" i="4" l="1"/>
  <c r="M167" i="4" s="1"/>
  <c r="R166" i="4"/>
  <c r="AA167" i="5"/>
  <c r="AC167" i="5" s="1"/>
  <c r="AB167" i="5"/>
  <c r="AD167" i="5" s="1"/>
  <c r="S166" i="4"/>
  <c r="AE167" i="5" l="1"/>
  <c r="X168" i="5"/>
  <c r="Y168" i="5" s="1"/>
  <c r="P167" i="4"/>
  <c r="R167" i="4" l="1"/>
  <c r="F168" i="4"/>
  <c r="M168" i="4" s="1"/>
  <c r="AA168" i="5"/>
  <c r="AC168" i="5" s="1"/>
  <c r="AB168" i="5"/>
  <c r="AD168" i="5" s="1"/>
  <c r="S167" i="4"/>
  <c r="AE168" i="5" l="1"/>
  <c r="X169" i="5"/>
  <c r="Y169" i="5" s="1"/>
  <c r="P168" i="4"/>
  <c r="R168" i="4" l="1"/>
  <c r="F169" i="4"/>
  <c r="M169" i="4" s="1"/>
  <c r="AB169" i="5"/>
  <c r="AD169" i="5" s="1"/>
  <c r="AA169" i="5"/>
  <c r="AC169" i="5" s="1"/>
  <c r="S168" i="4"/>
  <c r="AE169" i="5" l="1"/>
  <c r="X170" i="5"/>
  <c r="Y170" i="5" s="1"/>
  <c r="P169" i="4"/>
  <c r="F170" i="4" l="1"/>
  <c r="M170" i="4" s="1"/>
  <c r="R169" i="4"/>
  <c r="AB170" i="5"/>
  <c r="AD170" i="5" s="1"/>
  <c r="AA170" i="5"/>
  <c r="AC170" i="5" s="1"/>
  <c r="S169" i="4"/>
  <c r="AE170" i="5" l="1"/>
  <c r="X171" i="5"/>
  <c r="Y171" i="5" s="1"/>
  <c r="P170" i="4"/>
  <c r="F171" i="4" l="1"/>
  <c r="M171" i="4" s="1"/>
  <c r="R170" i="4"/>
  <c r="AB171" i="5"/>
  <c r="AD171" i="5" s="1"/>
  <c r="AA171" i="5"/>
  <c r="AC171" i="5" s="1"/>
  <c r="S170" i="4"/>
  <c r="AE171" i="5" l="1"/>
  <c r="X172" i="5"/>
  <c r="Y172" i="5" s="1"/>
  <c r="P171" i="4"/>
  <c r="F172" i="4" l="1"/>
  <c r="M172" i="4" s="1"/>
  <c r="R171" i="4"/>
  <c r="AB172" i="5"/>
  <c r="AD172" i="5" s="1"/>
  <c r="AA172" i="5"/>
  <c r="AC172" i="5" s="1"/>
  <c r="S171" i="4"/>
  <c r="AE172" i="5" l="1"/>
  <c r="X173" i="5"/>
  <c r="Y173" i="5" s="1"/>
  <c r="P172" i="4"/>
  <c r="F173" i="4" l="1"/>
  <c r="M173" i="4" s="1"/>
  <c r="R172" i="4"/>
  <c r="AB173" i="5"/>
  <c r="AD173" i="5" s="1"/>
  <c r="AA173" i="5"/>
  <c r="AC173" i="5" s="1"/>
  <c r="S172" i="4"/>
  <c r="AE173" i="5" l="1"/>
  <c r="X174" i="5"/>
  <c r="Y174" i="5" s="1"/>
  <c r="P173" i="4"/>
  <c r="F174" i="4" l="1"/>
  <c r="M174" i="4" s="1"/>
  <c r="R173" i="4"/>
  <c r="AA174" i="5"/>
  <c r="AC174" i="5" s="1"/>
  <c r="AB174" i="5"/>
  <c r="AD174" i="5" s="1"/>
  <c r="S173" i="4"/>
  <c r="AE174" i="5" l="1"/>
  <c r="X175" i="5"/>
  <c r="Y175" i="5" s="1"/>
  <c r="P174" i="4"/>
  <c r="F175" i="4" l="1"/>
  <c r="M175" i="4" s="1"/>
  <c r="R174" i="4"/>
  <c r="AB175" i="5"/>
  <c r="AD175" i="5" s="1"/>
  <c r="AA175" i="5"/>
  <c r="AC175" i="5" s="1"/>
  <c r="S174" i="4"/>
  <c r="AE175" i="5" l="1"/>
  <c r="X176" i="5"/>
  <c r="Y176" i="5" s="1"/>
  <c r="P175" i="4"/>
  <c r="R175" i="4" l="1"/>
  <c r="F176" i="4"/>
  <c r="M176" i="4" s="1"/>
  <c r="AB176" i="5"/>
  <c r="AD176" i="5" s="1"/>
  <c r="AA176" i="5"/>
  <c r="AC176" i="5" s="1"/>
  <c r="S175" i="4"/>
  <c r="AE176" i="5" l="1"/>
  <c r="X177" i="5"/>
  <c r="Y177" i="5" s="1"/>
  <c r="P176" i="4"/>
  <c r="R176" i="4" l="1"/>
  <c r="F177" i="4"/>
  <c r="M177" i="4" s="1"/>
  <c r="I21" i="3"/>
  <c r="AB177" i="5"/>
  <c r="AD177" i="5" s="1"/>
  <c r="AA177" i="5"/>
  <c r="AC177" i="5" s="1"/>
  <c r="S176" i="4"/>
  <c r="AE177" i="5" l="1"/>
  <c r="X178" i="5"/>
  <c r="Y178" i="5" s="1"/>
  <c r="P177" i="4"/>
  <c r="F178" i="4" l="1"/>
  <c r="M178" i="4" s="1"/>
  <c r="R177" i="4"/>
  <c r="AA178" i="5"/>
  <c r="AC178" i="5" s="1"/>
  <c r="AB178" i="5"/>
  <c r="AD178" i="5" s="1"/>
  <c r="S177" i="4"/>
  <c r="AE178" i="5" l="1"/>
  <c r="X179" i="5"/>
  <c r="Y179" i="5" s="1"/>
  <c r="P178" i="4"/>
  <c r="F179" i="4" l="1"/>
  <c r="M179" i="4" s="1"/>
  <c r="R178" i="4"/>
  <c r="AB179" i="5"/>
  <c r="AD179" i="5" s="1"/>
  <c r="AA179" i="5"/>
  <c r="AC179" i="5" s="1"/>
  <c r="S178" i="4"/>
  <c r="AE179" i="5" l="1"/>
  <c r="X180" i="5"/>
  <c r="Y180" i="5" s="1"/>
  <c r="P179" i="4"/>
  <c r="F180" i="4" l="1"/>
  <c r="M180" i="4" s="1"/>
  <c r="R179" i="4"/>
  <c r="AB180" i="5"/>
  <c r="AD180" i="5" s="1"/>
  <c r="AA180" i="5"/>
  <c r="AC180" i="5" s="1"/>
  <c r="S179" i="4"/>
  <c r="X181" i="5" l="1"/>
  <c r="Y181" i="5" s="1"/>
  <c r="P180" i="4"/>
  <c r="AE180" i="5"/>
  <c r="F181" i="4" l="1"/>
  <c r="M181" i="4" s="1"/>
  <c r="R180" i="4"/>
  <c r="AB181" i="5"/>
  <c r="AD181" i="5" s="1"/>
  <c r="AA181" i="5"/>
  <c r="AC181" i="5" s="1"/>
  <c r="S180" i="4"/>
  <c r="AE181" i="5" l="1"/>
  <c r="X182" i="5"/>
  <c r="Y182" i="5" s="1"/>
  <c r="P181" i="4"/>
  <c r="F182" i="4" l="1"/>
  <c r="M182" i="4" s="1"/>
  <c r="R181" i="4"/>
  <c r="AA182" i="5"/>
  <c r="AC182" i="5" s="1"/>
  <c r="AB182" i="5"/>
  <c r="AD182" i="5" s="1"/>
  <c r="S181" i="4"/>
  <c r="AE182" i="5" l="1"/>
  <c r="X183" i="5"/>
  <c r="Y183" i="5" s="1"/>
  <c r="P182" i="4"/>
  <c r="R182" i="4" l="1"/>
  <c r="F183" i="4"/>
  <c r="M183" i="4" s="1"/>
  <c r="AB183" i="5"/>
  <c r="AD183" i="5" s="1"/>
  <c r="AA183" i="5"/>
  <c r="AC183" i="5" s="1"/>
  <c r="S182" i="4"/>
  <c r="AE183" i="5" l="1"/>
  <c r="X184" i="5"/>
  <c r="Y184" i="5" s="1"/>
  <c r="P183" i="4"/>
  <c r="R183" i="4" l="1"/>
  <c r="F184" i="4"/>
  <c r="M184" i="4" s="1"/>
  <c r="AB184" i="5"/>
  <c r="AD184" i="5" s="1"/>
  <c r="AA184" i="5"/>
  <c r="AC184" i="5" s="1"/>
  <c r="AE184" i="5" s="1"/>
  <c r="S183" i="4"/>
  <c r="X185" i="5" l="1"/>
  <c r="Y185" i="5" s="1"/>
  <c r="P184" i="4"/>
  <c r="R184" i="4" l="1"/>
  <c r="F185" i="4"/>
  <c r="M185" i="4" s="1"/>
  <c r="AB185" i="5"/>
  <c r="AD185" i="5" s="1"/>
  <c r="AA185" i="5"/>
  <c r="AC185" i="5" s="1"/>
  <c r="AE185" i="5" s="1"/>
  <c r="S184" i="4"/>
  <c r="X186" i="5" l="1"/>
  <c r="Y186" i="5" s="1"/>
  <c r="P185" i="4"/>
  <c r="F186" i="4" l="1"/>
  <c r="M186" i="4" s="1"/>
  <c r="R185" i="4"/>
  <c r="AA186" i="5"/>
  <c r="AC186" i="5" s="1"/>
  <c r="S185" i="4"/>
  <c r="AB186" i="5"/>
  <c r="AD186" i="5" s="1"/>
  <c r="AE186" i="5" l="1"/>
  <c r="X187" i="5"/>
  <c r="Y187" i="5" s="1"/>
  <c r="P186" i="4"/>
  <c r="F187" i="4" l="1"/>
  <c r="M187" i="4" s="1"/>
  <c r="R186" i="4"/>
  <c r="AB187" i="5"/>
  <c r="AD187" i="5" s="1"/>
  <c r="AA187" i="5"/>
  <c r="AC187" i="5" s="1"/>
  <c r="S186" i="4"/>
  <c r="AE187" i="5" l="1"/>
  <c r="X188" i="5"/>
  <c r="Y188" i="5" s="1"/>
  <c r="P187" i="4"/>
  <c r="F188" i="4" l="1"/>
  <c r="M188" i="4" s="1"/>
  <c r="R187" i="4"/>
  <c r="AB188" i="5"/>
  <c r="AD188" i="5" s="1"/>
  <c r="AA188" i="5"/>
  <c r="AC188" i="5" s="1"/>
  <c r="S187" i="4"/>
  <c r="AE188" i="5" l="1"/>
  <c r="X189" i="5"/>
  <c r="Y189" i="5" s="1"/>
  <c r="P188" i="4"/>
  <c r="F189" i="4" l="1"/>
  <c r="M189" i="4" s="1"/>
  <c r="R188" i="4"/>
  <c r="AB189" i="5"/>
  <c r="AD189" i="5" s="1"/>
  <c r="AA189" i="5"/>
  <c r="AC189" i="5" s="1"/>
  <c r="S188" i="4"/>
  <c r="AE189" i="5" l="1"/>
  <c r="X190" i="5"/>
  <c r="Y190" i="5" s="1"/>
  <c r="P189" i="4"/>
  <c r="F190" i="4" l="1"/>
  <c r="M190" i="4" s="1"/>
  <c r="R189" i="4"/>
  <c r="AA190" i="5"/>
  <c r="AC190" i="5" s="1"/>
  <c r="AB190" i="5"/>
  <c r="AD190" i="5" s="1"/>
  <c r="S189" i="4"/>
  <c r="AE190" i="5" l="1"/>
  <c r="X191" i="5"/>
  <c r="Y191" i="5" s="1"/>
  <c r="P190" i="4"/>
  <c r="F191" i="4" l="1"/>
  <c r="M191" i="4" s="1"/>
  <c r="R190" i="4"/>
  <c r="AB191" i="5"/>
  <c r="AD191" i="5" s="1"/>
  <c r="AA191" i="5"/>
  <c r="AC191" i="5" s="1"/>
  <c r="S190" i="4"/>
  <c r="AE191" i="5" l="1"/>
  <c r="X192" i="5"/>
  <c r="Y192" i="5" s="1"/>
  <c r="P191" i="4"/>
  <c r="R191" i="4" l="1"/>
  <c r="F192" i="4"/>
  <c r="M192" i="4" s="1"/>
  <c r="AB192" i="5"/>
  <c r="AD192" i="5" s="1"/>
  <c r="AA192" i="5"/>
  <c r="AC192" i="5" s="1"/>
  <c r="S191" i="4"/>
  <c r="AE192" i="5" l="1"/>
  <c r="X193" i="5"/>
  <c r="Y193" i="5" s="1"/>
  <c r="P192" i="4"/>
  <c r="R192" i="4" l="1"/>
  <c r="F193" i="4"/>
  <c r="M193" i="4" s="1"/>
  <c r="AB193" i="5"/>
  <c r="AD193" i="5" s="1"/>
  <c r="AA193" i="5"/>
  <c r="AC193" i="5" s="1"/>
  <c r="AE193" i="5" s="1"/>
  <c r="S192" i="4"/>
  <c r="X194" i="5" l="1"/>
  <c r="Y194" i="5" s="1"/>
  <c r="P193" i="4"/>
  <c r="F194" i="4" l="1"/>
  <c r="M194" i="4" s="1"/>
  <c r="R193" i="4"/>
  <c r="AA194" i="5"/>
  <c r="AC194" i="5" s="1"/>
  <c r="AB194" i="5"/>
  <c r="AD194" i="5" s="1"/>
  <c r="S193" i="4"/>
  <c r="AE194" i="5" l="1"/>
  <c r="X195" i="5"/>
  <c r="Y195" i="5" s="1"/>
  <c r="P194" i="4"/>
  <c r="F195" i="4" l="1"/>
  <c r="M195" i="4" s="1"/>
  <c r="R194" i="4"/>
  <c r="AB195" i="5"/>
  <c r="AD195" i="5" s="1"/>
  <c r="AA195" i="5"/>
  <c r="AC195" i="5" s="1"/>
  <c r="S194" i="4"/>
  <c r="AE195" i="5" l="1"/>
  <c r="X196" i="5"/>
  <c r="Y196" i="5" s="1"/>
  <c r="P195" i="4"/>
  <c r="F196" i="4" l="1"/>
  <c r="M196" i="4" s="1"/>
  <c r="R195" i="4"/>
  <c r="AB196" i="5"/>
  <c r="AD196" i="5" s="1"/>
  <c r="AA196" i="5"/>
  <c r="AC196" i="5" s="1"/>
  <c r="S195" i="4"/>
  <c r="AE196" i="5" l="1"/>
  <c r="X197" i="5"/>
  <c r="Y197" i="5" s="1"/>
  <c r="P196" i="4"/>
  <c r="F197" i="4" l="1"/>
  <c r="M197" i="4" s="1"/>
  <c r="R196" i="4"/>
  <c r="AB197" i="5"/>
  <c r="AD197" i="5" s="1"/>
  <c r="AA197" i="5"/>
  <c r="AC197" i="5" s="1"/>
  <c r="S196" i="4"/>
  <c r="AE197" i="5" l="1"/>
  <c r="X198" i="5"/>
  <c r="Y198" i="5" s="1"/>
  <c r="P197" i="4"/>
  <c r="F198" i="4" l="1"/>
  <c r="M198" i="4" s="1"/>
  <c r="R197" i="4"/>
  <c r="AA198" i="5"/>
  <c r="AC198" i="5" s="1"/>
  <c r="AB198" i="5"/>
  <c r="AD198" i="5" s="1"/>
  <c r="S197" i="4"/>
  <c r="AE198" i="5" l="1"/>
  <c r="X199" i="5"/>
  <c r="Y199" i="5" s="1"/>
  <c r="P198" i="4"/>
  <c r="F199" i="4" l="1"/>
  <c r="M199" i="4" s="1"/>
  <c r="R198" i="4"/>
  <c r="I22" i="3"/>
  <c r="AB199" i="5"/>
  <c r="AD199" i="5" s="1"/>
  <c r="AA199" i="5"/>
  <c r="AC199" i="5" s="1"/>
  <c r="S198" i="4"/>
  <c r="AE199" i="5" l="1"/>
  <c r="X200" i="5"/>
  <c r="Y200" i="5" s="1"/>
  <c r="P199" i="4"/>
  <c r="R199" i="4" l="1"/>
  <c r="F200" i="4"/>
  <c r="M200" i="4" s="1"/>
  <c r="AB200" i="5"/>
  <c r="AD200" i="5" s="1"/>
  <c r="AA200" i="5"/>
  <c r="AC200" i="5" s="1"/>
  <c r="S199" i="4"/>
  <c r="AE200" i="5" l="1"/>
  <c r="X201" i="5"/>
  <c r="Y201" i="5" s="1"/>
  <c r="P200" i="4"/>
  <c r="R200" i="4" l="1"/>
  <c r="F201" i="4"/>
  <c r="M201" i="4" s="1"/>
  <c r="AB201" i="5"/>
  <c r="AD201" i="5" s="1"/>
  <c r="AA201" i="5"/>
  <c r="AC201" i="5" s="1"/>
  <c r="S200" i="4"/>
  <c r="AE201" i="5" l="1"/>
  <c r="X202" i="5"/>
  <c r="Y202" i="5" s="1"/>
  <c r="P201" i="4"/>
  <c r="F202" i="4" l="1"/>
  <c r="M202" i="4" s="1"/>
  <c r="R201" i="4"/>
  <c r="AA202" i="5"/>
  <c r="AC202" i="5" s="1"/>
  <c r="AB202" i="5"/>
  <c r="AD202" i="5" s="1"/>
  <c r="S201" i="4"/>
  <c r="AE202" i="5" l="1"/>
  <c r="X203" i="5"/>
  <c r="Y203" i="5" s="1"/>
  <c r="P202" i="4"/>
  <c r="F203" i="4" l="1"/>
  <c r="M203" i="4" s="1"/>
  <c r="R202" i="4"/>
  <c r="AB203" i="5"/>
  <c r="AD203" i="5" s="1"/>
  <c r="AA203" i="5"/>
  <c r="AC203" i="5" s="1"/>
  <c r="S202" i="4"/>
  <c r="AE203" i="5" l="1"/>
  <c r="X204" i="5"/>
  <c r="Y204" i="5" s="1"/>
  <c r="P203" i="4"/>
  <c r="F204" i="4" l="1"/>
  <c r="M204" i="4" s="1"/>
  <c r="R203" i="4"/>
  <c r="AB204" i="5"/>
  <c r="AD204" i="5" s="1"/>
  <c r="AA204" i="5"/>
  <c r="AC204" i="5" s="1"/>
  <c r="S203" i="4"/>
  <c r="AE204" i="5" l="1"/>
  <c r="X205" i="5"/>
  <c r="Y205" i="5" s="1"/>
  <c r="P204" i="4"/>
  <c r="F205" i="4" l="1"/>
  <c r="M205" i="4" s="1"/>
  <c r="R204" i="4"/>
  <c r="AB205" i="5"/>
  <c r="AD205" i="5" s="1"/>
  <c r="AA205" i="5"/>
  <c r="AC205" i="5" s="1"/>
  <c r="S204" i="4"/>
  <c r="AE205" i="5" l="1"/>
  <c r="X206" i="5"/>
  <c r="Y206" i="5" s="1"/>
  <c r="P205" i="4"/>
  <c r="F206" i="4" l="1"/>
  <c r="M206" i="4" s="1"/>
  <c r="R205" i="4"/>
  <c r="AA206" i="5"/>
  <c r="AC206" i="5" s="1"/>
  <c r="AB206" i="5"/>
  <c r="AD206" i="5" s="1"/>
  <c r="S205" i="4"/>
  <c r="AE206" i="5" l="1"/>
  <c r="X207" i="5"/>
  <c r="Y207" i="5" s="1"/>
  <c r="P206" i="4"/>
  <c r="F207" i="4" l="1"/>
  <c r="M207" i="4" s="1"/>
  <c r="R206" i="4"/>
  <c r="AB207" i="5"/>
  <c r="AD207" i="5" s="1"/>
  <c r="AA207" i="5"/>
  <c r="AC207" i="5" s="1"/>
  <c r="S206" i="4"/>
  <c r="AE207" i="5" l="1"/>
  <c r="X208" i="5"/>
  <c r="Y208" i="5" s="1"/>
  <c r="P207" i="4"/>
  <c r="R207" i="4" l="1"/>
  <c r="F208" i="4"/>
  <c r="M208" i="4" s="1"/>
  <c r="AB208" i="5"/>
  <c r="AD208" i="5" s="1"/>
  <c r="AA208" i="5"/>
  <c r="AC208" i="5" s="1"/>
  <c r="S207" i="4"/>
  <c r="AE208" i="5" l="1"/>
  <c r="X209" i="5"/>
  <c r="Y209" i="5" s="1"/>
  <c r="P208" i="4"/>
  <c r="R208" i="4" l="1"/>
  <c r="F209" i="4"/>
  <c r="M209" i="4" s="1"/>
  <c r="AB209" i="5"/>
  <c r="AD209" i="5" s="1"/>
  <c r="AA209" i="5"/>
  <c r="AC209" i="5" s="1"/>
  <c r="S208" i="4"/>
  <c r="AE209" i="5" l="1"/>
  <c r="X210" i="5"/>
  <c r="Y210" i="5" s="1"/>
  <c r="P209" i="4"/>
  <c r="AA210" i="5" l="1"/>
  <c r="AC210" i="5" s="1"/>
  <c r="AB210" i="5"/>
  <c r="AD210" i="5" s="1"/>
  <c r="S209" i="4"/>
  <c r="F210" i="4"/>
  <c r="M210" i="4" s="1"/>
  <c r="R209" i="4"/>
  <c r="X211" i="5" l="1"/>
  <c r="Y211" i="5" s="1"/>
  <c r="P210" i="4"/>
  <c r="AE210" i="5"/>
  <c r="F211" i="4" l="1"/>
  <c r="M211" i="4" s="1"/>
  <c r="R210" i="4"/>
  <c r="AB211" i="5"/>
  <c r="AD211" i="5" s="1"/>
  <c r="AA211" i="5"/>
  <c r="AC211" i="5" s="1"/>
  <c r="S210" i="4"/>
  <c r="AE211" i="5" l="1"/>
  <c r="X212" i="5"/>
  <c r="Y212" i="5" s="1"/>
  <c r="P211" i="4"/>
  <c r="F212" i="4" l="1"/>
  <c r="M212" i="4" s="1"/>
  <c r="R211" i="4"/>
  <c r="AB212" i="5"/>
  <c r="AD212" i="5" s="1"/>
  <c r="AA212" i="5"/>
  <c r="AC212" i="5" s="1"/>
  <c r="S211" i="4"/>
  <c r="AE212" i="5" l="1"/>
  <c r="X213" i="5"/>
  <c r="Y213" i="5" s="1"/>
  <c r="P212" i="4"/>
  <c r="F213" i="4" l="1"/>
  <c r="M213" i="4" s="1"/>
  <c r="R212" i="4"/>
  <c r="AB213" i="5"/>
  <c r="AD213" i="5" s="1"/>
  <c r="AA213" i="5"/>
  <c r="AC213" i="5" s="1"/>
  <c r="S212" i="4"/>
  <c r="AE213" i="5" l="1"/>
  <c r="X214" i="5"/>
  <c r="Y214" i="5" s="1"/>
  <c r="P213" i="4"/>
  <c r="F214" i="4" l="1"/>
  <c r="M214" i="4" s="1"/>
  <c r="R213" i="4"/>
  <c r="AB214" i="5"/>
  <c r="AD214" i="5" s="1"/>
  <c r="AA214" i="5"/>
  <c r="AC214" i="5" s="1"/>
  <c r="S213" i="4"/>
  <c r="AE214" i="5" l="1"/>
  <c r="X215" i="5"/>
  <c r="Y215" i="5" s="1"/>
  <c r="P214" i="4"/>
  <c r="R214" i="4" l="1"/>
  <c r="F215" i="4"/>
  <c r="M215" i="4" s="1"/>
  <c r="AB215" i="5"/>
  <c r="AD215" i="5" s="1"/>
  <c r="AA215" i="5"/>
  <c r="AC215" i="5" s="1"/>
  <c r="S214" i="4"/>
  <c r="AE215" i="5" l="1"/>
  <c r="X216" i="5"/>
  <c r="Y216" i="5" s="1"/>
  <c r="P215" i="4"/>
  <c r="R215" i="4" l="1"/>
  <c r="F216" i="4"/>
  <c r="M216" i="4" s="1"/>
  <c r="AA216" i="5"/>
  <c r="AC216" i="5" s="1"/>
  <c r="AB216" i="5"/>
  <c r="AD216" i="5" s="1"/>
  <c r="S215" i="4"/>
  <c r="X217" i="5" l="1"/>
  <c r="Y217" i="5" s="1"/>
  <c r="P216" i="4"/>
  <c r="AE216" i="5"/>
  <c r="R216" i="4" l="1"/>
  <c r="F217" i="4"/>
  <c r="M217" i="4" s="1"/>
  <c r="AB217" i="5"/>
  <c r="AD217" i="5" s="1"/>
  <c r="AA217" i="5"/>
  <c r="AC217" i="5" s="1"/>
  <c r="AE217" i="5" s="1"/>
  <c r="S216" i="4"/>
  <c r="X218" i="5" l="1"/>
  <c r="Y218" i="5" s="1"/>
  <c r="P217" i="4"/>
  <c r="F218" i="4" l="1"/>
  <c r="M218" i="4" s="1"/>
  <c r="R217" i="4"/>
  <c r="AA218" i="5"/>
  <c r="AC218" i="5" s="1"/>
  <c r="AB218" i="5"/>
  <c r="AD218" i="5" s="1"/>
  <c r="S217" i="4"/>
  <c r="AE218" i="5" l="1"/>
  <c r="X219" i="5"/>
  <c r="Y219" i="5" s="1"/>
  <c r="P218" i="4"/>
  <c r="F219" i="4" l="1"/>
  <c r="M219" i="4" s="1"/>
  <c r="R218" i="4"/>
  <c r="AA219" i="5"/>
  <c r="AC219" i="5" s="1"/>
  <c r="AB219" i="5"/>
  <c r="AD219" i="5" s="1"/>
  <c r="S218" i="4"/>
  <c r="AE219" i="5" l="1"/>
  <c r="X220" i="5"/>
  <c r="Y220" i="5" s="1"/>
  <c r="P219" i="4"/>
  <c r="F220" i="4" l="1"/>
  <c r="M220" i="4" s="1"/>
  <c r="R219" i="4"/>
  <c r="AB220" i="5"/>
  <c r="AD220" i="5" s="1"/>
  <c r="AA220" i="5"/>
  <c r="AC220" i="5" s="1"/>
  <c r="S219" i="4"/>
  <c r="AE220" i="5" l="1"/>
  <c r="X221" i="5"/>
  <c r="Y221" i="5" s="1"/>
  <c r="P220" i="4"/>
  <c r="F221" i="4" l="1"/>
  <c r="M221" i="4" s="1"/>
  <c r="R220" i="4"/>
  <c r="I23" i="3"/>
  <c r="AB221" i="5"/>
  <c r="AD221" i="5" s="1"/>
  <c r="AA221" i="5"/>
  <c r="AC221" i="5" s="1"/>
  <c r="S220" i="4"/>
  <c r="AE221" i="5" l="1"/>
  <c r="X222" i="5"/>
  <c r="Y222" i="5" s="1"/>
  <c r="P221" i="4"/>
  <c r="F222" i="4" l="1"/>
  <c r="M222" i="4" s="1"/>
  <c r="R221" i="4"/>
  <c r="AA222" i="5"/>
  <c r="AC222" i="5" s="1"/>
  <c r="AB222" i="5"/>
  <c r="AD222" i="5" s="1"/>
  <c r="S221" i="4"/>
  <c r="AE222" i="5" l="1"/>
  <c r="X223" i="5"/>
  <c r="Y223" i="5" s="1"/>
  <c r="P222" i="4"/>
  <c r="F223" i="4" l="1"/>
  <c r="M223" i="4" s="1"/>
  <c r="R222" i="4"/>
  <c r="AB223" i="5"/>
  <c r="AD223" i="5" s="1"/>
  <c r="AA223" i="5"/>
  <c r="AC223" i="5" s="1"/>
  <c r="S222" i="4"/>
  <c r="AE223" i="5" l="1"/>
  <c r="X224" i="5"/>
  <c r="Y224" i="5" s="1"/>
  <c r="P223" i="4"/>
  <c r="R223" i="4" l="1"/>
  <c r="F224" i="4"/>
  <c r="M224" i="4" s="1"/>
  <c r="AB224" i="5"/>
  <c r="AD224" i="5" s="1"/>
  <c r="AA224" i="5"/>
  <c r="AC224" i="5" s="1"/>
  <c r="S223" i="4"/>
  <c r="AE224" i="5" l="1"/>
  <c r="X225" i="5"/>
  <c r="Y225" i="5" s="1"/>
  <c r="P224" i="4"/>
  <c r="R224" i="4" l="1"/>
  <c r="F225" i="4"/>
  <c r="M225" i="4" s="1"/>
  <c r="AB225" i="5"/>
  <c r="AD225" i="5" s="1"/>
  <c r="AA225" i="5"/>
  <c r="AC225" i="5" s="1"/>
  <c r="S224" i="4"/>
  <c r="AE225" i="5" l="1"/>
  <c r="X226" i="5"/>
  <c r="Y226" i="5" s="1"/>
  <c r="P225" i="4"/>
  <c r="F226" i="4" l="1"/>
  <c r="M226" i="4" s="1"/>
  <c r="R225" i="4"/>
  <c r="AA226" i="5"/>
  <c r="AC226" i="5" s="1"/>
  <c r="AB226" i="5"/>
  <c r="AD226" i="5" s="1"/>
  <c r="S225" i="4"/>
  <c r="AE226" i="5" l="1"/>
  <c r="X227" i="5"/>
  <c r="Y227" i="5" s="1"/>
  <c r="P226" i="4"/>
  <c r="F227" i="4" l="1"/>
  <c r="M227" i="4" s="1"/>
  <c r="R226" i="4"/>
  <c r="AB227" i="5"/>
  <c r="AD227" i="5" s="1"/>
  <c r="AA227" i="5"/>
  <c r="AC227" i="5" s="1"/>
  <c r="S226" i="4"/>
  <c r="AE227" i="5" l="1"/>
  <c r="X228" i="5"/>
  <c r="Y228" i="5" s="1"/>
  <c r="P227" i="4"/>
  <c r="F228" i="4" l="1"/>
  <c r="M228" i="4" s="1"/>
  <c r="R227" i="4"/>
  <c r="AB228" i="5"/>
  <c r="AD228" i="5" s="1"/>
  <c r="AA228" i="5"/>
  <c r="AC228" i="5" s="1"/>
  <c r="S227" i="4"/>
  <c r="AE228" i="5" l="1"/>
  <c r="X229" i="5"/>
  <c r="Y229" i="5" s="1"/>
  <c r="P228" i="4"/>
  <c r="F229" i="4" l="1"/>
  <c r="M229" i="4" s="1"/>
  <c r="R228" i="4"/>
  <c r="AB229" i="5"/>
  <c r="AD229" i="5" s="1"/>
  <c r="AA229" i="5"/>
  <c r="AC229" i="5" s="1"/>
  <c r="S228" i="4"/>
  <c r="AE229" i="5" l="1"/>
  <c r="X230" i="5"/>
  <c r="Y230" i="5" s="1"/>
  <c r="P229" i="4"/>
  <c r="F230" i="4" l="1"/>
  <c r="M230" i="4" s="1"/>
  <c r="R229" i="4"/>
  <c r="AA230" i="5"/>
  <c r="AC230" i="5" s="1"/>
  <c r="AB230" i="5"/>
  <c r="AD230" i="5" s="1"/>
  <c r="S229" i="4"/>
  <c r="AE230" i="5" l="1"/>
  <c r="X231" i="5"/>
  <c r="Y231" i="5" s="1"/>
  <c r="P230" i="4"/>
  <c r="R230" i="4" l="1"/>
  <c r="F231" i="4"/>
  <c r="M231" i="4" s="1"/>
  <c r="AB231" i="5"/>
  <c r="AD231" i="5" s="1"/>
  <c r="AA231" i="5"/>
  <c r="AC231" i="5" s="1"/>
  <c r="S230" i="4"/>
  <c r="AE231" i="5" l="1"/>
  <c r="X232" i="5"/>
  <c r="Y232" i="5" s="1"/>
  <c r="P231" i="4"/>
  <c r="F232" i="4" l="1"/>
  <c r="M232" i="4" s="1"/>
  <c r="R231" i="4"/>
  <c r="AB232" i="5"/>
  <c r="AD232" i="5" s="1"/>
  <c r="AA232" i="5"/>
  <c r="AC232" i="5" s="1"/>
  <c r="S231" i="4"/>
  <c r="AE232" i="5" l="1"/>
  <c r="X233" i="5"/>
  <c r="Y233" i="5" s="1"/>
  <c r="P232" i="4"/>
  <c r="F233" i="4" l="1"/>
  <c r="M233" i="4" s="1"/>
  <c r="R232" i="4"/>
  <c r="AB233" i="5"/>
  <c r="AD233" i="5" s="1"/>
  <c r="AA233" i="5"/>
  <c r="AC233" i="5" s="1"/>
  <c r="AE233" i="5" s="1"/>
  <c r="S232" i="4"/>
  <c r="X234" i="5" l="1"/>
  <c r="Y234" i="5" s="1"/>
  <c r="P233" i="4"/>
  <c r="F234" i="4" l="1"/>
  <c r="M234" i="4" s="1"/>
  <c r="R233" i="4"/>
  <c r="AA234" i="5"/>
  <c r="AC234" i="5" s="1"/>
  <c r="AB234" i="5"/>
  <c r="AD234" i="5" s="1"/>
  <c r="S233" i="4"/>
  <c r="AE234" i="5" l="1"/>
  <c r="X235" i="5"/>
  <c r="Y235" i="5" s="1"/>
  <c r="P234" i="4"/>
  <c r="F235" i="4" l="1"/>
  <c r="M235" i="4" s="1"/>
  <c r="R234" i="4"/>
  <c r="AB235" i="5"/>
  <c r="AD235" i="5" s="1"/>
  <c r="AA235" i="5"/>
  <c r="AC235" i="5" s="1"/>
  <c r="AE235" i="5" s="1"/>
  <c r="S234" i="4"/>
  <c r="X236" i="5" l="1"/>
  <c r="Y236" i="5" s="1"/>
  <c r="P235" i="4"/>
  <c r="AB236" i="5" l="1"/>
  <c r="AD236" i="5" s="1"/>
  <c r="AA236" i="5"/>
  <c r="AC236" i="5" s="1"/>
  <c r="S235" i="4"/>
  <c r="R235" i="4"/>
  <c r="F236" i="4"/>
  <c r="M236" i="4" s="1"/>
  <c r="AE236" i="5" l="1"/>
  <c r="X237" i="5"/>
  <c r="Y237" i="5" s="1"/>
  <c r="P236" i="4"/>
  <c r="F237" i="4" l="1"/>
  <c r="M237" i="4" s="1"/>
  <c r="R236" i="4"/>
  <c r="AB237" i="5"/>
  <c r="AD237" i="5" s="1"/>
  <c r="AA237" i="5"/>
  <c r="AC237" i="5" s="1"/>
  <c r="S236" i="4"/>
  <c r="AE237" i="5" l="1"/>
  <c r="X238" i="5"/>
  <c r="Y238" i="5" s="1"/>
  <c r="P237" i="4"/>
  <c r="F238" i="4" l="1"/>
  <c r="M238" i="4" s="1"/>
  <c r="R237" i="4"/>
  <c r="AA238" i="5"/>
  <c r="AC238" i="5" s="1"/>
  <c r="AB238" i="5"/>
  <c r="AD238" i="5" s="1"/>
  <c r="S237" i="4"/>
  <c r="AE238" i="5" l="1"/>
  <c r="X239" i="5"/>
  <c r="Y239" i="5" s="1"/>
  <c r="P238" i="4"/>
  <c r="R238" i="4" l="1"/>
  <c r="F239" i="4"/>
  <c r="M239" i="4" s="1"/>
  <c r="AB239" i="5"/>
  <c r="AD239" i="5" s="1"/>
  <c r="AA239" i="5"/>
  <c r="AC239" i="5" s="1"/>
  <c r="S238" i="4"/>
  <c r="AE239" i="5" l="1"/>
  <c r="X240" i="5"/>
  <c r="Y240" i="5" s="1"/>
  <c r="P239" i="4"/>
  <c r="F240" i="4" l="1"/>
  <c r="M240" i="4" s="1"/>
  <c r="R239" i="4"/>
  <c r="AB240" i="5"/>
  <c r="AD240" i="5" s="1"/>
  <c r="AA240" i="5"/>
  <c r="AC240" i="5" s="1"/>
  <c r="S239" i="4"/>
  <c r="AE240" i="5" l="1"/>
  <c r="X241" i="5"/>
  <c r="Y241" i="5" s="1"/>
  <c r="P240" i="4"/>
  <c r="F241" i="4" l="1"/>
  <c r="M241" i="4" s="1"/>
  <c r="R240" i="4"/>
  <c r="AB241" i="5"/>
  <c r="AD241" i="5" s="1"/>
  <c r="AA241" i="5"/>
  <c r="AC241" i="5" s="1"/>
  <c r="S240" i="4"/>
  <c r="AE241" i="5" l="1"/>
  <c r="X242" i="5"/>
  <c r="Y242" i="5" s="1"/>
  <c r="P241" i="4"/>
  <c r="F242" i="4" l="1"/>
  <c r="M242" i="4" s="1"/>
  <c r="R241" i="4"/>
  <c r="I24" i="3"/>
  <c r="AA242" i="5"/>
  <c r="AC242" i="5" s="1"/>
  <c r="AB242" i="5"/>
  <c r="AD242" i="5" s="1"/>
  <c r="S241" i="4"/>
  <c r="AE242" i="5" l="1"/>
  <c r="X243" i="5"/>
  <c r="Y243" i="5" s="1"/>
  <c r="P242" i="4"/>
  <c r="F243" i="4" l="1"/>
  <c r="M243" i="4" s="1"/>
  <c r="R242" i="4"/>
  <c r="AB243" i="5"/>
  <c r="AD243" i="5" s="1"/>
  <c r="AA243" i="5"/>
  <c r="AC243" i="5" s="1"/>
  <c r="AE243" i="5" s="1"/>
  <c r="S242" i="4"/>
  <c r="X244" i="5" l="1"/>
  <c r="Y244" i="5" s="1"/>
  <c r="P243" i="4"/>
  <c r="F244" i="4" l="1"/>
  <c r="M244" i="4" s="1"/>
  <c r="R243" i="4"/>
  <c r="AB244" i="5"/>
  <c r="AD244" i="5" s="1"/>
  <c r="AA244" i="5"/>
  <c r="AC244" i="5" s="1"/>
  <c r="S243" i="4"/>
  <c r="AE244" i="5" l="1"/>
  <c r="X245" i="5"/>
  <c r="Y245" i="5" s="1"/>
  <c r="P244" i="4"/>
  <c r="R244" i="4" l="1"/>
  <c r="F245" i="4"/>
  <c r="M245" i="4" s="1"/>
  <c r="AB245" i="5"/>
  <c r="AD245" i="5" s="1"/>
  <c r="AA245" i="5"/>
  <c r="AC245" i="5" s="1"/>
  <c r="S244" i="4"/>
  <c r="AE245" i="5" l="1"/>
  <c r="X246" i="5"/>
  <c r="Y246" i="5" s="1"/>
  <c r="P245" i="4"/>
  <c r="F246" i="4" l="1"/>
  <c r="M246" i="4" s="1"/>
  <c r="R245" i="4"/>
  <c r="AA246" i="5"/>
  <c r="AC246" i="5" s="1"/>
  <c r="AB246" i="5"/>
  <c r="AD246" i="5" s="1"/>
  <c r="S245" i="4"/>
  <c r="AE246" i="5" l="1"/>
  <c r="X247" i="5"/>
  <c r="Y247" i="5" s="1"/>
  <c r="P246" i="4"/>
  <c r="R246" i="4" l="1"/>
  <c r="F247" i="4"/>
  <c r="M247" i="4" s="1"/>
  <c r="AB247" i="5"/>
  <c r="AD247" i="5" s="1"/>
  <c r="AA247" i="5"/>
  <c r="AC247" i="5" s="1"/>
  <c r="AE247" i="5" s="1"/>
  <c r="S246" i="4"/>
  <c r="X248" i="5" l="1"/>
  <c r="Y248" i="5" s="1"/>
  <c r="P247" i="4"/>
  <c r="F248" i="4" l="1"/>
  <c r="M248" i="4" s="1"/>
  <c r="R247" i="4"/>
  <c r="AB248" i="5"/>
  <c r="AD248" i="5" s="1"/>
  <c r="AA248" i="5"/>
  <c r="AC248" i="5" s="1"/>
  <c r="S247" i="4"/>
  <c r="AE248" i="5" l="1"/>
  <c r="X249" i="5"/>
  <c r="Y249" i="5" s="1"/>
  <c r="P248" i="4"/>
  <c r="F249" i="4" l="1"/>
  <c r="M249" i="4" s="1"/>
  <c r="R248" i="4"/>
  <c r="AB249" i="5"/>
  <c r="AD249" i="5" s="1"/>
  <c r="AA249" i="5"/>
  <c r="AC249" i="5" s="1"/>
  <c r="S248" i="4"/>
  <c r="AE249" i="5" l="1"/>
  <c r="X250" i="5"/>
  <c r="Y250" i="5" s="1"/>
  <c r="P249" i="4"/>
  <c r="R249" i="4" l="1"/>
  <c r="F250" i="4"/>
  <c r="M250" i="4" s="1"/>
  <c r="AA250" i="5"/>
  <c r="AC250" i="5" s="1"/>
  <c r="AB250" i="5"/>
  <c r="AD250" i="5" s="1"/>
  <c r="S249" i="4"/>
  <c r="AE250" i="5" l="1"/>
  <c r="X251" i="5"/>
  <c r="Y251" i="5" s="1"/>
  <c r="P250" i="4"/>
  <c r="F251" i="4" l="1"/>
  <c r="M251" i="4" s="1"/>
  <c r="R250" i="4"/>
  <c r="AB251" i="5"/>
  <c r="AD251" i="5" s="1"/>
  <c r="AA251" i="5"/>
  <c r="AC251" i="5" s="1"/>
  <c r="S250" i="4"/>
  <c r="AE251" i="5" l="1"/>
  <c r="X252" i="5"/>
  <c r="Y252" i="5" s="1"/>
  <c r="P251" i="4"/>
  <c r="F252" i="4" l="1"/>
  <c r="M252" i="4" s="1"/>
  <c r="R251" i="4"/>
  <c r="AB252" i="5"/>
  <c r="AD252" i="5" s="1"/>
  <c r="AA252" i="5"/>
  <c r="AC252" i="5" s="1"/>
  <c r="S251" i="4"/>
  <c r="X253" i="5" l="1"/>
  <c r="Y253" i="5" s="1"/>
  <c r="P252" i="4"/>
  <c r="AE252" i="5"/>
  <c r="F253" i="4" l="1"/>
  <c r="M253" i="4" s="1"/>
  <c r="R252" i="4"/>
  <c r="AB253" i="5"/>
  <c r="AD253" i="5" s="1"/>
  <c r="AA253" i="5"/>
  <c r="AC253" i="5" s="1"/>
  <c r="S252" i="4"/>
  <c r="AE253" i="5" l="1"/>
  <c r="X254" i="5"/>
  <c r="Y254" i="5" s="1"/>
  <c r="P253" i="4"/>
  <c r="R253" i="4" l="1"/>
  <c r="F254" i="4"/>
  <c r="M254" i="4" s="1"/>
  <c r="AA254" i="5"/>
  <c r="AC254" i="5" s="1"/>
  <c r="AB254" i="5"/>
  <c r="AD254" i="5" s="1"/>
  <c r="S253" i="4"/>
  <c r="AE254" i="5" l="1"/>
  <c r="X255" i="5"/>
  <c r="Y255" i="5" s="1"/>
  <c r="P254" i="4"/>
  <c r="R254" i="4" l="1"/>
  <c r="F255" i="4"/>
  <c r="M255" i="4" s="1"/>
  <c r="AB255" i="5"/>
  <c r="AD255" i="5" s="1"/>
  <c r="AA255" i="5"/>
  <c r="AC255" i="5" s="1"/>
  <c r="S254" i="4"/>
  <c r="AE255" i="5" l="1"/>
  <c r="X256" i="5"/>
  <c r="Y256" i="5" s="1"/>
  <c r="P255" i="4"/>
  <c r="F256" i="4" l="1"/>
  <c r="M256" i="4" s="1"/>
  <c r="R255" i="4"/>
  <c r="AB256" i="5"/>
  <c r="AD256" i="5" s="1"/>
  <c r="AA256" i="5"/>
  <c r="AC256" i="5" s="1"/>
  <c r="S255" i="4"/>
  <c r="AE256" i="5" l="1"/>
  <c r="X257" i="5"/>
  <c r="Y257" i="5" s="1"/>
  <c r="P256" i="4"/>
  <c r="F257" i="4" l="1"/>
  <c r="M257" i="4" s="1"/>
  <c r="R256" i="4"/>
  <c r="AB257" i="5"/>
  <c r="AD257" i="5" s="1"/>
  <c r="AA257" i="5"/>
  <c r="AC257" i="5" s="1"/>
  <c r="AE257" i="5" s="1"/>
  <c r="S256" i="4"/>
  <c r="X258" i="5" l="1"/>
  <c r="Y258" i="5" s="1"/>
  <c r="P257" i="4"/>
  <c r="AA258" i="5" l="1"/>
  <c r="AC258" i="5" s="1"/>
  <c r="AB258" i="5"/>
  <c r="AD258" i="5" s="1"/>
  <c r="S257" i="4"/>
  <c r="R257" i="4"/>
  <c r="F258" i="4"/>
  <c r="M258" i="4" s="1"/>
  <c r="X259" i="5" l="1"/>
  <c r="Y259" i="5" s="1"/>
  <c r="P258" i="4"/>
  <c r="AE258" i="5"/>
  <c r="R258" i="4" l="1"/>
  <c r="F259" i="4"/>
  <c r="M259" i="4" s="1"/>
  <c r="AB259" i="5"/>
  <c r="AD259" i="5" s="1"/>
  <c r="AA259" i="5"/>
  <c r="AC259" i="5" s="1"/>
  <c r="S258" i="4"/>
  <c r="AE259" i="5" l="1"/>
  <c r="X260" i="5"/>
  <c r="Y260" i="5" s="1"/>
  <c r="P259" i="4"/>
  <c r="F260" i="4" l="1"/>
  <c r="M260" i="4" s="1"/>
  <c r="R259" i="4"/>
  <c r="AB260" i="5"/>
  <c r="AD260" i="5" s="1"/>
  <c r="AA260" i="5"/>
  <c r="AC260" i="5" s="1"/>
  <c r="S259" i="4"/>
  <c r="AE260" i="5" l="1"/>
  <c r="X261" i="5"/>
  <c r="Y261" i="5" s="1"/>
  <c r="P260" i="4"/>
  <c r="F261" i="4" l="1"/>
  <c r="M261" i="4" s="1"/>
  <c r="R260" i="4"/>
  <c r="AB261" i="5"/>
  <c r="AD261" i="5" s="1"/>
  <c r="AA261" i="5"/>
  <c r="AC261" i="5" s="1"/>
  <c r="S260" i="4"/>
  <c r="AE261" i="5" l="1"/>
  <c r="X262" i="5"/>
  <c r="Y262" i="5" s="1"/>
  <c r="P261" i="4"/>
  <c r="F262" i="4" l="1"/>
  <c r="M262" i="4" s="1"/>
  <c r="R261" i="4"/>
  <c r="AA262" i="5"/>
  <c r="AC262" i="5" s="1"/>
  <c r="AB262" i="5"/>
  <c r="AD262" i="5" s="1"/>
  <c r="S261" i="4"/>
  <c r="AE262" i="5" l="1"/>
  <c r="X263" i="5"/>
  <c r="Y263" i="5" s="1"/>
  <c r="P262" i="4"/>
  <c r="R262" i="4" l="1"/>
  <c r="F263" i="4"/>
  <c r="M263" i="4" s="1"/>
  <c r="AB263" i="5"/>
  <c r="AD263" i="5" s="1"/>
  <c r="AA263" i="5"/>
  <c r="AC263" i="5" s="1"/>
  <c r="S262" i="4"/>
  <c r="AE263" i="5" l="1"/>
  <c r="X264" i="5"/>
  <c r="Y264" i="5" s="1"/>
  <c r="P263" i="4"/>
  <c r="F264" i="4" l="1"/>
  <c r="M264" i="4" s="1"/>
  <c r="R263" i="4"/>
  <c r="AB264" i="5"/>
  <c r="AD264" i="5" s="1"/>
  <c r="AA264" i="5"/>
  <c r="AC264" i="5" s="1"/>
  <c r="S263" i="4"/>
  <c r="AE264" i="5" l="1"/>
  <c r="X265" i="5"/>
  <c r="P264" i="4"/>
  <c r="P265" i="4" l="1"/>
  <c r="R264" i="4"/>
  <c r="I26" i="3"/>
  <c r="C16" i="2"/>
  <c r="I25" i="3"/>
  <c r="B6" i="3"/>
  <c r="Y265" i="5"/>
  <c r="X266" i="5"/>
  <c r="AB265" i="5" l="1"/>
  <c r="AA265" i="5"/>
  <c r="S264" i="4"/>
  <c r="G39" i="3"/>
  <c r="Y266" i="5"/>
  <c r="R265" i="4"/>
  <c r="E6" i="3"/>
  <c r="B33" i="3" l="1"/>
  <c r="AA266" i="5"/>
  <c r="AC265" i="5"/>
  <c r="G37" i="3"/>
  <c r="AD265" i="5"/>
  <c r="AD266" i="5" s="1"/>
  <c r="E33" i="3"/>
  <c r="G38" i="3"/>
  <c r="AB266" i="5"/>
  <c r="AC266" i="5" l="1"/>
  <c r="AE265" i="5"/>
  <c r="AE266" i="5" l="1"/>
  <c r="H3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S108" authorId="0" shapeId="0" xr:uid="{3DD195B1-1D9A-4F36-A4EB-CB81B323516E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MONTANT DETENU PAR LE CAISSIER SECONDAIRE</t>
        </r>
      </text>
    </comment>
  </commentList>
</comments>
</file>

<file path=xl/sharedStrings.xml><?xml version="1.0" encoding="utf-8"?>
<sst xmlns="http://schemas.openxmlformats.org/spreadsheetml/2006/main" count="1094" uniqueCount="281">
  <si>
    <t>TRESORERIE DEPARTEMENTALE DE BAGASSI  |  MODE D'EMPLOI  |  CAISSIER PRINCIPAL : TIAHO Gerald Joel</t>
  </si>
  <si>
    <t>Fichier : SUIVI_ENCAISSE_TRESORERIE_BAGASSI_2026_v2.xlsx   |   Exercice 2026   |   Mot de passe : TRESO2026</t>
  </si>
  <si>
    <t>1.  PRESENTATION GENERALE</t>
  </si>
  <si>
    <t>Ce fichier assure le suivi quotidien de l'encaisse de la TRESORERIE DEPARTEMENTALE DE BAGASSI pour l'exercice 2026. Il couvre les 261 jours ouvrés (lundi-vendredi), permet la saisie journalière, le pointage par billetage, le suivi du caissier secondaire et produit automatiquement un tableau de bord mensuel.</t>
  </si>
  <si>
    <t>2.  LEXIQUE DES COULEURS</t>
  </si>
  <si>
    <t>Police BLEUE</t>
  </si>
  <si>
    <t>Cellule de SAISIE — cliquer et taper la valeur directement</t>
  </si>
  <si>
    <t>Police NOIRE</t>
  </si>
  <si>
    <t>Formule automatique — NE PAS MODIFIER</t>
  </si>
  <si>
    <t>Police VERTE</t>
  </si>
  <si>
    <t>Lien tiré d'une autre feuille du classeur</t>
  </si>
  <si>
    <t>Fond OR / GOLD</t>
  </si>
  <si>
    <t>Correction officielle — réservée aux ajustements comptables formels</t>
  </si>
  <si>
    <t>Fond JAUNE vif</t>
  </si>
  <si>
    <t>Ligne contenant une correction — traçabilité automatique</t>
  </si>
  <si>
    <t>Fond ROUGE clair</t>
  </si>
  <si>
    <t>Différence négative (déficit de caisse)</t>
  </si>
  <si>
    <t>Fond VERT clair</t>
  </si>
  <si>
    <t>Différence positive (excédent de caisse)</t>
  </si>
  <si>
    <t>Couleurs par mois</t>
  </si>
  <si>
    <t>Code couleur de navigation : chaque mois a sa teinte propre</t>
  </si>
  <si>
    <t>3.  DESCRIPTION DES FEUILLES</t>
  </si>
  <si>
    <t xml:space="preserve">  MODE D'EMPLOI</t>
  </si>
  <si>
    <t>Ce guide d'utilisation — lecture seule</t>
  </si>
  <si>
    <t xml:space="preserve">  PARAMETRES</t>
  </si>
  <si>
    <t>Soldes d'ouverture, informations du poste, instructions de transition annuelle</t>
  </si>
  <si>
    <t xml:space="preserve">  TABLEAU DE BORD</t>
  </si>
  <si>
    <t>Synthèse mensuelle automatique, KPIs en temps réel, suivi des différences de caisse</t>
  </si>
  <si>
    <t xml:space="preserve">  SUIVI 2026</t>
  </si>
  <si>
    <t>Journal quotidien : 261 lignes, une par jour ouvré — feuille principale de saisie</t>
  </si>
  <si>
    <t xml:space="preserve">  BILLETAGE</t>
  </si>
  <si>
    <t>Pointage journalier des coupures (billets + pièces + billets détériorés)</t>
  </si>
  <si>
    <t xml:space="preserve">  CAISSIER SEC.</t>
  </si>
  <si>
    <t>Vision du caissier secondaire BARRO FOUSSENI : approvisionnements et reversements</t>
  </si>
  <si>
    <t xml:space="preserve">  CORRECTIONS</t>
  </si>
  <si>
    <t>Registre d'audit : toute correction officielle doit y être documentée</t>
  </si>
  <si>
    <t xml:space="preserve">  MOUVEMENTS</t>
  </si>
  <si>
    <t>Journal chronologique libre de toutes les opérations de caisse</t>
  </si>
  <si>
    <t>4.  GUIDE DE SAISIE QUOTIDIENNE</t>
  </si>
  <si>
    <t>Étape 1</t>
  </si>
  <si>
    <t>Ouvrir la feuille SUIVI 2026 — les colonnes sont figées (A-E + ligne 1-3)</t>
  </si>
  <si>
    <t>Étape 2</t>
  </si>
  <si>
    <t>Se positionner sur la ligne du jour (date visible en col B)</t>
  </si>
  <si>
    <t>Étape 3</t>
  </si>
  <si>
    <t>Saisir en col G : Recettes P1RT encaissées dans la journée</t>
  </si>
  <si>
    <t>Étape 4</t>
  </si>
  <si>
    <t>Saisir en col H : Recettes P12 encaissées dans la journée</t>
  </si>
  <si>
    <t>Étape 5</t>
  </si>
  <si>
    <t>Saisir en col J : Total des dépenses effectuées</t>
  </si>
  <si>
    <t>Étape 6</t>
  </si>
  <si>
    <t>Si approvisionnement du CS : saisir en col K le montant remis à BARRO FOUSSENI</t>
  </si>
  <si>
    <t>Étape 7</t>
  </si>
  <si>
    <t>Si reversement du CS : saisir en col L le montant rendu par BARRO FOUSSENI</t>
  </si>
  <si>
    <t>Étape 8</t>
  </si>
  <si>
    <t>Le Solde Écriture (col M) et le Solde Clôture (col P) se calculent automatiquement</t>
  </si>
  <si>
    <t>Étape 9</t>
  </si>
  <si>
    <t>En fin de journée : aller dans BILLETAGE et saisir les coupures physiques en caisse</t>
  </si>
  <si>
    <t>Étape 10</t>
  </si>
  <si>
    <t>La colonne S (Différence) indique l'écart entre l'encaisse physique et l'écriture</t>
  </si>
  <si>
    <t>5.  GESTION DES CORRECTIONS D'ENCAISSE</t>
  </si>
  <si>
    <t>Erreur de saisie simple</t>
  </si>
  <si>
    <t>Modifier directement la cellule bleue erronée. Le solde se recalcule automatiquement sur toutes les lignes suivantes.</t>
  </si>
  <si>
    <t>Ajustement comptable officiel</t>
  </si>
  <si>
    <t>SUIVI 2026 col N (CORRECTION) : saisir le montant +/- et obligatoirement noter le motif dans la col O. La ligne apparaîtra automatiquement en JAUNE.</t>
  </si>
  <si>
    <t>Traçabilité</t>
  </si>
  <si>
    <t>Enregistrer toute correction dans la feuille CORRECTIONS (fichier principal) avec : date, ligne concernée, montant avant/après, motif, visa.</t>
  </si>
  <si>
    <t>Excédent de caisse</t>
  </si>
  <si>
    <t>Client paye 5 000 F pour 4 950 F → excédent +50 F. Pointer fidèlement dans BILLETAGE (encaisse réelle). La différence est SÉPARÉE du solde officiel — elle n'affecte pas le Solde Écriture.</t>
  </si>
  <si>
    <t>Déficit de caisse</t>
  </si>
  <si>
    <t>Paiement de 11 000 F pour 10 950 F → déficit -50 F. Même principe : pointer l'encaisse réelle dans BILLETAGE. Le solde officiel reste intouché.</t>
  </si>
  <si>
    <t>6.  RECONCILIATION AVEC LE FICHIER DU CAISSIER SECONDAIRE</t>
  </si>
  <si>
    <t>Fréquence</t>
  </si>
  <si>
    <t>À chaque fin de décade (10e, 20e et dernier jour du mois) obligatoirement.</t>
  </si>
  <si>
    <t>Point 1</t>
  </si>
  <si>
    <t>Vérifier : SUIVI 2026 col K (Approv CS) = col G du fichier BARRO FOUSSENI pour chaque jour.</t>
  </si>
  <si>
    <t>Point 2</t>
  </si>
  <si>
    <t>Vérifier : SUIVI 2026 col L (Retour CS) = col H du fichier BARRO FOUSSENI pour chaque jour.</t>
  </si>
  <si>
    <t>Point 3</t>
  </si>
  <si>
    <t>Vérifier : Feuille CAISSIER SEC. col J (Solde Écriture) = col K du fichier BARRO FOUSSENI.</t>
  </si>
  <si>
    <t>Point 4</t>
  </si>
  <si>
    <t>Encaisse Globale = SUIVI 2026 col P (Solde Clôture Global) qui intègre déjà les 2 encaisses.</t>
  </si>
  <si>
    <t>En cas d'écart</t>
  </si>
  <si>
    <t>Identifier la ligne divergente, corriger la source, utiliser col N si ajustement formel nécessaire.</t>
  </si>
  <si>
    <t>Fichier CS</t>
  </si>
  <si>
    <t>Fichier : SUIVI_ENCAISSE_BARRO_FOUSSENI_CS_2026_v1.xlsx  |  Caissier : BARRO FOUSSENI</t>
  </si>
  <si>
    <t>7.  PROCEDURE DE FIN D'EXERCICE (NOUVEL AN)</t>
  </si>
  <si>
    <t>PARAMETRES C16 = solde de clôture calculé automatiquement. PARAMETRES C17 = encaisse CS de clôture.</t>
  </si>
  <si>
    <t>Ouvrir un nouveau fichier basé sur ce modèle pour le nouvel exercice.</t>
  </si>
  <si>
    <t>Dans le nouveau fichier PARAMETRES : saisir C16 → C11 (encaisse principale) et C17 → C12 (encaisse CS).</t>
  </si>
  <si>
    <t>Tous les calculs du nouvel exercice s'appuient automatiquement sur ces soldes d'ouverture.</t>
  </si>
  <si>
    <t>Conserver l'ancien fichier en lecture seule pour consultation historique.</t>
  </si>
  <si>
    <t>8.  INFORMATIONS PRATIQUES</t>
  </si>
  <si>
    <t>Mot de passe protection</t>
  </si>
  <si>
    <t>TRESO2026  —  Révision &gt; Ôter la protection de la feuille</t>
  </si>
  <si>
    <t>Cellules éditables</t>
  </si>
  <si>
    <t>Uniquement les cellules à police BLEUE sont modifiables quand la protection est active</t>
  </si>
  <si>
    <t>Ôter la protection</t>
  </si>
  <si>
    <t>Excel &gt; onglet Révision &gt; Ôter la protection &gt; saisir TRESO2026</t>
  </si>
  <si>
    <t>Remettre la protection</t>
  </si>
  <si>
    <t>Excel &gt; onglet Révision &gt; Protéger la feuille &gt; saisir TRESO2026 &gt; valider</t>
  </si>
  <si>
    <t>Fichier complémentaire</t>
  </si>
  <si>
    <t>SUIVI_ENCAISSE_BARRO_FOUSSENI_CS_2026_v1.xlsx   (caissier : BARRO FOUSSENI)</t>
  </si>
  <si>
    <t>Format des montants</t>
  </si>
  <si>
    <t>Les zéros s'affichent comme  -  (tiret). Les négatifs entre parenthèses ex : (15 000)</t>
  </si>
  <si>
    <t>Touches utiles</t>
  </si>
  <si>
    <t>Ctrl+Fin = aller à la dernière cellule | Ctrl+Home = revenir en A1 | F5 = aller à une cellule</t>
  </si>
  <si>
    <t>TRESORERIE DEPARTEMENTALE DE BAGASSI  --  PARAMETRES DU SYSTEME</t>
  </si>
  <si>
    <t>INFORMATIONS GENERALES</t>
  </si>
  <si>
    <t>Institution :</t>
  </si>
  <si>
    <t>TRESORERIE DEPARTEMENTALE DE BAGASSI</t>
  </si>
  <si>
    <t>Caissier Principal :</t>
  </si>
  <si>
    <t>TIAHO Gerald Joel</t>
  </si>
  <si>
    <t>Qualite :</t>
  </si>
  <si>
    <t>Controleur du Tresor</t>
  </si>
  <si>
    <t>Caissier Secondaire :</t>
  </si>
  <si>
    <t>BARRO Fousséni</t>
  </si>
  <si>
    <t>Exercice en cours :</t>
  </si>
  <si>
    <t>SOLDES D'OUVERTURE DE L'EXERCICE</t>
  </si>
  <si>
    <t>Solde Global d'Ouverture (25/05/2026) :</t>
  </si>
  <si>
    <t>Encaisse Caissier Secondaire Ouverture :</t>
  </si>
  <si>
    <t>TRANSITION VERS NOUVEL EXERCICE (A remplir en fin d'annee)</t>
  </si>
  <si>
    <t>Exercice suivant :</t>
  </si>
  <si>
    <t>Solde Global de Cloture 2026 (calcule) :</t>
  </si>
  <si>
    <t>Encaisse CS de Cloture 2026 (calcule) :</t>
  </si>
  <si>
    <t>INSTRUCTIONS -- CORRECTION D'ENCAISSE ERRONEE</t>
  </si>
  <si>
    <t>1. Aller dans la feuille 'SUIVI 2026' a la ligne du jour concerne</t>
  </si>
  <si>
    <t>2. Corriger directement la valeur erronee dans la cellule coloree en BLEU</t>
  </si>
  <si>
    <t>3. Les soldes de tous les jours suivants se recalculent automatiquement</t>
  </si>
  <si>
    <t>4. Pour les ajustements officiels : saisir le montant dans col. 'CORRECTION'</t>
  </si>
  <si>
    <t>5. Obligatoirement renseigner le 'MOTIF' de la correction dans la colonne suivante</t>
  </si>
  <si>
    <t>6. Les lignes corrigees apparaissent en JAUNE pour traçabilite</t>
  </si>
  <si>
    <t>INSTRUCTIONS -- NOUVEL EXERCICE (DEBUT D'ANNEE)</t>
  </si>
  <si>
    <t>1. En debut du nouvel exercice, noter le solde de cloture de C16 ci-dessus</t>
  </si>
  <si>
    <t>2. Ouvrir un nouveau fichier base sur ce modele pour l'exercice suivant</t>
  </si>
  <si>
    <t>3. Dans le nouveau fichier : PARAMETRES &gt; C11 = Solde Cloture de l'annee precedente</t>
  </si>
  <si>
    <t>4. Dans le nouveau fichier : PARAMETRES &gt; C12 = Encaisse CS Cloture de l'annee precedente</t>
  </si>
  <si>
    <t>5. Tous les calculs du nouvel exercice seront automatiquement bases sur ces soldes</t>
  </si>
  <si>
    <t>6. L'ancien fichier reste en consultation pour l'historique</t>
  </si>
  <si>
    <t>TABLEAU DE BORD  --  SUIVI DE L'ENCAISSE P11  --  EXERCICE 2026</t>
  </si>
  <si>
    <t>Caissier Principal : TIAHO Gerald Joel  |  Caissier Secondaire : MC BARRO  |  Controleur du Tresor</t>
  </si>
  <si>
    <t>ENCAISSE GLOBALE</t>
  </si>
  <si>
    <t>ENCAISSE PRINCIPALE</t>
  </si>
  <si>
    <t>ENCAISSE SECONDAIRE (MC BARRO)</t>
  </si>
  <si>
    <t>Mise a jour :</t>
  </si>
  <si>
    <t>BILAN MENSUEL  --  RECAPITULATIF PAR MOIS</t>
  </si>
  <si>
    <t>MOIS</t>
  </si>
  <si>
    <t>REC. P1RT</t>
  </si>
  <si>
    <t>REC. P12</t>
  </si>
  <si>
    <t>TOTAL REC.</t>
  </si>
  <si>
    <t>DEPENSES</t>
  </si>
  <si>
    <t>APPROV. CS</t>
  </si>
  <si>
    <t>RETOUR CS</t>
  </si>
  <si>
    <t>SOLDE CLOTURE</t>
  </si>
  <si>
    <t>ENCAISSE CS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</si>
  <si>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</si>
  <si>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</si>
  <si>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</si>
  <si>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</si>
  <si>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</si>
  <si>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</si>
  <si>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</si>
  <si>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</si>
  <si>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</si>
  <si>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</si>
  <si>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</si>
  <si>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</si>
  <si>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TOTAL ANNUEL</t>
  </si>
  <si>
    <t>SUIVI DES DIFFERENCES DE CAISSE  (HORS ENCAISSE OFFICIELLE)</t>
  </si>
  <si>
    <t>Les excédents et déficits sont suivis séparément. Ils ne modifient PAS l'encaisse officielle. Régularisation obligatoire en fin de décade/mois.</t>
  </si>
  <si>
    <t>CUMUL EXCÉDENTS (+)</t>
  </si>
  <si>
    <t>CUMUL DÉFICITS (-)</t>
  </si>
  <si>
    <t>SOLDE NET À RÉGULARISER</t>
  </si>
  <si>
    <t>Nombre de jours avec excédent :</t>
  </si>
  <si>
    <t>Nombre de jours avec déficit :</t>
  </si>
  <si>
    <t>Nombre de jours sans différence (caisse juste) :</t>
  </si>
  <si>
    <t>RAPPEL : Pour regulariser une difference, saisir le montant dans SUIVI 2026 col CORRECTION OFFICIELLE avec le motif. L'encaisse globale est alors ajustee officiellement.</t>
  </si>
  <si>
    <t>TRESORERIE DEPARTEMENTALE DE BAGASSI  --  SUIVI JOURNALIER DE L'ENCAISSE P11  --  EXERCICE 2026</t>
  </si>
  <si>
    <t>IDENTIFICATION</t>
  </si>
  <si>
    <t>SOLDE</t>
  </si>
  <si>
    <t>RECETTES</t>
  </si>
  <si>
    <t>SORTIES</t>
  </si>
  <si>
    <t>SOLDE ECRITURE</t>
  </si>
  <si>
    <t>CORRECTION / AJUSTEMENT</t>
  </si>
  <si>
    <t>SOLDES CLÔTURE</t>
  </si>
  <si>
    <t>DIFF.</t>
  </si>
  <si>
    <t>OBSERVATIONS</t>
  </si>
  <si>
    <t>N°</t>
  </si>
  <si>
    <t>DATE</t>
  </si>
  <si>
    <t>JOUR</t>
  </si>
  <si>
    <t>DECADE</t>
  </si>
  <si>
    <t>SOLDE
OUVERTURE</t>
  </si>
  <si>
    <t>RECETTES
P1RT</t>
  </si>
  <si>
    <t>RECETTES
P12</t>
  </si>
  <si>
    <t>TOTAL
RECETTES</t>
  </si>
  <si>
    <t>DEPENSES
JOURNEE</t>
  </si>
  <si>
    <t>APPROV.
CAISSIER SEC.</t>
  </si>
  <si>
    <t>RETOUR
CAISSIER SEC.</t>
  </si>
  <si>
    <t>SOLDE
ECRITURE</t>
  </si>
  <si>
    <t>CORRECTION
OFFICIELLE
(manuelle)</t>
  </si>
  <si>
    <t>MOTIF DE
LA CORRECTION</t>
  </si>
  <si>
    <t>SOLDE
CLOTURE GLOBAL</t>
  </si>
  <si>
    <t>ENCAISSE
CAISSIER SEC.</t>
  </si>
  <si>
    <t>ENCAISSE
PRINCIPALE</t>
  </si>
  <si>
    <t>DIFF.
BILLETAGE
(info)</t>
  </si>
  <si>
    <t>JEUDI</t>
  </si>
  <si>
    <t>VENDREDI</t>
  </si>
  <si>
    <t>LUNDI</t>
  </si>
  <si>
    <t>MARDI</t>
  </si>
  <si>
    <t>MERCREDI</t>
  </si>
  <si>
    <t>TOTAL EXERCICE 2026</t>
  </si>
  <si>
    <t>TRESORERIE DEPARTEMENTALE DE BAGASSI  --  BILLETAGE (DÉNOMBREMENT DES ESPÈCES)  --  EXERCICE 2026</t>
  </si>
  <si>
    <t>Dénombrement quotidien des espèces en caisse  |  Billets + Pièces + Divers  |  Rapprochement avec le Solde en Écriture</t>
  </si>
  <si>
    <t>BILLETS (en FCFA)</t>
  </si>
  <si>
    <t>PIÈCES (en FCFA)</t>
  </si>
  <si>
    <t>DIVERS</t>
  </si>
  <si>
    <t>MAIN C</t>
  </si>
  <si>
    <t>SOLDE ÉCRITURE</t>
  </si>
  <si>
    <t>DIFFÉRENCE</t>
  </si>
  <si>
    <t>SUIVI CUMULATIF DES DIFFERENCES  (HORS ENCAISSE OFFICIELLE)</t>
  </si>
  <si>
    <t>DEC.
N°</t>
  </si>
  <si>
    <t>10 000 F
(Billet)</t>
  </si>
  <si>
    <t>5 000 F
(Billet)</t>
  </si>
  <si>
    <t>2 000 F
(Billet)</t>
  </si>
  <si>
    <t>1 000 F
(Billet)</t>
  </si>
  <si>
    <t>500 F
(Billet)</t>
  </si>
  <si>
    <t>TOTAL
BILLETS</t>
  </si>
  <si>
    <t>500 F
(Pièce)</t>
  </si>
  <si>
    <t>250 F
(Pièce)</t>
  </si>
  <si>
    <t>200 F
(Pièce)</t>
  </si>
  <si>
    <t>100 F
(Pièce)</t>
  </si>
  <si>
    <t>50 F
(Pièce)</t>
  </si>
  <si>
    <t>25 F
(Pièce)</t>
  </si>
  <si>
    <t>10 F
(Pièce)</t>
  </si>
  <si>
    <t>5 F
(Pièce)</t>
  </si>
  <si>
    <t>1 F
(Pièce)</t>
  </si>
  <si>
    <t>TOTAL
PIÈCES</t>
  </si>
  <si>
    <t>EUROS
(valeur F)</t>
  </si>
  <si>
    <t>BILLETS
DÉTÉRIORÉS</t>
  </si>
  <si>
    <t>MAIN C
(TOTAL ESPÈCES)</t>
  </si>
  <si>
    <t>SOLDE
EN ÉCRITURE</t>
  </si>
  <si>
    <t>DIFFÉRENCE
(+/-)</t>
  </si>
  <si>
    <t>EXCÉDENT
DU JOUR (+)</t>
  </si>
  <si>
    <t>DÉFICIT
DU JOUR (-)</t>
  </si>
  <si>
    <t>CUMUL
EXCÉDENTS</t>
  </si>
  <si>
    <t>CUMUL
DÉFICITS</t>
  </si>
  <si>
    <t>SOLDE NET
DIFFÉRENCES</t>
  </si>
  <si>
    <t>TRESORERIE DEPARTEMENTALE DE BAGASSI  --  CAISSIER SECONDAIRE : MC BARRO  --  EXERCICE 2026</t>
  </si>
  <si>
    <t>Suivi des flux du Caissier Secondaire | Approvisionné par : TIAHO Gerald Joel</t>
  </si>
  <si>
    <t>APPROV RECU
DU PRINCIPAL</t>
  </si>
  <si>
    <t>REVERSE AU
PRINCIPAL</t>
  </si>
  <si>
    <t>PAIEMENTS
EFFECTUES</t>
  </si>
  <si>
    <t>ENCAISSE
COMPTEE</t>
  </si>
  <si>
    <t>OBSERVATIONS / NATURE DES PAIEMENTS</t>
  </si>
  <si>
    <t>TRESORERIE DEPARTEMENTALE DE BAGASSI  --  REGISTRE DES CORRECTIONS D'ENCAISSE  --  EXERCICE 2026</t>
  </si>
  <si>
    <t>Toute correction apportee a l'encaisse doit etre documentee ici. Les lignes corrigees dans SUIVI 2026 apparaissent automatiquement en JAUNE.</t>
  </si>
  <si>
    <t>DATE
CORRECTION</t>
  </si>
  <si>
    <t>LIGNE
SUIVI</t>
  </si>
  <si>
    <t>DATE
OPERATION CORRIGEE</t>
  </si>
  <si>
    <t>MONTANT
AVANT</t>
  </si>
  <si>
    <t>MONTANT
APRES</t>
  </si>
  <si>
    <t>MOTIF / JUSTIFICATION</t>
  </si>
  <si>
    <t>VISA CAISSIER</t>
  </si>
  <si>
    <t>DATE VISA</t>
  </si>
  <si>
    <t>TRESORERIE DEPARTEMENTALE DE BAGASSI  --  JOURNAL DES MOUVEMENTS DE CAISSE  --  EXERCICE 2026</t>
  </si>
  <si>
    <t>Enregistrement chronologique de toutes les operations : Recettes | Depenses | Approvisionnements | Retours</t>
  </si>
  <si>
    <t>N</t>
  </si>
  <si>
    <t>LIBELLE DE L'OPERATION</t>
  </si>
  <si>
    <t>APPROV.
CS</t>
  </si>
  <si>
    <t>RETOUR
CS</t>
  </si>
  <si>
    <t>SOLDE GLOBAL
(CUMULE)</t>
  </si>
  <si>
    <t>VISA</t>
  </si>
  <si>
    <t>0</t>
  </si>
  <si>
    <t>SOLDE D'OUVERTURE EXERCICE 2026</t>
  </si>
  <si>
    <t>15</t>
  </si>
  <si>
    <t>VERSEMENT RR BANA</t>
  </si>
  <si>
    <t>PAIEMENT CHQ FIE FONCT</t>
  </si>
  <si>
    <t>PAIEMENT ORD BANA</t>
  </si>
  <si>
    <t>RECETTE ONI</t>
  </si>
  <si>
    <t>ORDON BAGASSI</t>
  </si>
  <si>
    <t>ORDON BANA</t>
  </si>
  <si>
    <t>ORDON YAHO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</si>
</sst>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&quot;-&quot;"/>
    <numFmt numFmtId="165" formatCode="\+#,##0;\-#,##0;&quot;-&quot;"/>
  </numFmts>
  <fonts count="84" x14ac:knownFonts="1"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000FF"/>
      <name val="Arial"/>
      <family val="2"/>
    </font>
    <font>
      <b/>
      <sz val="10"/>
      <color rgb="FF0000FF"/>
      <name val="Arial"/>
      <family val="2"/>
    </font>
    <font>
      <sz val="9"/>
      <color rgb="FF0000FF"/>
      <name val="Arial"/>
      <family val="2"/>
    </font>
    <font>
      <b/>
      <sz val="9"/>
      <color rgb="FF000000"/>
      <name val="Arial"/>
      <family val="2"/>
    </font>
    <font>
      <sz val="9"/>
      <color rgb="FFC00000"/>
      <name val="Arial"/>
      <family val="2"/>
    </font>
    <font>
      <sz val="9"/>
      <color rgb="FF1F3864"/>
      <name val="Arial"/>
      <family val="2"/>
    </font>
    <font>
      <b/>
      <sz val="14"/>
      <color rgb="FFFFFFFF"/>
      <name val="Arial"/>
      <family val="2"/>
    </font>
    <font>
      <b/>
      <sz val="11"/>
      <color rgb="FFFFFFFF"/>
      <name val="Arial"/>
      <family val="2"/>
    </font>
    <font>
      <i/>
      <sz val="9"/>
      <color rgb="FFF2F2F2"/>
      <name val="Arial"/>
      <family val="2"/>
    </font>
    <font>
      <b/>
      <sz val="18"/>
      <color rgb="FF1F3864"/>
      <name val="Arial"/>
      <family val="2"/>
    </font>
    <font>
      <b/>
      <sz val="18"/>
      <color rgb="FF375623"/>
      <name val="Arial"/>
      <family val="2"/>
    </font>
    <font>
      <b/>
      <sz val="18"/>
      <color rgb="FFED7D31"/>
      <name val="Arial"/>
      <family val="2"/>
    </font>
    <font>
      <b/>
      <sz val="8"/>
      <color rgb="FF595959"/>
      <name val="Arial"/>
      <family val="2"/>
    </font>
    <font>
      <sz val="8"/>
      <color rgb="FF59595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1F3864"/>
      <name val="Arial"/>
      <family val="2"/>
    </font>
    <font>
      <b/>
      <sz val="9"/>
      <color rgb="FFED7D31"/>
      <name val="Arial"/>
      <family val="2"/>
    </font>
    <font>
      <b/>
      <sz val="13"/>
      <color rgb="FFFFFFFF"/>
      <name val="Arial"/>
      <family val="2"/>
    </font>
    <font>
      <b/>
      <sz val="8"/>
      <color rgb="FFFFFFFF"/>
      <name val="Arial"/>
      <family val="2"/>
    </font>
    <font>
      <sz val="9"/>
      <color rgb="FF375623"/>
      <name val="Arial"/>
      <family val="2"/>
    </font>
    <font>
      <i/>
      <sz val="9"/>
      <color rgb="FFC00000"/>
      <name val="Arial"/>
      <family val="2"/>
    </font>
    <font>
      <b/>
      <sz val="9"/>
      <color rgb="FF375623"/>
      <name val="Arial"/>
      <family val="2"/>
    </font>
    <font>
      <i/>
      <sz val="9"/>
      <color rgb="FF595959"/>
      <name val="Arial"/>
      <family val="2"/>
    </font>
    <font>
      <i/>
      <sz val="9"/>
      <color rgb="FFFFFFFF"/>
      <name val="Arial"/>
      <family val="2"/>
    </font>
    <font>
      <sz val="9"/>
      <color rgb="FF000000"/>
      <name val="Arial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sz val="8"/>
      <color rgb="FF595959"/>
      <name val="Arial"/>
      <family val="2"/>
    </font>
    <font>
      <sz val="9"/>
      <color rgb="FF0000FF"/>
      <name val="Arial"/>
      <family val="2"/>
    </font>
    <font>
      <sz val="9"/>
      <color rgb="FF000000"/>
      <name val="Arial"/>
      <family val="2"/>
    </font>
    <font>
      <b/>
      <sz val="9"/>
      <name val="Arial"/>
      <family val="2"/>
    </font>
    <font>
      <i/>
      <sz val="9"/>
      <color rgb="FF595959"/>
      <name val="Arial"/>
      <family val="2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i/>
      <sz val="9"/>
      <color rgb="FFFFFFFF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  <font>
      <b/>
      <sz val="8"/>
      <color rgb="FF595959"/>
      <name val="Arial"/>
      <family val="2"/>
    </font>
    <font>
      <b/>
      <sz val="9"/>
      <color rgb="FF833C00"/>
      <name val="Arial"/>
      <family val="2"/>
    </font>
    <font>
      <b/>
      <sz val="9"/>
      <color rgb="FFC9A227"/>
      <name val="Arial"/>
      <family val="2"/>
    </font>
    <font>
      <b/>
      <sz val="9"/>
      <color rgb="FF375623"/>
      <name val="Arial"/>
      <family val="2"/>
    </font>
    <font>
      <b/>
      <sz val="9"/>
      <color rgb="FF2E75B6"/>
      <name val="Arial"/>
      <family val="2"/>
    </font>
    <font>
      <b/>
      <sz val="9"/>
      <color rgb="FFC00000"/>
      <name val="Arial"/>
      <family val="2"/>
    </font>
    <font>
      <b/>
      <sz val="9"/>
      <color rgb="FF1F6B75"/>
      <name val="Arial"/>
      <family val="2"/>
    </font>
    <font>
      <b/>
      <sz val="9"/>
      <color rgb="FF1F3864"/>
      <name val="Arial"/>
      <family val="2"/>
    </font>
    <font>
      <b/>
      <sz val="10"/>
      <color rgb="FF1F6B75"/>
      <name val="Arial"/>
      <family val="2"/>
    </font>
    <font>
      <b/>
      <sz val="11"/>
      <color rgb="FFFFFFFF"/>
      <name val="Arial"/>
      <family val="2"/>
    </font>
    <font>
      <i/>
      <sz val="8"/>
      <color rgb="FF1F6B75"/>
      <name val="Arial"/>
      <family val="2"/>
    </font>
    <font>
      <b/>
      <sz val="18"/>
      <color rgb="FF1F6B75"/>
      <name val="Arial"/>
      <family val="2"/>
    </font>
    <font>
      <b/>
      <sz val="18"/>
      <color rgb="FFC00000"/>
      <name val="Arial"/>
      <family val="2"/>
    </font>
    <font>
      <b/>
      <sz val="18"/>
      <color rgb="FF1F3864"/>
      <name val="Arial"/>
      <family val="2"/>
    </font>
    <font>
      <b/>
      <sz val="12"/>
      <color rgb="FF1F6B75"/>
      <name val="Arial"/>
      <family val="2"/>
    </font>
    <font>
      <b/>
      <sz val="12"/>
      <color rgb="FFC00000"/>
      <name val="Arial"/>
      <family val="2"/>
    </font>
    <font>
      <b/>
      <sz val="12"/>
      <color rgb="FF375623"/>
      <name val="Arial"/>
      <family val="2"/>
    </font>
    <font>
      <i/>
      <sz val="8"/>
      <color rgb="FF1F3864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sz val="9"/>
      <color rgb="FF1F3864"/>
      <name val="Arial"/>
      <family val="2"/>
    </font>
    <font>
      <sz val="9"/>
      <color rgb="FF0000FF"/>
      <name val="Arial"/>
      <family val="2"/>
    </font>
    <font>
      <b/>
      <sz val="9"/>
      <color rgb="FF375623"/>
      <name val="Arial"/>
      <family val="2"/>
    </font>
    <font>
      <sz val="9"/>
      <color rgb="FFED7D31"/>
      <name val="Arial"/>
      <family val="2"/>
    </font>
    <font>
      <b/>
      <sz val="10"/>
      <color rgb="FFFFFFFF"/>
      <name val="Arial"/>
      <family val="2"/>
    </font>
    <font>
      <b/>
      <sz val="13"/>
      <color rgb="FFFFFFFF"/>
      <name val="Arial"/>
      <family val="2"/>
    </font>
    <font>
      <b/>
      <sz val="9"/>
      <color rgb="FFF2F2F2"/>
      <name val="Arial"/>
      <family val="2"/>
    </font>
    <font>
      <b/>
      <sz val="9"/>
      <color rgb="FFFFFFFF"/>
      <name val="Arial"/>
      <family val="2"/>
    </font>
    <font>
      <sz val="9"/>
      <color rgb="FF1F3864"/>
      <name val="Arial"/>
      <family val="2"/>
    </font>
    <font>
      <b/>
      <sz val="9"/>
      <color rgb="FF1F3864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375623"/>
      <name val="Arial"/>
      <family val="2"/>
    </font>
    <font>
      <sz val="9"/>
      <color rgb="FF375623"/>
      <name val="Arial"/>
      <family val="2"/>
    </font>
    <font>
      <b/>
      <sz val="9"/>
      <color rgb="FFC9A227"/>
      <name val="Arial"/>
      <family val="2"/>
    </font>
    <font>
      <sz val="9"/>
      <color rgb="FFC9A227"/>
      <name val="Arial"/>
      <family val="2"/>
    </font>
    <font>
      <b/>
      <sz val="9"/>
      <color rgb="FFC00000"/>
      <name val="Arial"/>
      <family val="2"/>
    </font>
    <font>
      <sz val="9"/>
      <color rgb="FFC00000"/>
      <name val="Arial"/>
      <family val="2"/>
    </font>
    <font>
      <b/>
      <sz val="9"/>
      <color rgb="FF595959"/>
      <name val="Arial"/>
      <family val="2"/>
    </font>
    <font>
      <sz val="9"/>
      <color rgb="FF59595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EBF3FB"/>
      </patternFill>
    </fill>
    <fill>
      <patternFill patternType="solid">
        <fgColor rgb="FF375623"/>
      </patternFill>
    </fill>
    <fill>
      <patternFill patternType="solid">
        <fgColor rgb="FFE2EFDA"/>
      </patternFill>
    </fill>
    <fill>
      <patternFill patternType="solid">
        <fgColor rgb="FFED7D31"/>
      </patternFill>
    </fill>
    <fill>
      <patternFill patternType="solid">
        <fgColor rgb="FFFCE4D6"/>
      </patternFill>
    </fill>
    <fill>
      <patternFill patternType="solid">
        <fgColor rgb="FFC00000"/>
      </patternFill>
    </fill>
    <fill>
      <patternFill patternType="solid">
        <fgColor rgb="FFFFCCCC"/>
      </patternFill>
    </fill>
    <fill>
      <patternFill patternType="solid">
        <fgColor rgb="FFBDD7EE"/>
      </patternFill>
    </fill>
    <fill>
      <patternFill patternType="solid">
        <fgColor rgb="FF17375E"/>
      </patternFill>
    </fill>
    <fill>
      <patternFill patternType="solid">
        <fgColor rgb="FFEEF4EA"/>
      </patternFill>
    </fill>
    <fill>
      <patternFill patternType="solid">
        <fgColor rgb="FFFEF0E7"/>
      </patternFill>
    </fill>
    <fill>
      <patternFill patternType="solid">
        <fgColor rgb="FFFFF2CC"/>
      </patternFill>
    </fill>
    <fill>
      <patternFill patternType="solid">
        <fgColor rgb="FFF5E6F5"/>
      </patternFill>
    </fill>
    <fill>
      <patternFill patternType="solid">
        <fgColor rgb="FFEBF5FB"/>
      </patternFill>
    </fill>
    <fill>
      <patternFill patternType="solid">
        <fgColor rgb="FFC9A227"/>
      </patternFill>
    </fill>
    <fill>
      <patternFill patternType="solid">
        <fgColor rgb="FF595959"/>
      </patternFill>
    </fill>
    <fill>
      <patternFill patternType="solid">
        <fgColor rgb="FFD6E4F0"/>
      </patternFill>
    </fill>
    <fill>
      <patternFill patternType="solid">
        <fgColor rgb="FFF2F2F2"/>
      </patternFill>
    </fill>
    <fill>
      <patternFill patternType="solid">
        <fgColor rgb="FFC55A11"/>
      </patternFill>
    </fill>
    <fill>
      <patternFill patternType="solid">
        <fgColor rgb="FF9C0000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C00000"/>
      </patternFill>
    </fill>
    <fill>
      <patternFill patternType="solid">
        <fgColor rgb="FFFFF2CC"/>
      </patternFill>
    </fill>
    <fill>
      <patternFill patternType="solid">
        <fgColor rgb="FFFFCCCC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375623"/>
      </patternFill>
    </fill>
    <fill>
      <patternFill patternType="solid">
        <fgColor rgb="FF595959"/>
      </patternFill>
    </fill>
    <fill>
      <patternFill patternType="solid">
        <fgColor rgb="FFE2EFDA"/>
      </patternFill>
    </fill>
    <fill>
      <patternFill patternType="solid">
        <fgColor rgb="FF833C00"/>
      </patternFill>
    </fill>
    <fill>
      <patternFill patternType="solid">
        <fgColor rgb="FFC9A227"/>
      </patternFill>
    </fill>
    <fill>
      <patternFill patternType="solid">
        <fgColor rgb="FFFFF8F0"/>
      </patternFill>
    </fill>
    <fill>
      <patternFill patternType="solid">
        <fgColor rgb="FFFEF0E0"/>
      </patternFill>
    </fill>
    <fill>
      <patternFill patternType="solid">
        <fgColor rgb="FFFFFDE7"/>
      </patternFill>
    </fill>
    <fill>
      <patternFill patternType="solid">
        <fgColor rgb="FFF5F5F5"/>
      </patternFill>
    </fill>
    <fill>
      <patternFill patternType="solid">
        <fgColor rgb="FFE8F5E9"/>
      </patternFill>
    </fill>
    <fill>
      <patternFill patternType="solid">
        <fgColor rgb="FFE3F2FD"/>
      </patternFill>
    </fill>
    <fill>
      <patternFill patternType="solid">
        <fgColor rgb="FFFCE4D6"/>
      </patternFill>
    </fill>
    <fill>
      <patternFill patternType="solid">
        <fgColor rgb="FFF0F8FF"/>
      </patternFill>
    </fill>
    <fill>
      <patternFill patternType="solid">
        <fgColor rgb="FFF0FFF0"/>
      </patternFill>
    </fill>
    <fill>
      <patternFill patternType="solid">
        <fgColor rgb="FFFFFFF0"/>
      </patternFill>
    </fill>
    <fill>
      <patternFill patternType="solid">
        <fgColor rgb="FFFFF0F8"/>
      </patternFill>
    </fill>
    <fill>
      <patternFill patternType="solid">
        <fgColor rgb="FFF0FFFF"/>
      </patternFill>
    </fill>
    <fill>
      <patternFill patternType="solid">
        <fgColor rgb="FFFFF5EE"/>
      </patternFill>
    </fill>
    <fill>
      <patternFill patternType="solid">
        <fgColor rgb="FFF5FFFA"/>
      </patternFill>
    </fill>
    <fill>
      <patternFill patternType="solid">
        <fgColor rgb="FFFFF0F5"/>
      </patternFill>
    </fill>
    <fill>
      <patternFill patternType="solid">
        <fgColor rgb="FFF0F0FF"/>
      </patternFill>
    </fill>
    <fill>
      <patternFill patternType="solid">
        <fgColor rgb="FFFFFAF0"/>
      </patternFill>
    </fill>
    <fill>
      <patternFill patternType="solid">
        <fgColor rgb="FFFFF0F0"/>
      </patternFill>
    </fill>
    <fill>
      <patternFill patternType="solid">
        <fgColor rgb="FFF2F2F2"/>
      </patternFill>
    </fill>
    <fill>
      <patternFill patternType="solid">
        <fgColor rgb="FF1F6B75"/>
      </patternFill>
    </fill>
    <fill>
      <patternFill patternType="solid">
        <fgColor rgb="FFD9EEF0"/>
      </patternFill>
    </fill>
    <fill>
      <patternFill patternType="solid">
        <fgColor rgb="FFFFECEC"/>
      </patternFill>
    </fill>
    <fill>
      <patternFill patternType="solid">
        <fgColor rgb="FFE8F0FE"/>
      </patternFill>
    </fill>
    <fill>
      <patternFill patternType="solid">
        <fgColor rgb="FFEAF5F6"/>
      </patternFill>
    </fill>
    <fill>
      <patternFill patternType="solid">
        <fgColor rgb="FFF0F4FF"/>
      </patternFill>
    </fill>
    <fill>
      <patternFill patternType="solid">
        <fgColor rgb="FFED7D31"/>
      </patternFill>
    </fill>
    <fill>
      <patternFill patternType="solid">
        <fgColor rgb="FFFEF0E7"/>
      </patternFill>
    </fill>
    <fill>
      <patternFill patternType="solid">
        <fgColor rgb="FFD6E4F0"/>
      </patternFill>
    </fill>
    <fill>
      <patternFill patternType="solid">
        <fgColor rgb="FFFFCCCC"/>
      </patternFill>
    </fill>
    <fill>
      <patternFill patternType="solid">
        <fgColor rgb="FFE2EFDA"/>
      </patternFill>
    </fill>
    <fill>
      <patternFill patternType="solid">
        <fgColor rgb="FFEBF3FB"/>
      </patternFill>
    </fill>
    <fill>
      <patternFill patternType="solid">
        <fgColor rgb="FFFFF2CC"/>
      </patternFill>
    </fill>
    <fill>
      <patternFill patternType="solid">
        <fgColor rgb="FFF5E6F5"/>
      </patternFill>
    </fill>
    <fill>
      <patternFill patternType="solid">
        <fgColor rgb="FFEBF5FB"/>
      </patternFill>
    </fill>
    <fill>
      <patternFill patternType="solid">
        <fgColor rgb="FF1F3864"/>
      </patternFill>
    </fill>
    <fill>
      <patternFill patternType="solid">
        <fgColor rgb="FF17375E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DDEEFF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FFCCCC"/>
      </patternFill>
    </fill>
    <fill>
      <patternFill patternType="solid">
        <fgColor rgb="FFEBF3FB"/>
      </patternFill>
    </fill>
    <fill>
      <patternFill patternType="solid">
        <fgColor rgb="FF375623"/>
      </patternFill>
    </fill>
    <fill>
      <patternFill patternType="solid">
        <fgColor rgb="FFC00000"/>
      </patternFill>
    </fill>
    <fill>
      <patternFill patternType="solid">
        <fgColor rgb="FFED7D31"/>
      </patternFill>
    </fill>
    <fill>
      <patternFill patternType="solid">
        <fgColor rgb="FFFEF0E7"/>
      </patternFill>
    </fill>
  </fills>
  <borders count="5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375623"/>
      </left>
      <right style="medium">
        <color rgb="FF375623"/>
      </right>
      <top style="medium">
        <color rgb="FF375623"/>
      </top>
      <bottom style="medium">
        <color rgb="FF375623"/>
      </bottom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medium">
        <color rgb="FF375623"/>
      </top>
      <bottom/>
      <diagonal/>
    </border>
    <border>
      <left/>
      <right style="medium">
        <color rgb="FF375623"/>
      </right>
      <top style="medium">
        <color rgb="FF375623"/>
      </top>
      <bottom/>
      <diagonal/>
    </border>
    <border>
      <left style="medium">
        <color rgb="FF375623"/>
      </left>
      <right/>
      <top/>
      <bottom style="medium">
        <color rgb="FF375623"/>
      </bottom>
      <diagonal/>
    </border>
    <border>
      <left/>
      <right/>
      <top/>
      <bottom style="medium">
        <color rgb="FF375623"/>
      </bottom>
      <diagonal/>
    </border>
    <border>
      <left/>
      <right style="medium">
        <color rgb="FF375623"/>
      </right>
      <top/>
      <bottom style="medium">
        <color rgb="FF375623"/>
      </bottom>
      <diagonal/>
    </border>
    <border>
      <left/>
      <right/>
      <top style="medium">
        <color rgb="FFED7D31"/>
      </top>
      <bottom/>
      <diagonal/>
    </border>
    <border>
      <left/>
      <right style="medium">
        <color rgb="FFED7D31"/>
      </right>
      <top style="medium">
        <color rgb="FFED7D31"/>
      </top>
      <bottom/>
      <diagonal/>
    </border>
    <border>
      <left style="medium">
        <color rgb="FFED7D31"/>
      </left>
      <right/>
      <top/>
      <bottom style="medium">
        <color rgb="FFED7D31"/>
      </bottom>
      <diagonal/>
    </border>
    <border>
      <left/>
      <right/>
      <top/>
      <bottom style="medium">
        <color rgb="FFED7D31"/>
      </bottom>
      <diagonal/>
    </border>
    <border>
      <left/>
      <right style="medium">
        <color rgb="FFED7D31"/>
      </right>
      <top/>
      <bottom style="medium">
        <color rgb="FFED7D31"/>
      </bottom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/>
      <right/>
      <top style="medium">
        <color rgb="FF1F3864"/>
      </top>
      <bottom style="medium">
        <color rgb="FF1F3864"/>
      </bottom>
      <diagonal/>
    </border>
    <border>
      <left/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medium">
        <color rgb="FF1F3864"/>
      </left>
      <right/>
      <top/>
      <bottom style="medium">
        <color rgb="FF1F3864"/>
      </bottom>
      <diagonal/>
    </border>
    <border>
      <left/>
      <right/>
      <top/>
      <bottom style="medium">
        <color rgb="FF1F3864"/>
      </bottom>
      <diagonal/>
    </border>
    <border>
      <left/>
      <right style="medium">
        <color rgb="FF1F3864"/>
      </right>
      <top/>
      <bottom style="medium">
        <color rgb="FF1F3864"/>
      </bottom>
      <diagonal/>
    </border>
    <border>
      <left/>
      <right/>
      <top style="medium">
        <color rgb="FF375623"/>
      </top>
      <bottom style="medium">
        <color rgb="FF375623"/>
      </bottom>
      <diagonal/>
    </border>
    <border>
      <left/>
      <right style="medium">
        <color rgb="FF375623"/>
      </right>
      <top style="medium">
        <color rgb="FF375623"/>
      </top>
      <bottom style="medium">
        <color rgb="FF375623"/>
      </bottom>
      <diagonal/>
    </border>
    <border>
      <left/>
      <right/>
      <top style="medium">
        <color rgb="FFED7D31"/>
      </top>
      <bottom style="medium">
        <color rgb="FFED7D31"/>
      </bottom>
      <diagonal/>
    </border>
    <border>
      <left/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/>
      <bottom/>
      <diagonal/>
    </border>
    <border>
      <left style="medium">
        <color rgb="FF1F6B75"/>
      </left>
      <right style="medium">
        <color rgb="FF1F6B75"/>
      </right>
      <top style="medium">
        <color rgb="FF1F6B75"/>
      </top>
      <bottom style="medium">
        <color rgb="FF1F6B75"/>
      </bottom>
      <diagonal/>
    </border>
    <border>
      <left/>
      <right/>
      <top style="medium">
        <color rgb="FF1F6B75"/>
      </top>
      <bottom/>
      <diagonal/>
    </border>
    <border>
      <left/>
      <right style="medium">
        <color rgb="FF1F6B75"/>
      </right>
      <top style="medium">
        <color rgb="FF1F6B75"/>
      </top>
      <bottom/>
      <diagonal/>
    </border>
    <border>
      <left style="medium">
        <color rgb="FF1F6B75"/>
      </left>
      <right/>
      <top/>
      <bottom style="medium">
        <color rgb="FF1F6B75"/>
      </bottom>
      <diagonal/>
    </border>
    <border>
      <left/>
      <right/>
      <top/>
      <bottom style="medium">
        <color rgb="FF1F6B75"/>
      </bottom>
      <diagonal/>
    </border>
    <border>
      <left/>
      <right style="medium">
        <color rgb="FF1F6B75"/>
      </right>
      <top/>
      <bottom style="medium">
        <color rgb="FF1F6B75"/>
      </bottom>
      <diagonal/>
    </border>
    <border>
      <left/>
      <right/>
      <top style="medium">
        <color rgb="FF1F6B75"/>
      </top>
      <bottom style="medium">
        <color rgb="FF1F6B75"/>
      </bottom>
      <diagonal/>
    </border>
    <border>
      <left/>
      <right style="medium">
        <color rgb="FF1F6B75"/>
      </right>
      <top style="medium">
        <color rgb="FF1F6B75"/>
      </top>
      <bottom style="medium">
        <color rgb="FF1F6B75"/>
      </bottom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45">
    <xf numFmtId="0" fontId="0" fillId="0" borderId="0" xfId="0"/>
    <xf numFmtId="0" fontId="3" fillId="3" borderId="1" xfId="0" applyFont="1" applyFill="1" applyBorder="1" applyAlignment="1">
      <alignment horizontal="left" vertical="center" indent="1"/>
    </xf>
    <xf numFmtId="0" fontId="3" fillId="5" borderId="1" xfId="0" applyFont="1" applyFill="1" applyBorder="1" applyAlignment="1">
      <alignment horizontal="left" vertical="center" indent="1"/>
    </xf>
    <xf numFmtId="0" fontId="3" fillId="7" borderId="1" xfId="0" applyFont="1" applyFill="1" applyBorder="1" applyAlignment="1">
      <alignment horizontal="left" vertical="center" indent="1"/>
    </xf>
    <xf numFmtId="164" fontId="7" fillId="8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164" fontId="19" fillId="4" borderId="1" xfId="0" applyNumberFormat="1" applyFont="1" applyFill="1" applyBorder="1" applyAlignment="1">
      <alignment horizontal="right" vertical="center"/>
    </xf>
    <xf numFmtId="164" fontId="20" fillId="4" borderId="1" xfId="0" applyNumberFormat="1" applyFont="1" applyFill="1" applyBorder="1" applyAlignment="1">
      <alignment horizontal="right" vertical="center"/>
    </xf>
    <xf numFmtId="164" fontId="21" fillId="4" borderId="1" xfId="0" applyNumberFormat="1" applyFont="1" applyFill="1" applyBorder="1" applyAlignment="1">
      <alignment horizontal="right" vertical="center"/>
    </xf>
    <xf numFmtId="0" fontId="18" fillId="14" borderId="1" xfId="0" applyFont="1" applyFill="1" applyBorder="1" applyAlignment="1">
      <alignment horizontal="center" vertical="center"/>
    </xf>
    <xf numFmtId="164" fontId="19" fillId="14" borderId="1" xfId="0" applyNumberFormat="1" applyFont="1" applyFill="1" applyBorder="1" applyAlignment="1">
      <alignment horizontal="right" vertical="center"/>
    </xf>
    <xf numFmtId="164" fontId="20" fillId="14" borderId="1" xfId="0" applyNumberFormat="1" applyFont="1" applyFill="1" applyBorder="1" applyAlignment="1">
      <alignment horizontal="right" vertical="center"/>
    </xf>
    <xf numFmtId="164" fontId="21" fillId="14" borderId="1" xfId="0" applyNumberFormat="1" applyFont="1" applyFill="1" applyBorder="1" applyAlignment="1">
      <alignment horizontal="right" vertical="center"/>
    </xf>
    <xf numFmtId="0" fontId="18" fillId="6" borderId="1" xfId="0" applyFont="1" applyFill="1" applyBorder="1" applyAlignment="1">
      <alignment horizontal="center" vertical="center"/>
    </xf>
    <xf numFmtId="164" fontId="19" fillId="6" borderId="1" xfId="0" applyNumberFormat="1" applyFont="1" applyFill="1" applyBorder="1" applyAlignment="1">
      <alignment horizontal="right" vertical="center"/>
    </xf>
    <xf numFmtId="164" fontId="20" fillId="6" borderId="1" xfId="0" applyNumberFormat="1" applyFont="1" applyFill="1" applyBorder="1" applyAlignment="1">
      <alignment horizontal="right" vertical="center"/>
    </xf>
    <xf numFmtId="164" fontId="21" fillId="6" borderId="1" xfId="0" applyNumberFormat="1" applyFont="1" applyFill="1" applyBorder="1" applyAlignment="1">
      <alignment horizontal="right" vertical="center"/>
    </xf>
    <xf numFmtId="0" fontId="18" fillId="15" borderId="1" xfId="0" applyFont="1" applyFill="1" applyBorder="1" applyAlignment="1">
      <alignment horizontal="center" vertical="center"/>
    </xf>
    <xf numFmtId="164" fontId="19" fillId="15" borderId="1" xfId="0" applyNumberFormat="1" applyFont="1" applyFill="1" applyBorder="1" applyAlignment="1">
      <alignment horizontal="right" vertical="center"/>
    </xf>
    <xf numFmtId="164" fontId="20" fillId="15" borderId="1" xfId="0" applyNumberFormat="1" applyFont="1" applyFill="1" applyBorder="1" applyAlignment="1">
      <alignment horizontal="right" vertical="center"/>
    </xf>
    <xf numFmtId="164" fontId="21" fillId="15" borderId="1" xfId="0" applyNumberFormat="1" applyFont="1" applyFill="1" applyBorder="1" applyAlignment="1">
      <alignment horizontal="right" vertical="center"/>
    </xf>
    <xf numFmtId="0" fontId="18" fillId="16" borderId="1" xfId="0" applyFont="1" applyFill="1" applyBorder="1" applyAlignment="1">
      <alignment horizontal="center" vertical="center"/>
    </xf>
    <xf numFmtId="164" fontId="19" fillId="16" borderId="1" xfId="0" applyNumberFormat="1" applyFont="1" applyFill="1" applyBorder="1" applyAlignment="1">
      <alignment horizontal="right" vertical="center"/>
    </xf>
    <xf numFmtId="164" fontId="20" fillId="16" borderId="1" xfId="0" applyNumberFormat="1" applyFont="1" applyFill="1" applyBorder="1" applyAlignment="1">
      <alignment horizontal="right" vertical="center"/>
    </xf>
    <xf numFmtId="164" fontId="21" fillId="16" borderId="1" xfId="0" applyNumberFormat="1" applyFont="1" applyFill="1" applyBorder="1" applyAlignment="1">
      <alignment horizontal="right" vertical="center"/>
    </xf>
    <xf numFmtId="0" fontId="18" fillId="17" borderId="1" xfId="0" applyFont="1" applyFill="1" applyBorder="1" applyAlignment="1">
      <alignment horizontal="center" vertical="center"/>
    </xf>
    <xf numFmtId="164" fontId="19" fillId="17" borderId="1" xfId="0" applyNumberFormat="1" applyFont="1" applyFill="1" applyBorder="1" applyAlignment="1">
      <alignment horizontal="right" vertical="center"/>
    </xf>
    <xf numFmtId="164" fontId="20" fillId="17" borderId="1" xfId="0" applyNumberFormat="1" applyFont="1" applyFill="1" applyBorder="1" applyAlignment="1">
      <alignment horizontal="right" vertical="center"/>
    </xf>
    <xf numFmtId="164" fontId="21" fillId="17" borderId="1" xfId="0" applyNumberFormat="1" applyFont="1" applyFill="1" applyBorder="1" applyAlignment="1">
      <alignment horizontal="right" vertical="center"/>
    </xf>
    <xf numFmtId="0" fontId="18" fillId="10" borderId="1" xfId="0" applyFont="1" applyFill="1" applyBorder="1" applyAlignment="1">
      <alignment horizontal="center" vertical="center"/>
    </xf>
    <xf numFmtId="164" fontId="19" fillId="10" borderId="1" xfId="0" applyNumberFormat="1" applyFont="1" applyFill="1" applyBorder="1" applyAlignment="1">
      <alignment horizontal="right" vertical="center"/>
    </xf>
    <xf numFmtId="164" fontId="20" fillId="10" borderId="1" xfId="0" applyNumberFormat="1" applyFont="1" applyFill="1" applyBorder="1" applyAlignment="1">
      <alignment horizontal="right" vertical="center"/>
    </xf>
    <xf numFmtId="164" fontId="21" fillId="10" borderId="1" xfId="0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right" vertical="center" wrapText="1"/>
    </xf>
    <xf numFmtId="0" fontId="23" fillId="5" borderId="1" xfId="0" applyFont="1" applyFill="1" applyBorder="1" applyAlignment="1">
      <alignment horizontal="right" vertical="center" wrapText="1"/>
    </xf>
    <xf numFmtId="0" fontId="23" fillId="9" borderId="1" xfId="0" applyFont="1" applyFill="1" applyBorder="1" applyAlignment="1">
      <alignment horizontal="right" vertical="center" wrapText="1"/>
    </xf>
    <xf numFmtId="0" fontId="23" fillId="7" borderId="1" xfId="0" applyFont="1" applyFill="1" applyBorder="1" applyAlignment="1">
      <alignment horizontal="right" vertical="center" wrapText="1"/>
    </xf>
    <xf numFmtId="0" fontId="23" fillId="18" borderId="1" xfId="0" applyFont="1" applyFill="1" applyBorder="1" applyAlignment="1">
      <alignment horizontal="left" vertical="center" wrapText="1"/>
    </xf>
    <xf numFmtId="0" fontId="23" fillId="19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14" fontId="18" fillId="4" borderId="1" xfId="0" applyNumberFormat="1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4" fontId="24" fillId="6" borderId="1" xfId="0" applyNumberFormat="1" applyFont="1" applyFill="1" applyBorder="1" applyAlignment="1">
      <alignment horizontal="right" vertical="center"/>
    </xf>
    <xf numFmtId="164" fontId="20" fillId="11" borderId="1" xfId="0" applyNumberFormat="1" applyFont="1" applyFill="1" applyBorder="1" applyAlignment="1">
      <alignment horizontal="right" vertical="center"/>
    </xf>
    <xf numFmtId="0" fontId="25" fillId="15" borderId="1" xfId="0" applyFont="1" applyFill="1" applyBorder="1" applyAlignment="1">
      <alignment horizontal="left" vertical="center"/>
    </xf>
    <xf numFmtId="164" fontId="20" fillId="20" borderId="1" xfId="0" applyNumberFormat="1" applyFont="1" applyFill="1" applyBorder="1" applyAlignment="1">
      <alignment horizontal="right" vertical="center"/>
    </xf>
    <xf numFmtId="164" fontId="26" fillId="6" borderId="1" xfId="0" applyNumberFormat="1" applyFont="1" applyFill="1" applyBorder="1" applyAlignment="1">
      <alignment horizontal="right" vertical="center"/>
    </xf>
    <xf numFmtId="0" fontId="27" fillId="4" borderId="1" xfId="0" applyFont="1" applyFill="1" applyBorder="1" applyAlignment="1">
      <alignment horizontal="left" vertical="center"/>
    </xf>
    <xf numFmtId="0" fontId="17" fillId="14" borderId="1" xfId="0" applyFont="1" applyFill="1" applyBorder="1" applyAlignment="1">
      <alignment horizontal="center" vertical="center"/>
    </xf>
    <xf numFmtId="14" fontId="18" fillId="14" borderId="1" xfId="0" applyNumberFormat="1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27" fillId="14" borderId="1" xfId="0" applyFont="1" applyFill="1" applyBorder="1" applyAlignment="1">
      <alignment horizontal="left" vertical="center"/>
    </xf>
    <xf numFmtId="0" fontId="17" fillId="6" borderId="1" xfId="0" applyFont="1" applyFill="1" applyBorder="1" applyAlignment="1">
      <alignment horizontal="center" vertical="center"/>
    </xf>
    <xf numFmtId="14" fontId="18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7" fillId="6" borderId="1" xfId="0" applyFont="1" applyFill="1" applyBorder="1" applyAlignment="1">
      <alignment horizontal="left" vertical="center"/>
    </xf>
    <xf numFmtId="0" fontId="17" fillId="15" borderId="1" xfId="0" applyFont="1" applyFill="1" applyBorder="1" applyAlignment="1">
      <alignment horizontal="center" vertical="center"/>
    </xf>
    <xf numFmtId="14" fontId="18" fillId="15" borderId="1" xfId="0" applyNumberFormat="1" applyFont="1" applyFill="1" applyBorder="1" applyAlignment="1">
      <alignment horizontal="center" vertical="center"/>
    </xf>
    <xf numFmtId="0" fontId="19" fillId="15" borderId="1" xfId="0" applyFont="1" applyFill="1" applyBorder="1" applyAlignment="1">
      <alignment horizontal="center" vertical="center"/>
    </xf>
    <xf numFmtId="0" fontId="16" fillId="15" borderId="1" xfId="0" applyFont="1" applyFill="1" applyBorder="1" applyAlignment="1">
      <alignment horizontal="center" vertical="center"/>
    </xf>
    <xf numFmtId="0" fontId="27" fillId="15" borderId="1" xfId="0" applyFont="1" applyFill="1" applyBorder="1" applyAlignment="1">
      <alignment horizontal="left" vertical="center"/>
    </xf>
    <xf numFmtId="0" fontId="17" fillId="16" borderId="1" xfId="0" applyFont="1" applyFill="1" applyBorder="1" applyAlignment="1">
      <alignment horizontal="center" vertical="center"/>
    </xf>
    <xf numFmtId="14" fontId="18" fillId="16" borderId="1" xfId="0" applyNumberFormat="1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/>
    </xf>
    <xf numFmtId="0" fontId="27" fillId="16" borderId="1" xfId="0" applyFont="1" applyFill="1" applyBorder="1" applyAlignment="1">
      <alignment horizontal="left" vertical="center"/>
    </xf>
    <xf numFmtId="0" fontId="17" fillId="17" borderId="1" xfId="0" applyFont="1" applyFill="1" applyBorder="1" applyAlignment="1">
      <alignment horizontal="center" vertical="center"/>
    </xf>
    <xf numFmtId="14" fontId="18" fillId="17" borderId="1" xfId="0" applyNumberFormat="1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27" fillId="17" borderId="1" xfId="0" applyFont="1" applyFill="1" applyBorder="1" applyAlignment="1">
      <alignment horizontal="left" vertical="center"/>
    </xf>
    <xf numFmtId="0" fontId="17" fillId="10" borderId="1" xfId="0" applyFont="1" applyFill="1" applyBorder="1" applyAlignment="1">
      <alignment horizontal="center" vertical="center"/>
    </xf>
    <xf numFmtId="14" fontId="18" fillId="10" borderId="1" xfId="0" applyNumberFormat="1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29" fillId="24" borderId="1" xfId="0" applyFont="1" applyFill="1" applyBorder="1" applyAlignment="1">
      <alignment horizontal="center" vertical="center"/>
    </xf>
    <xf numFmtId="14" fontId="29" fillId="24" borderId="1" xfId="0" applyNumberFormat="1" applyFont="1" applyFill="1" applyBorder="1" applyAlignment="1">
      <alignment horizontal="center" vertical="center"/>
    </xf>
    <xf numFmtId="14" fontId="29" fillId="24" borderId="1" xfId="0" applyNumberFormat="1" applyFont="1" applyFill="1" applyBorder="1" applyAlignment="1">
      <alignment horizontal="left" vertical="center"/>
    </xf>
    <xf numFmtId="0" fontId="29" fillId="24" borderId="1" xfId="0" applyFont="1" applyFill="1" applyBorder="1" applyAlignment="1">
      <alignment horizontal="left" vertical="center"/>
    </xf>
    <xf numFmtId="0" fontId="29" fillId="15" borderId="1" xfId="0" applyFont="1" applyFill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left" vertical="center"/>
    </xf>
    <xf numFmtId="0" fontId="29" fillId="15" borderId="1" xfId="0" applyFont="1" applyFill="1" applyBorder="1" applyAlignment="1">
      <alignment horizontal="left" vertical="center"/>
    </xf>
    <xf numFmtId="0" fontId="19" fillId="11" borderId="1" xfId="0" applyFont="1" applyFill="1" applyBorder="1" applyAlignment="1">
      <alignment horizontal="center" vertical="center"/>
    </xf>
    <xf numFmtId="14" fontId="19" fillId="11" borderId="1" xfId="0" applyNumberFormat="1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49" fontId="29" fillId="24" borderId="1" xfId="0" applyNumberFormat="1" applyFont="1" applyFill="1" applyBorder="1" applyAlignment="1">
      <alignment horizontal="center" vertical="center"/>
    </xf>
    <xf numFmtId="49" fontId="29" fillId="24" borderId="1" xfId="0" applyNumberFormat="1" applyFont="1" applyFill="1" applyBorder="1" applyAlignment="1">
      <alignment horizontal="left" vertical="center"/>
    </xf>
    <xf numFmtId="0" fontId="17" fillId="21" borderId="1" xfId="0" applyFont="1" applyFill="1" applyBorder="1" applyAlignment="1">
      <alignment horizontal="center" vertical="center"/>
    </xf>
    <xf numFmtId="14" fontId="29" fillId="21" borderId="1" xfId="0" applyNumberFormat="1" applyFont="1" applyFill="1" applyBorder="1" applyAlignment="1">
      <alignment horizontal="center" vertical="center"/>
    </xf>
    <xf numFmtId="49" fontId="29" fillId="21" borderId="1" xfId="0" applyNumberFormat="1" applyFont="1" applyFill="1" applyBorder="1" applyAlignment="1">
      <alignment horizontal="center" vertical="center"/>
    </xf>
    <xf numFmtId="49" fontId="29" fillId="21" borderId="1" xfId="0" applyNumberFormat="1" applyFont="1" applyFill="1" applyBorder="1" applyAlignment="1">
      <alignment horizontal="left" vertical="center"/>
    </xf>
    <xf numFmtId="0" fontId="40" fillId="25" borderId="29" xfId="0" applyFont="1" applyFill="1" applyBorder="1" applyAlignment="1">
      <alignment horizontal="center" vertical="center" wrapText="1"/>
    </xf>
    <xf numFmtId="0" fontId="40" fillId="34" borderId="29" xfId="0" applyFont="1" applyFill="1" applyBorder="1" applyAlignment="1">
      <alignment horizontal="center" vertical="center" wrapText="1"/>
    </xf>
    <xf numFmtId="0" fontId="40" fillId="35" borderId="29" xfId="0" applyFont="1" applyFill="1" applyBorder="1" applyAlignment="1">
      <alignment horizontal="center" vertical="center" wrapText="1"/>
    </xf>
    <xf numFmtId="0" fontId="40" fillId="32" borderId="29" xfId="0" applyFont="1" applyFill="1" applyBorder="1" applyAlignment="1">
      <alignment horizontal="center" vertical="center" wrapText="1"/>
    </xf>
    <xf numFmtId="0" fontId="40" fillId="31" borderId="29" xfId="0" applyFont="1" applyFill="1" applyBorder="1" applyAlignment="1">
      <alignment horizontal="center" vertical="center" wrapText="1"/>
    </xf>
    <xf numFmtId="0" fontId="40" fillId="30" borderId="29" xfId="0" applyFont="1" applyFill="1" applyBorder="1" applyAlignment="1">
      <alignment horizontal="center" vertical="center" wrapText="1"/>
    </xf>
    <xf numFmtId="0" fontId="40" fillId="26" borderId="29" xfId="0" applyFont="1" applyFill="1" applyBorder="1" applyAlignment="1">
      <alignment horizontal="center" vertical="center" wrapText="1"/>
    </xf>
    <xf numFmtId="0" fontId="32" fillId="36" borderId="29" xfId="0" applyFont="1" applyFill="1" applyBorder="1" applyAlignment="1">
      <alignment horizontal="center" vertical="center"/>
    </xf>
    <xf numFmtId="14" fontId="35" fillId="36" borderId="29" xfId="0" applyNumberFormat="1" applyFont="1" applyFill="1" applyBorder="1" applyAlignment="1">
      <alignment horizontal="center" vertical="center"/>
    </xf>
    <xf numFmtId="0" fontId="41" fillId="36" borderId="29" xfId="0" applyFont="1" applyFill="1" applyBorder="1" applyAlignment="1">
      <alignment horizontal="center" vertical="center"/>
    </xf>
    <xf numFmtId="0" fontId="42" fillId="36" borderId="29" xfId="0" applyFont="1" applyFill="1" applyBorder="1" applyAlignment="1">
      <alignment horizontal="center" vertical="center"/>
    </xf>
    <xf numFmtId="164" fontId="43" fillId="33" borderId="29" xfId="0" applyNumberFormat="1" applyFont="1" applyFill="1" applyBorder="1" applyAlignment="1">
      <alignment horizontal="right" vertical="center"/>
    </xf>
    <xf numFmtId="164" fontId="44" fillId="27" borderId="29" xfId="0" applyNumberFormat="1" applyFont="1" applyFill="1" applyBorder="1" applyAlignment="1">
      <alignment horizontal="right" vertical="center"/>
    </xf>
    <xf numFmtId="164" fontId="45" fillId="40" borderId="29" xfId="0" applyNumberFormat="1" applyFont="1" applyFill="1" applyBorder="1" applyAlignment="1">
      <alignment horizontal="right" vertical="center"/>
    </xf>
    <xf numFmtId="164" fontId="46" fillId="41" borderId="29" xfId="0" applyNumberFormat="1" applyFont="1" applyFill="1" applyBorder="1" applyAlignment="1">
      <alignment horizontal="right" vertical="center"/>
    </xf>
    <xf numFmtId="165" fontId="47" fillId="42" borderId="29" xfId="0" applyNumberFormat="1" applyFont="1" applyFill="1" applyBorder="1" applyAlignment="1">
      <alignment horizontal="right" vertical="center"/>
    </xf>
    <xf numFmtId="0" fontId="36" fillId="36" borderId="29" xfId="0" applyFont="1" applyFill="1" applyBorder="1" applyAlignment="1">
      <alignment horizontal="left" vertical="center"/>
    </xf>
    <xf numFmtId="0" fontId="32" fillId="43" borderId="29" xfId="0" applyFont="1" applyFill="1" applyBorder="1" applyAlignment="1">
      <alignment horizontal="center" vertical="center"/>
    </xf>
    <xf numFmtId="14" fontId="35" fillId="43" borderId="29" xfId="0" applyNumberFormat="1" applyFont="1" applyFill="1" applyBorder="1" applyAlignment="1">
      <alignment horizontal="center" vertical="center"/>
    </xf>
    <xf numFmtId="0" fontId="41" fillId="43" borderId="29" xfId="0" applyFont="1" applyFill="1" applyBorder="1" applyAlignment="1">
      <alignment horizontal="center" vertical="center"/>
    </xf>
    <xf numFmtId="0" fontId="42" fillId="43" borderId="29" xfId="0" applyFont="1" applyFill="1" applyBorder="1" applyAlignment="1">
      <alignment horizontal="center" vertical="center"/>
    </xf>
    <xf numFmtId="0" fontId="36" fillId="43" borderId="29" xfId="0" applyFont="1" applyFill="1" applyBorder="1" applyAlignment="1">
      <alignment horizontal="left" vertical="center"/>
    </xf>
    <xf numFmtId="0" fontId="32" fillId="44" borderId="29" xfId="0" applyFont="1" applyFill="1" applyBorder="1" applyAlignment="1">
      <alignment horizontal="center" vertical="center"/>
    </xf>
    <xf numFmtId="14" fontId="35" fillId="44" borderId="29" xfId="0" applyNumberFormat="1" applyFont="1" applyFill="1" applyBorder="1" applyAlignment="1">
      <alignment horizontal="center" vertical="center"/>
    </xf>
    <xf numFmtId="0" fontId="41" fillId="44" borderId="29" xfId="0" applyFont="1" applyFill="1" applyBorder="1" applyAlignment="1">
      <alignment horizontal="center" vertical="center"/>
    </xf>
    <xf numFmtId="0" fontId="42" fillId="44" borderId="29" xfId="0" applyFont="1" applyFill="1" applyBorder="1" applyAlignment="1">
      <alignment horizontal="center" vertical="center"/>
    </xf>
    <xf numFmtId="0" fontId="36" fillId="44" borderId="29" xfId="0" applyFont="1" applyFill="1" applyBorder="1" applyAlignment="1">
      <alignment horizontal="left" vertical="center"/>
    </xf>
    <xf numFmtId="0" fontId="32" fillId="45" borderId="29" xfId="0" applyFont="1" applyFill="1" applyBorder="1" applyAlignment="1">
      <alignment horizontal="center" vertical="center"/>
    </xf>
    <xf numFmtId="14" fontId="35" fillId="45" borderId="29" xfId="0" applyNumberFormat="1" applyFont="1" applyFill="1" applyBorder="1" applyAlignment="1">
      <alignment horizontal="center" vertical="center"/>
    </xf>
    <xf numFmtId="0" fontId="41" fillId="45" borderId="29" xfId="0" applyFont="1" applyFill="1" applyBorder="1" applyAlignment="1">
      <alignment horizontal="center" vertical="center"/>
    </xf>
    <xf numFmtId="0" fontId="42" fillId="45" borderId="29" xfId="0" applyFont="1" applyFill="1" applyBorder="1" applyAlignment="1">
      <alignment horizontal="center" vertical="center"/>
    </xf>
    <xf numFmtId="0" fontId="36" fillId="45" borderId="29" xfId="0" applyFont="1" applyFill="1" applyBorder="1" applyAlignment="1">
      <alignment horizontal="left" vertical="center"/>
    </xf>
    <xf numFmtId="0" fontId="32" fillId="46" borderId="29" xfId="0" applyFont="1" applyFill="1" applyBorder="1" applyAlignment="1">
      <alignment horizontal="center" vertical="center"/>
    </xf>
    <xf numFmtId="14" fontId="35" fillId="46" borderId="29" xfId="0" applyNumberFormat="1" applyFont="1" applyFill="1" applyBorder="1" applyAlignment="1">
      <alignment horizontal="center" vertical="center"/>
    </xf>
    <xf numFmtId="0" fontId="41" fillId="46" borderId="29" xfId="0" applyFont="1" applyFill="1" applyBorder="1" applyAlignment="1">
      <alignment horizontal="center" vertical="center"/>
    </xf>
    <xf numFmtId="0" fontId="42" fillId="46" borderId="29" xfId="0" applyFont="1" applyFill="1" applyBorder="1" applyAlignment="1">
      <alignment horizontal="center" vertical="center"/>
    </xf>
    <xf numFmtId="0" fontId="36" fillId="46" borderId="29" xfId="0" applyFont="1" applyFill="1" applyBorder="1" applyAlignment="1">
      <alignment horizontal="left" vertical="center"/>
    </xf>
    <xf numFmtId="0" fontId="32" fillId="47" borderId="29" xfId="0" applyFont="1" applyFill="1" applyBorder="1" applyAlignment="1">
      <alignment horizontal="center" vertical="center"/>
    </xf>
    <xf numFmtId="14" fontId="35" fillId="47" borderId="29" xfId="0" applyNumberFormat="1" applyFont="1" applyFill="1" applyBorder="1" applyAlignment="1">
      <alignment horizontal="center" vertical="center"/>
    </xf>
    <xf numFmtId="0" fontId="41" fillId="47" borderId="29" xfId="0" applyFont="1" applyFill="1" applyBorder="1" applyAlignment="1">
      <alignment horizontal="center" vertical="center"/>
    </xf>
    <xf numFmtId="0" fontId="42" fillId="47" borderId="29" xfId="0" applyFont="1" applyFill="1" applyBorder="1" applyAlignment="1">
      <alignment horizontal="center" vertical="center"/>
    </xf>
    <xf numFmtId="0" fontId="36" fillId="47" borderId="29" xfId="0" applyFont="1" applyFill="1" applyBorder="1" applyAlignment="1">
      <alignment horizontal="left" vertical="center"/>
    </xf>
    <xf numFmtId="0" fontId="32" fillId="48" borderId="29" xfId="0" applyFont="1" applyFill="1" applyBorder="1" applyAlignment="1">
      <alignment horizontal="center" vertical="center"/>
    </xf>
    <xf numFmtId="14" fontId="35" fillId="48" borderId="29" xfId="0" applyNumberFormat="1" applyFont="1" applyFill="1" applyBorder="1" applyAlignment="1">
      <alignment horizontal="center" vertical="center"/>
    </xf>
    <xf numFmtId="0" fontId="41" fillId="48" borderId="29" xfId="0" applyFont="1" applyFill="1" applyBorder="1" applyAlignment="1">
      <alignment horizontal="center" vertical="center"/>
    </xf>
    <xf numFmtId="0" fontId="42" fillId="48" borderId="29" xfId="0" applyFont="1" applyFill="1" applyBorder="1" applyAlignment="1">
      <alignment horizontal="center" vertical="center"/>
    </xf>
    <xf numFmtId="0" fontId="36" fillId="48" borderId="29" xfId="0" applyFont="1" applyFill="1" applyBorder="1" applyAlignment="1">
      <alignment horizontal="left" vertical="center"/>
    </xf>
    <xf numFmtId="0" fontId="32" fillId="49" borderId="29" xfId="0" applyFont="1" applyFill="1" applyBorder="1" applyAlignment="1">
      <alignment horizontal="center" vertical="center"/>
    </xf>
    <xf numFmtId="14" fontId="35" fillId="49" borderId="29" xfId="0" applyNumberFormat="1" applyFont="1" applyFill="1" applyBorder="1" applyAlignment="1">
      <alignment horizontal="center" vertical="center"/>
    </xf>
    <xf numFmtId="0" fontId="41" fillId="49" borderId="29" xfId="0" applyFont="1" applyFill="1" applyBorder="1" applyAlignment="1">
      <alignment horizontal="center" vertical="center"/>
    </xf>
    <xf numFmtId="0" fontId="42" fillId="49" borderId="29" xfId="0" applyFont="1" applyFill="1" applyBorder="1" applyAlignment="1">
      <alignment horizontal="center" vertical="center"/>
    </xf>
    <xf numFmtId="0" fontId="36" fillId="49" borderId="29" xfId="0" applyFont="1" applyFill="1" applyBorder="1" applyAlignment="1">
      <alignment horizontal="left" vertical="center"/>
    </xf>
    <xf numFmtId="0" fontId="32" fillId="50" borderId="29" xfId="0" applyFont="1" applyFill="1" applyBorder="1" applyAlignment="1">
      <alignment horizontal="center" vertical="center"/>
    </xf>
    <xf numFmtId="14" fontId="35" fillId="50" borderId="29" xfId="0" applyNumberFormat="1" applyFont="1" applyFill="1" applyBorder="1" applyAlignment="1">
      <alignment horizontal="center" vertical="center"/>
    </xf>
    <xf numFmtId="0" fontId="41" fillId="50" borderId="29" xfId="0" applyFont="1" applyFill="1" applyBorder="1" applyAlignment="1">
      <alignment horizontal="center" vertical="center"/>
    </xf>
    <xf numFmtId="0" fontId="42" fillId="50" borderId="29" xfId="0" applyFont="1" applyFill="1" applyBorder="1" applyAlignment="1">
      <alignment horizontal="center" vertical="center"/>
    </xf>
    <xf numFmtId="0" fontId="36" fillId="50" borderId="29" xfId="0" applyFont="1" applyFill="1" applyBorder="1" applyAlignment="1">
      <alignment horizontal="left" vertical="center"/>
    </xf>
    <xf numFmtId="0" fontId="32" fillId="51" borderId="29" xfId="0" applyFont="1" applyFill="1" applyBorder="1" applyAlignment="1">
      <alignment horizontal="center" vertical="center"/>
    </xf>
    <xf numFmtId="14" fontId="35" fillId="51" borderId="29" xfId="0" applyNumberFormat="1" applyFont="1" applyFill="1" applyBorder="1" applyAlignment="1">
      <alignment horizontal="center" vertical="center"/>
    </xf>
    <xf numFmtId="0" fontId="41" fillId="51" borderId="29" xfId="0" applyFont="1" applyFill="1" applyBorder="1" applyAlignment="1">
      <alignment horizontal="center" vertical="center"/>
    </xf>
    <xf numFmtId="0" fontId="42" fillId="51" borderId="29" xfId="0" applyFont="1" applyFill="1" applyBorder="1" applyAlignment="1">
      <alignment horizontal="center" vertical="center"/>
    </xf>
    <xf numFmtId="0" fontId="36" fillId="51" borderId="29" xfId="0" applyFont="1" applyFill="1" applyBorder="1" applyAlignment="1">
      <alignment horizontal="left" vertical="center"/>
    </xf>
    <xf numFmtId="0" fontId="32" fillId="52" borderId="29" xfId="0" applyFont="1" applyFill="1" applyBorder="1" applyAlignment="1">
      <alignment horizontal="center" vertical="center"/>
    </xf>
    <xf numFmtId="14" fontId="35" fillId="52" borderId="29" xfId="0" applyNumberFormat="1" applyFont="1" applyFill="1" applyBorder="1" applyAlignment="1">
      <alignment horizontal="center" vertical="center"/>
    </xf>
    <xf numFmtId="0" fontId="41" fillId="52" borderId="29" xfId="0" applyFont="1" applyFill="1" applyBorder="1" applyAlignment="1">
      <alignment horizontal="center" vertical="center"/>
    </xf>
    <xf numFmtId="0" fontId="42" fillId="52" borderId="29" xfId="0" applyFont="1" applyFill="1" applyBorder="1" applyAlignment="1">
      <alignment horizontal="center" vertical="center"/>
    </xf>
    <xf numFmtId="0" fontId="36" fillId="52" borderId="29" xfId="0" applyFont="1" applyFill="1" applyBorder="1" applyAlignment="1">
      <alignment horizontal="left" vertical="center"/>
    </xf>
    <xf numFmtId="0" fontId="32" fillId="53" borderId="29" xfId="0" applyFont="1" applyFill="1" applyBorder="1" applyAlignment="1">
      <alignment horizontal="center" vertical="center"/>
    </xf>
    <xf numFmtId="14" fontId="35" fillId="53" borderId="29" xfId="0" applyNumberFormat="1" applyFont="1" applyFill="1" applyBorder="1" applyAlignment="1">
      <alignment horizontal="center" vertical="center"/>
    </xf>
    <xf numFmtId="0" fontId="41" fillId="53" borderId="29" xfId="0" applyFont="1" applyFill="1" applyBorder="1" applyAlignment="1">
      <alignment horizontal="center" vertical="center"/>
    </xf>
    <xf numFmtId="0" fontId="42" fillId="53" borderId="29" xfId="0" applyFont="1" applyFill="1" applyBorder="1" applyAlignment="1">
      <alignment horizontal="center" vertical="center"/>
    </xf>
    <xf numFmtId="0" fontId="36" fillId="53" borderId="29" xfId="0" applyFont="1" applyFill="1" applyBorder="1" applyAlignment="1">
      <alignment horizontal="left" vertical="center"/>
    </xf>
    <xf numFmtId="164" fontId="37" fillId="25" borderId="29" xfId="0" applyNumberFormat="1" applyFont="1" applyFill="1" applyBorder="1" applyAlignment="1">
      <alignment horizontal="right" vertical="center"/>
    </xf>
    <xf numFmtId="165" fontId="37" fillId="25" borderId="29" xfId="0" applyNumberFormat="1" applyFont="1" applyFill="1" applyBorder="1" applyAlignment="1">
      <alignment horizontal="right" vertical="center"/>
    </xf>
    <xf numFmtId="165" fontId="34" fillId="54" borderId="32" xfId="0" applyNumberFormat="1" applyFont="1" applyFill="1" applyBorder="1" applyAlignment="1">
      <alignment horizontal="right" vertical="center"/>
    </xf>
    <xf numFmtId="0" fontId="40" fillId="55" borderId="29" xfId="0" applyFont="1" applyFill="1" applyBorder="1" applyAlignment="1">
      <alignment horizontal="center" vertical="center" wrapText="1"/>
    </xf>
    <xf numFmtId="164" fontId="48" fillId="56" borderId="29" xfId="0" applyNumberFormat="1" applyFont="1" applyFill="1" applyBorder="1" applyAlignment="1">
      <alignment horizontal="right" vertical="center"/>
    </xf>
    <xf numFmtId="165" fontId="47" fillId="57" borderId="29" xfId="0" applyNumberFormat="1" applyFont="1" applyFill="1" applyBorder="1" applyAlignment="1">
      <alignment horizontal="right" vertical="center"/>
    </xf>
    <xf numFmtId="165" fontId="49" fillId="58" borderId="28" xfId="0" applyNumberFormat="1" applyFont="1" applyFill="1" applyBorder="1" applyAlignment="1">
      <alignment horizontal="right" vertical="center"/>
    </xf>
    <xf numFmtId="164" fontId="48" fillId="59" borderId="29" xfId="0" applyNumberFormat="1" applyFont="1" applyFill="1" applyBorder="1" applyAlignment="1">
      <alignment horizontal="right" vertical="center"/>
    </xf>
    <xf numFmtId="165" fontId="47" fillId="53" borderId="29" xfId="0" applyNumberFormat="1" applyFont="1" applyFill="1" applyBorder="1" applyAlignment="1">
      <alignment horizontal="right" vertical="center"/>
    </xf>
    <xf numFmtId="165" fontId="49" fillId="60" borderId="28" xfId="0" applyNumberFormat="1" applyFont="1" applyFill="1" applyBorder="1" applyAlignment="1">
      <alignment horizontal="right" vertical="center"/>
    </xf>
    <xf numFmtId="164" fontId="50" fillId="56" borderId="29" xfId="0" applyNumberFormat="1" applyFont="1" applyFill="1" applyBorder="1" applyAlignment="1">
      <alignment horizontal="right" vertical="center"/>
    </xf>
    <xf numFmtId="165" fontId="38" fillId="28" borderId="29" xfId="0" applyNumberFormat="1" applyFont="1" applyFill="1" applyBorder="1" applyAlignment="1">
      <alignment horizontal="right" vertical="center"/>
    </xf>
    <xf numFmtId="165" fontId="50" fillId="56" borderId="29" xfId="0" applyNumberFormat="1" applyFont="1" applyFill="1" applyBorder="1" applyAlignment="1">
      <alignment horizontal="right" vertical="center"/>
    </xf>
    <xf numFmtId="0" fontId="4" fillId="4" borderId="1" xfId="0" applyFont="1" applyFill="1" applyBorder="1" applyAlignment="1" applyProtection="1">
      <alignment horizontal="left" vertical="center" indent="1"/>
      <protection locked="0"/>
    </xf>
    <xf numFmtId="164" fontId="5" fillId="6" borderId="1" xfId="0" applyNumberFormat="1" applyFont="1" applyFill="1" applyBorder="1" applyAlignment="1" applyProtection="1">
      <alignment horizontal="right" vertical="center"/>
      <protection locked="0"/>
    </xf>
    <xf numFmtId="0" fontId="6" fillId="8" borderId="1" xfId="0" applyFont="1" applyFill="1" applyBorder="1" applyAlignment="1" applyProtection="1">
      <alignment horizontal="left" vertical="center"/>
      <protection locked="0"/>
    </xf>
    <xf numFmtId="164" fontId="6" fillId="4" borderId="1" xfId="0" applyNumberFormat="1" applyFont="1" applyFill="1" applyBorder="1" applyAlignment="1" applyProtection="1">
      <alignment horizontal="right" vertical="center"/>
      <protection locked="0"/>
    </xf>
    <xf numFmtId="164" fontId="6" fillId="8" borderId="1" xfId="0" applyNumberFormat="1" applyFont="1" applyFill="1" applyBorder="1" applyAlignment="1" applyProtection="1">
      <alignment horizontal="right" vertical="center"/>
      <protection locked="0"/>
    </xf>
    <xf numFmtId="164" fontId="6" fillId="14" borderId="1" xfId="0" applyNumberFormat="1" applyFont="1" applyFill="1" applyBorder="1" applyAlignment="1" applyProtection="1">
      <alignment horizontal="right" vertical="center"/>
      <protection locked="0"/>
    </xf>
    <xf numFmtId="164" fontId="6" fillId="15" borderId="1" xfId="0" applyNumberFormat="1" applyFont="1" applyFill="1" applyBorder="1" applyAlignment="1" applyProtection="1">
      <alignment horizontal="right" vertical="center"/>
      <protection locked="0"/>
    </xf>
    <xf numFmtId="164" fontId="33" fillId="37" borderId="29" xfId="0" applyNumberFormat="1" applyFont="1" applyFill="1" applyBorder="1" applyAlignment="1" applyProtection="1">
      <alignment horizontal="right" vertical="center"/>
      <protection locked="0"/>
    </xf>
    <xf numFmtId="164" fontId="33" fillId="38" borderId="29" xfId="0" applyNumberFormat="1" applyFont="1" applyFill="1" applyBorder="1" applyAlignment="1" applyProtection="1">
      <alignment horizontal="right" vertical="center"/>
      <protection locked="0"/>
    </xf>
    <xf numFmtId="164" fontId="33" fillId="39" borderId="29" xfId="0" applyNumberFormat="1" applyFont="1" applyFill="1" applyBorder="1" applyAlignment="1" applyProtection="1">
      <alignment horizontal="right" vertical="center"/>
      <protection locked="0"/>
    </xf>
    <xf numFmtId="164" fontId="6" fillId="21" borderId="1" xfId="0" applyNumberFormat="1" applyFont="1" applyFill="1" applyBorder="1" applyAlignment="1" applyProtection="1">
      <alignment horizontal="right" vertical="center"/>
      <protection locked="0"/>
    </xf>
    <xf numFmtId="164" fontId="6" fillId="24" borderId="1" xfId="0" applyNumberFormat="1" applyFont="1" applyFill="1" applyBorder="1" applyAlignment="1" applyProtection="1">
      <alignment horizontal="right" vertical="center"/>
      <protection locked="0"/>
    </xf>
    <xf numFmtId="0" fontId="60" fillId="61" borderId="48" xfId="0" applyFont="1" applyFill="1" applyBorder="1" applyAlignment="1">
      <alignment horizontal="center" vertical="center" wrapText="1"/>
    </xf>
    <xf numFmtId="164" fontId="61" fillId="62" borderId="48" xfId="0" applyNumberFormat="1" applyFont="1" applyFill="1" applyBorder="1" applyAlignment="1">
      <alignment horizontal="right" vertical="center"/>
    </xf>
    <xf numFmtId="164" fontId="62" fillId="63" borderId="48" xfId="0" applyNumberFormat="1" applyFont="1" applyFill="1" applyBorder="1" applyAlignment="1">
      <alignment horizontal="right" vertical="center"/>
    </xf>
    <xf numFmtId="164" fontId="63" fillId="64" borderId="48" xfId="0" applyNumberFormat="1" applyFont="1" applyFill="1" applyBorder="1" applyAlignment="1" applyProtection="1">
      <alignment horizontal="right" vertical="center"/>
      <protection locked="0"/>
    </xf>
    <xf numFmtId="164" fontId="64" fillId="65" borderId="48" xfId="0" applyNumberFormat="1" applyFont="1" applyFill="1" applyBorder="1" applyAlignment="1">
      <alignment horizontal="right" vertical="center"/>
    </xf>
    <xf numFmtId="164" fontId="65" fillId="66" borderId="48" xfId="0" applyNumberFormat="1" applyFont="1" applyFill="1" applyBorder="1" applyAlignment="1">
      <alignment horizontal="right" vertical="center"/>
    </xf>
    <xf numFmtId="164" fontId="65" fillId="62" borderId="48" xfId="0" applyNumberFormat="1" applyFont="1" applyFill="1" applyBorder="1" applyAlignment="1">
      <alignment horizontal="right" vertical="center"/>
    </xf>
    <xf numFmtId="164" fontId="65" fillId="65" borderId="48" xfId="0" applyNumberFormat="1" applyFont="1" applyFill="1" applyBorder="1" applyAlignment="1">
      <alignment horizontal="right" vertical="center"/>
    </xf>
    <xf numFmtId="164" fontId="65" fillId="67" borderId="48" xfId="0" applyNumberFormat="1" applyFont="1" applyFill="1" applyBorder="1" applyAlignment="1">
      <alignment horizontal="right" vertical="center"/>
    </xf>
    <xf numFmtId="164" fontId="65" fillId="68" borderId="48" xfId="0" applyNumberFormat="1" applyFont="1" applyFill="1" applyBorder="1" applyAlignment="1">
      <alignment horizontal="right" vertical="center"/>
    </xf>
    <xf numFmtId="164" fontId="65" fillId="69" borderId="48" xfId="0" applyNumberFormat="1" applyFont="1" applyFill="1" applyBorder="1" applyAlignment="1">
      <alignment horizontal="right" vertical="center"/>
    </xf>
    <xf numFmtId="164" fontId="65" fillId="64" borderId="48" xfId="0" applyNumberFormat="1" applyFont="1" applyFill="1" applyBorder="1" applyAlignment="1">
      <alignment horizontal="right" vertical="center"/>
    </xf>
    <xf numFmtId="164" fontId="66" fillId="61" borderId="48" xfId="0" applyNumberFormat="1" applyFont="1" applyFill="1" applyBorder="1" applyAlignment="1">
      <alignment horizontal="right" vertical="center"/>
    </xf>
    <xf numFmtId="0" fontId="71" fillId="74" borderId="49" xfId="0" applyFont="1" applyFill="1" applyBorder="1" applyAlignment="1">
      <alignment horizontal="left" vertical="center" indent="2"/>
    </xf>
    <xf numFmtId="0" fontId="70" fillId="74" borderId="49" xfId="0" applyFont="1" applyFill="1" applyBorder="1" applyAlignment="1">
      <alignment horizontal="left" vertical="center" indent="2"/>
    </xf>
    <xf numFmtId="0" fontId="72" fillId="75" borderId="49" xfId="0" applyFont="1" applyFill="1" applyBorder="1" applyAlignment="1">
      <alignment horizontal="left" vertical="center" indent="2"/>
    </xf>
    <xf numFmtId="0" fontId="73" fillId="75" borderId="49" xfId="0" applyFont="1" applyFill="1" applyBorder="1" applyAlignment="1">
      <alignment horizontal="left" vertical="center" indent="2"/>
    </xf>
    <xf numFmtId="0" fontId="74" fillId="76" borderId="49" xfId="0" applyFont="1" applyFill="1" applyBorder="1" applyAlignment="1">
      <alignment horizontal="left" vertical="center" indent="2"/>
    </xf>
    <xf numFmtId="0" fontId="75" fillId="76" borderId="49" xfId="0" applyFont="1" applyFill="1" applyBorder="1" applyAlignment="1">
      <alignment horizontal="left" vertical="center" indent="2"/>
    </xf>
    <xf numFmtId="0" fontId="76" fillId="77" borderId="49" xfId="0" applyFont="1" applyFill="1" applyBorder="1" applyAlignment="1">
      <alignment horizontal="left" vertical="center" indent="2"/>
    </xf>
    <xf numFmtId="0" fontId="77" fillId="77" borderId="49" xfId="0" applyFont="1" applyFill="1" applyBorder="1" applyAlignment="1">
      <alignment horizontal="left" vertical="center" indent="2"/>
    </xf>
    <xf numFmtId="0" fontId="78" fillId="78" borderId="49" xfId="0" applyFont="1" applyFill="1" applyBorder="1" applyAlignment="1">
      <alignment horizontal="left" vertical="center" indent="2"/>
    </xf>
    <xf numFmtId="0" fontId="79" fillId="78" borderId="49" xfId="0" applyFont="1" applyFill="1" applyBorder="1" applyAlignment="1">
      <alignment horizontal="left" vertical="center" indent="2"/>
    </xf>
    <xf numFmtId="0" fontId="78" fillId="79" borderId="49" xfId="0" applyFont="1" applyFill="1" applyBorder="1" applyAlignment="1">
      <alignment horizontal="left" vertical="center" indent="2"/>
    </xf>
    <xf numFmtId="0" fontId="79" fillId="79" borderId="49" xfId="0" applyFont="1" applyFill="1" applyBorder="1" applyAlignment="1">
      <alignment horizontal="left" vertical="center" indent="2"/>
    </xf>
    <xf numFmtId="0" fontId="80" fillId="80" borderId="49" xfId="0" applyFont="1" applyFill="1" applyBorder="1" applyAlignment="1">
      <alignment horizontal="left" vertical="center" indent="2"/>
    </xf>
    <xf numFmtId="0" fontId="81" fillId="80" borderId="49" xfId="0" applyFont="1" applyFill="1" applyBorder="1" applyAlignment="1">
      <alignment horizontal="left" vertical="center" indent="2"/>
    </xf>
    <xf numFmtId="0" fontId="69" fillId="70" borderId="49" xfId="0" applyFont="1" applyFill="1" applyBorder="1" applyAlignment="1">
      <alignment horizontal="left" vertical="center" indent="2"/>
    </xf>
    <xf numFmtId="0" fontId="73" fillId="72" borderId="49" xfId="0" applyFont="1" applyFill="1" applyBorder="1" applyAlignment="1">
      <alignment horizontal="left" vertical="center" indent="2"/>
    </xf>
    <xf numFmtId="0" fontId="69" fillId="81" borderId="49" xfId="0" applyFont="1" applyFill="1" applyBorder="1" applyAlignment="1">
      <alignment horizontal="left" vertical="center" indent="2"/>
    </xf>
    <xf numFmtId="0" fontId="73" fillId="76" borderId="49" xfId="0" applyFont="1" applyFill="1" applyBorder="1" applyAlignment="1">
      <alignment horizontal="left" vertical="center" wrapText="1" indent="2"/>
    </xf>
    <xf numFmtId="0" fontId="78" fillId="79" borderId="49" xfId="0" applyFont="1" applyFill="1" applyBorder="1" applyAlignment="1">
      <alignment horizontal="left" vertical="center" wrapText="1" indent="2"/>
    </xf>
    <xf numFmtId="0" fontId="73" fillId="79" borderId="49" xfId="0" applyFont="1" applyFill="1" applyBorder="1" applyAlignment="1">
      <alignment horizontal="left" vertical="center" wrapText="1" indent="2"/>
    </xf>
    <xf numFmtId="0" fontId="69" fillId="83" borderId="49" xfId="0" applyFont="1" applyFill="1" applyBorder="1" applyAlignment="1">
      <alignment horizontal="left" vertical="center" indent="2"/>
    </xf>
    <xf numFmtId="0" fontId="73" fillId="84" borderId="49" xfId="0" applyFont="1" applyFill="1" applyBorder="1" applyAlignment="1">
      <alignment horizontal="left" vertical="center" wrapText="1" indent="2"/>
    </xf>
    <xf numFmtId="0" fontId="69" fillId="71" borderId="49" xfId="0" applyFont="1" applyFill="1" applyBorder="1" applyAlignment="1">
      <alignment horizontal="left" vertical="center" indent="2"/>
    </xf>
    <xf numFmtId="0" fontId="73" fillId="72" borderId="49" xfId="0" applyFont="1" applyFill="1" applyBorder="1" applyAlignment="1">
      <alignment horizontal="left" vertical="center" wrapText="1" indent="2"/>
    </xf>
    <xf numFmtId="0" fontId="67" fillId="70" borderId="49" xfId="0" applyFont="1" applyFill="1" applyBorder="1" applyAlignment="1">
      <alignment horizontal="center" vertical="center"/>
    </xf>
    <xf numFmtId="0" fontId="0" fillId="0" borderId="0" xfId="0"/>
    <xf numFmtId="0" fontId="69" fillId="70" borderId="49" xfId="0" applyFont="1" applyFill="1" applyBorder="1" applyAlignment="1">
      <alignment horizontal="left" vertical="center" indent="1"/>
    </xf>
    <xf numFmtId="0" fontId="69" fillId="82" borderId="49" xfId="0" applyFont="1" applyFill="1" applyBorder="1" applyAlignment="1">
      <alignment horizontal="left" vertical="center" indent="1"/>
    </xf>
    <xf numFmtId="0" fontId="69" fillId="71" borderId="49" xfId="0" applyFont="1" applyFill="1" applyBorder="1" applyAlignment="1">
      <alignment horizontal="left" vertical="center" indent="1"/>
    </xf>
    <xf numFmtId="0" fontId="68" fillId="71" borderId="49" xfId="0" applyFont="1" applyFill="1" applyBorder="1" applyAlignment="1">
      <alignment horizontal="center" vertical="center"/>
    </xf>
    <xf numFmtId="0" fontId="69" fillId="73" borderId="49" xfId="0" applyFont="1" applyFill="1" applyBorder="1" applyAlignment="1">
      <alignment horizontal="left" vertical="center" indent="1"/>
    </xf>
    <xf numFmtId="0" fontId="70" fillId="72" borderId="49" xfId="0" applyFont="1" applyFill="1" applyBorder="1" applyAlignment="1">
      <alignment horizontal="left" vertical="center" wrapText="1" indent="2"/>
    </xf>
    <xf numFmtId="0" fontId="69" fillId="83" borderId="49" xfId="0" applyFont="1" applyFill="1" applyBorder="1" applyAlignment="1">
      <alignment horizontal="left" vertical="center" indent="1"/>
    </xf>
    <xf numFmtId="0" fontId="69" fillId="81" borderId="49" xfId="0" applyFont="1" applyFill="1" applyBorder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8" fillId="10" borderId="48" xfId="0" applyFont="1" applyFill="1" applyBorder="1" applyAlignment="1">
      <alignment horizontal="left" vertical="center" indent="1"/>
    </xf>
    <xf numFmtId="0" fontId="0" fillId="0" borderId="4" xfId="0" applyBorder="1"/>
    <xf numFmtId="0" fontId="2" fillId="5" borderId="0" xfId="0" applyFont="1" applyFill="1" applyAlignment="1">
      <alignment horizontal="center" vertical="center"/>
    </xf>
    <xf numFmtId="0" fontId="9" fillId="11" borderId="48" xfId="0" applyFont="1" applyFill="1" applyBorder="1" applyAlignment="1">
      <alignment horizontal="left" vertical="center" indent="1"/>
    </xf>
    <xf numFmtId="0" fontId="2" fillId="7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64" fontId="13" fillId="4" borderId="28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5" borderId="2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165" fontId="53" fillId="56" borderId="33" xfId="0" applyNumberFormat="1" applyFont="1" applyFill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31" fillId="55" borderId="33" xfId="0" applyFont="1" applyFill="1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48" fillId="56" borderId="29" xfId="0" applyFont="1" applyFill="1" applyBorder="1" applyAlignment="1">
      <alignment horizontal="left" vertical="center" indent="1"/>
    </xf>
    <xf numFmtId="0" fontId="0" fillId="0" borderId="31" xfId="0" applyBorder="1"/>
    <xf numFmtId="0" fontId="0" fillId="0" borderId="30" xfId="0" applyBorder="1"/>
    <xf numFmtId="1" fontId="57" fillId="28" borderId="29" xfId="0" applyNumberFormat="1" applyFont="1" applyFill="1" applyBorder="1" applyAlignment="1">
      <alignment horizontal="center" vertical="center"/>
    </xf>
    <xf numFmtId="1" fontId="56" fillId="56" borderId="29" xfId="0" applyNumberFormat="1" applyFont="1" applyFill="1" applyBorder="1" applyAlignment="1">
      <alignment horizontal="center" vertical="center"/>
    </xf>
    <xf numFmtId="164" fontId="14" fillId="13" borderId="2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17" fillId="0" borderId="0" xfId="0" applyNumberFormat="1" applyFont="1"/>
    <xf numFmtId="0" fontId="59" fillId="29" borderId="29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165" fontId="55" fillId="27" borderId="28" xfId="0" applyNumberFormat="1" applyFont="1" applyFill="1" applyBorder="1" applyAlignment="1">
      <alignment horizontal="center" vertical="center"/>
    </xf>
    <xf numFmtId="0" fontId="16" fillId="0" borderId="0" xfId="0" applyFont="1"/>
    <xf numFmtId="0" fontId="51" fillId="55" borderId="0" xfId="0" applyFont="1" applyFill="1" applyAlignment="1">
      <alignment horizontal="center" vertical="center"/>
    </xf>
    <xf numFmtId="0" fontId="31" fillId="25" borderId="28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45" fillId="33" borderId="29" xfId="0" applyFont="1" applyFill="1" applyBorder="1" applyAlignment="1">
      <alignment horizontal="left" vertical="center" indent="1"/>
    </xf>
    <xf numFmtId="165" fontId="54" fillId="28" borderId="27" xfId="0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52" fillId="56" borderId="29" xfId="0" applyFont="1" applyFill="1" applyBorder="1" applyAlignment="1">
      <alignment horizontal="center" vertical="center" wrapText="1"/>
    </xf>
    <xf numFmtId="0" fontId="31" fillId="26" borderId="27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164" fontId="15" fillId="14" borderId="3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2" borderId="28" xfId="0" applyFont="1" applyFill="1" applyBorder="1" applyAlignment="1">
      <alignment horizontal="center" vertical="center"/>
    </xf>
    <xf numFmtId="0" fontId="47" fillId="28" borderId="29" xfId="0" applyFont="1" applyFill="1" applyBorder="1" applyAlignment="1">
      <alignment horizontal="left" vertical="center" indent="1"/>
    </xf>
    <xf numFmtId="1" fontId="58" fillId="33" borderId="29" xfId="0" applyNumberFormat="1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22" fillId="2" borderId="0" xfId="0" applyFont="1" applyFill="1" applyAlignment="1">
      <alignment horizontal="center" vertical="center"/>
    </xf>
    <xf numFmtId="0" fontId="23" fillId="5" borderId="48" xfId="0" applyFont="1" applyFill="1" applyBorder="1" applyAlignment="1">
      <alignment horizontal="center" vertical="center"/>
    </xf>
    <xf numFmtId="0" fontId="0" fillId="0" borderId="26" xfId="0" applyBorder="1"/>
    <xf numFmtId="0" fontId="23" fillId="9" borderId="48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2" borderId="48" xfId="0" applyFont="1" applyFill="1" applyBorder="1" applyAlignment="1">
      <alignment horizontal="center" vertical="center"/>
    </xf>
    <xf numFmtId="0" fontId="23" fillId="18" borderId="48" xfId="0" applyFont="1" applyFill="1" applyBorder="1" applyAlignment="1">
      <alignment horizontal="center" vertical="center"/>
    </xf>
    <xf numFmtId="0" fontId="23" fillId="19" borderId="48" xfId="0" applyFont="1" applyFill="1" applyBorder="1" applyAlignment="1">
      <alignment horizontal="center" vertical="center"/>
    </xf>
    <xf numFmtId="0" fontId="37" fillId="25" borderId="29" xfId="0" applyFont="1" applyFill="1" applyBorder="1" applyAlignment="1">
      <alignment horizontal="center" vertical="center"/>
    </xf>
    <xf numFmtId="0" fontId="31" fillId="34" borderId="29" xfId="0" applyFont="1" applyFill="1" applyBorder="1" applyAlignment="1">
      <alignment horizontal="center" vertical="center"/>
    </xf>
    <xf numFmtId="0" fontId="31" fillId="31" borderId="29" xfId="0" applyFont="1" applyFill="1" applyBorder="1" applyAlignment="1">
      <alignment horizontal="center" vertical="center"/>
    </xf>
    <xf numFmtId="0" fontId="31" fillId="30" borderId="29" xfId="0" applyFont="1" applyFill="1" applyBorder="1" applyAlignment="1">
      <alignment horizontal="center" vertical="center"/>
    </xf>
    <xf numFmtId="0" fontId="31" fillId="32" borderId="29" xfId="0" applyFont="1" applyFill="1" applyBorder="1" applyAlignment="1">
      <alignment horizontal="center" vertical="center"/>
    </xf>
    <xf numFmtId="0" fontId="31" fillId="55" borderId="29" xfId="0" applyFont="1" applyFill="1" applyBorder="1" applyAlignment="1">
      <alignment horizontal="center" vertical="center"/>
    </xf>
    <xf numFmtId="0" fontId="30" fillId="34" borderId="0" xfId="0" applyFont="1" applyFill="1" applyAlignment="1">
      <alignment horizontal="center" vertical="center"/>
    </xf>
    <xf numFmtId="0" fontId="31" fillId="25" borderId="29" xfId="0" applyFont="1" applyFill="1" applyBorder="1" applyAlignment="1">
      <alignment horizontal="center" vertical="center"/>
    </xf>
    <xf numFmtId="0" fontId="31" fillId="35" borderId="29" xfId="0" applyFont="1" applyFill="1" applyBorder="1" applyAlignment="1">
      <alignment horizontal="center" vertical="center"/>
    </xf>
    <xf numFmtId="0" fontId="31" fillId="26" borderId="29" xfId="0" applyFont="1" applyFill="1" applyBorder="1" applyAlignment="1">
      <alignment horizontal="center" vertical="center"/>
    </xf>
    <xf numFmtId="0" fontId="39" fillId="34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8" fillId="2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64" fontId="24" fillId="6" borderId="1" xfId="0" applyNumberFormat="1" applyFont="1" applyFill="1" applyBorder="1" applyAlignment="1" applyProtection="1">
      <alignment horizontal="right" vertical="center"/>
    </xf>
    <xf numFmtId="164" fontId="2" fillId="2" borderId="1" xfId="0" applyNumberFormat="1" applyFont="1" applyFill="1" applyBorder="1" applyAlignment="1" applyProtection="1">
      <alignment horizontal="right" vertical="center"/>
    </xf>
  </cellXfs>
  <cellStyles count="1">
    <cellStyle name="Normal" xfId="0" builtinId="0"/>
  </cellStyles>
  <dxfs count="5">
    <dxf>
      <font>
        <b/>
        <sz val="9"/>
        <color rgb="FFC00000"/>
        <name val="Arial"/>
      </font>
      <fill>
        <patternFill patternType="solid">
          <fgColor rgb="FFFFCCCC"/>
        </patternFill>
      </fill>
    </dxf>
    <dxf>
      <font>
        <b/>
        <sz val="9"/>
        <color rgb="FF1F6B75"/>
        <name val="Arial"/>
      </font>
      <fill>
        <patternFill patternType="solid">
          <fgColor rgb="FFD9EEF0"/>
        </patternFill>
      </fill>
    </dxf>
    <dxf>
      <font>
        <b/>
        <sz val="9"/>
        <color rgb="FFC00000"/>
        <name val="Arial"/>
      </font>
      <fill>
        <patternFill patternType="solid">
          <fgColor rgb="FFFFCCCC"/>
        </patternFill>
      </fill>
    </dxf>
    <dxf>
      <font>
        <b/>
        <sz val="9"/>
        <color rgb="FF276221"/>
        <name val="Arial"/>
      </font>
      <fill>
        <patternFill patternType="solid">
          <fgColor rgb="FFC6EFCE"/>
        </patternFill>
      </fill>
    </dxf>
    <dxf>
      <fill>
        <patternFill patternType="solid">
          <f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34925</xdr:colOff>
      <xdr:row>0</xdr:row>
      <xdr:rowOff>34925</xdr:rowOff>
    </xdr:from>
    <xdr:to>
      <xdr:col>15</xdr:col>
      <xdr:colOff>384175</xdr:colOff>
      <xdr:row>1</xdr:row>
      <xdr:rowOff>161925</xdr:rowOff>
    </xdr:to>
    <xdr:sp macro="[0]!RemiseAZeroNouvelExercice" textlink="">
      <xdr:nvSpPr>
        <xdr:cNvPr id="3" name="BTN_RESET_ANNEE">
          <a:extLst>
            <a:ext uri="{FF2B5EF4-FFF2-40B4-BE49-F238E27FC236}">
              <a16:creationId xmlns:a16="http://schemas.microsoft.com/office/drawing/2014/main" id="{48A865B1-20E7-487E-93F1-4A4D0DDB34CD}"/>
            </a:ext>
          </a:extLst>
        </xdr:cNvPr>
        <xdr:cNvSpPr/>
      </xdr:nvSpPr>
      <xdr:spPr>
        <a:xfrm>
          <a:off x="8569325" y="34925"/>
          <a:ext cx="2921000" cy="584200"/>
        </a:xfrm>
        <a:prstGeom prst="roundRect">
          <a:avLst/>
        </a:prstGeom>
        <a:solidFill>
          <a:srgbClr val="C00000"/>
        </a:solidFill>
        <a:ln w="25400" cap="flat" cmpd="sng" algn="ctr">
          <a:solidFill>
            <a:srgbClr val="7F0000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cs typeface="Arial"/>
            </a:rPr>
            <a:t>↻ REMISE À ZÉRO
NOUVEL EXERCICE</a:t>
          </a:r>
        </a:p>
      </xdr:txBody>
    </xdr:sp>
    <xdr:clientData/>
  </xdr:twoCellAnchor>
  <xdr:twoCellAnchor>
    <xdr:from>
      <xdr:col>10</xdr:col>
      <xdr:colOff>92075</xdr:colOff>
      <xdr:row>1</xdr:row>
      <xdr:rowOff>254000</xdr:rowOff>
    </xdr:from>
    <xdr:to>
      <xdr:col>15</xdr:col>
      <xdr:colOff>441325</xdr:colOff>
      <xdr:row>5</xdr:row>
      <xdr:rowOff>323850</xdr:rowOff>
    </xdr:to>
    <xdr:sp macro="" textlink="">
      <xdr:nvSpPr>
        <xdr:cNvPr id="4" name="WARN_RESET">
          <a:extLst>
            <a:ext uri="{FF2B5EF4-FFF2-40B4-BE49-F238E27FC236}">
              <a16:creationId xmlns:a16="http://schemas.microsoft.com/office/drawing/2014/main" id="{2AA40551-20A7-4850-9694-BDF7CC0E95FC}"/>
            </a:ext>
          </a:extLst>
        </xdr:cNvPr>
        <xdr:cNvSpPr/>
      </xdr:nvSpPr>
      <xdr:spPr>
        <a:xfrm>
          <a:off x="8626475" y="711200"/>
          <a:ext cx="2921000" cy="889000"/>
        </a:xfrm>
        <a:prstGeom prst="rect">
          <a:avLst/>
        </a:prstGeom>
        <a:solidFill>
          <a:srgbClr val="FFF2CC"/>
        </a:solidFill>
        <a:ln w="25400" cap="flat" cmpd="sng" algn="ctr">
          <a:solidFill>
            <a:srgbClr val="C00000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rgbClr val="7F0000"/>
              </a:solidFill>
              <a:effectLst/>
              <a:uLnTx/>
              <a:uFillTx/>
              <a:latin typeface="Arial"/>
              <a:cs typeface="Arial"/>
            </a:rPr>
            <a:t>⚠ ATTENTION : efface TOUTES les saisies de l'exercice (recettes, dépenses, billetage, dates) et reporte le solde de clôture en ouverture. Action IRRÉVERSIBLE — sauvegardez l'ancien fichier avant.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1B7446-D439-41EB-BCB9-337269EF48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e0eef9a-1467-460f-81e0-b4d66874b4b2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7375E"/>
  </sheetPr>
  <dimension ref="B1:C69"/>
  <sheetViews>
    <sheetView showGridLines="0" topLeftCell="A62" zoomScale="110" zoomScaleNormal="110" workbookViewId="0">
      <selection activeCell="C43" sqref="C43"/>
    </sheetView>
  </sheetViews>
  <sheetFormatPr baseColWidth="10" defaultColWidth="9.140625" defaultRowHeight="15" x14ac:dyDescent="0.25"/>
  <cols>
    <col min="1" max="1" width="2" customWidth="1"/>
    <col min="2" max="2" width="30" customWidth="1"/>
    <col min="3" max="3" width="97.5703125" customWidth="1"/>
    <col min="4" max="4" width="2" customWidth="1"/>
  </cols>
  <sheetData>
    <row r="1" spans="2:3" ht="36" customHeight="1" x14ac:dyDescent="0.25">
      <c r="B1" s="236" t="s">
        <v>0</v>
      </c>
      <c r="C1" s="237"/>
    </row>
    <row r="2" spans="2:3" ht="18" customHeight="1" x14ac:dyDescent="0.25">
      <c r="B2" s="241" t="s">
        <v>1</v>
      </c>
      <c r="C2" s="237"/>
    </row>
    <row r="3" spans="2:3" ht="6" customHeight="1" x14ac:dyDescent="0.25"/>
    <row r="4" spans="2:3" ht="18" customHeight="1" x14ac:dyDescent="0.25">
      <c r="B4" s="238" t="s">
        <v>2</v>
      </c>
      <c r="C4" s="237"/>
    </row>
    <row r="5" spans="2:3" ht="39.950000000000003" customHeight="1" x14ac:dyDescent="0.25">
      <c r="B5" s="243" t="s">
        <v>3</v>
      </c>
      <c r="C5" s="237"/>
    </row>
    <row r="6" spans="2:3" ht="6" customHeight="1" x14ac:dyDescent="0.25"/>
    <row r="7" spans="2:3" ht="18" customHeight="1" x14ac:dyDescent="0.25">
      <c r="B7" s="242" t="s">
        <v>4</v>
      </c>
      <c r="C7" s="237"/>
    </row>
    <row r="8" spans="2:3" ht="15.95" customHeight="1" x14ac:dyDescent="0.25">
      <c r="B8" s="212" t="s">
        <v>5</v>
      </c>
      <c r="C8" s="213" t="s">
        <v>6</v>
      </c>
    </row>
    <row r="9" spans="2:3" ht="15.95" customHeight="1" x14ac:dyDescent="0.25">
      <c r="B9" s="214" t="s">
        <v>7</v>
      </c>
      <c r="C9" s="215" t="s">
        <v>8</v>
      </c>
    </row>
    <row r="10" spans="2:3" ht="15.95" customHeight="1" x14ac:dyDescent="0.25">
      <c r="B10" s="216" t="s">
        <v>9</v>
      </c>
      <c r="C10" s="217" t="s">
        <v>10</v>
      </c>
    </row>
    <row r="11" spans="2:3" ht="15.95" customHeight="1" x14ac:dyDescent="0.25">
      <c r="B11" s="218" t="s">
        <v>11</v>
      </c>
      <c r="C11" s="219" t="s">
        <v>12</v>
      </c>
    </row>
    <row r="12" spans="2:3" ht="15.95" customHeight="1" x14ac:dyDescent="0.25">
      <c r="B12" s="220" t="s">
        <v>13</v>
      </c>
      <c r="C12" s="221" t="s">
        <v>14</v>
      </c>
    </row>
    <row r="13" spans="2:3" ht="15.95" customHeight="1" x14ac:dyDescent="0.25">
      <c r="B13" s="222" t="s">
        <v>15</v>
      </c>
      <c r="C13" s="223" t="s">
        <v>16</v>
      </c>
    </row>
    <row r="14" spans="2:3" ht="15.95" customHeight="1" x14ac:dyDescent="0.25">
      <c r="B14" s="216" t="s">
        <v>17</v>
      </c>
      <c r="C14" s="217" t="s">
        <v>18</v>
      </c>
    </row>
    <row r="15" spans="2:3" ht="15.95" customHeight="1" x14ac:dyDescent="0.25">
      <c r="B15" s="224" t="s">
        <v>19</v>
      </c>
      <c r="C15" s="225" t="s">
        <v>20</v>
      </c>
    </row>
    <row r="16" spans="2:3" ht="6" customHeight="1" x14ac:dyDescent="0.25"/>
    <row r="17" spans="2:3" ht="18" customHeight="1" x14ac:dyDescent="0.25">
      <c r="B17" s="242" t="s">
        <v>21</v>
      </c>
      <c r="C17" s="237"/>
    </row>
    <row r="18" spans="2:3" ht="35.1" customHeight="1" x14ac:dyDescent="0.25">
      <c r="B18" s="226" t="s">
        <v>22</v>
      </c>
      <c r="C18" s="227" t="s">
        <v>23</v>
      </c>
    </row>
    <row r="19" spans="2:3" ht="35.1" customHeight="1" x14ac:dyDescent="0.25">
      <c r="B19" s="226" t="s">
        <v>24</v>
      </c>
      <c r="C19" s="227" t="s">
        <v>25</v>
      </c>
    </row>
    <row r="20" spans="2:3" ht="35.1" customHeight="1" x14ac:dyDescent="0.25">
      <c r="B20" s="226" t="s">
        <v>26</v>
      </c>
      <c r="C20" s="227" t="s">
        <v>27</v>
      </c>
    </row>
    <row r="21" spans="2:3" ht="35.1" customHeight="1" x14ac:dyDescent="0.25">
      <c r="B21" s="226" t="s">
        <v>28</v>
      </c>
      <c r="C21" s="227" t="s">
        <v>29</v>
      </c>
    </row>
    <row r="22" spans="2:3" ht="35.1" customHeight="1" x14ac:dyDescent="0.25">
      <c r="B22" s="226" t="s">
        <v>30</v>
      </c>
      <c r="C22" s="227" t="s">
        <v>31</v>
      </c>
    </row>
    <row r="23" spans="2:3" ht="35.1" customHeight="1" x14ac:dyDescent="0.25">
      <c r="B23" s="226" t="s">
        <v>32</v>
      </c>
      <c r="C23" s="227" t="s">
        <v>33</v>
      </c>
    </row>
    <row r="24" spans="2:3" ht="35.1" customHeight="1" x14ac:dyDescent="0.25">
      <c r="B24" s="226" t="s">
        <v>34</v>
      </c>
      <c r="C24" s="227" t="s">
        <v>35</v>
      </c>
    </row>
    <row r="25" spans="2:3" ht="35.1" customHeight="1" x14ac:dyDescent="0.25">
      <c r="B25" s="226" t="s">
        <v>36</v>
      </c>
      <c r="C25" s="227" t="s">
        <v>37</v>
      </c>
    </row>
    <row r="26" spans="2:3" ht="6" customHeight="1" x14ac:dyDescent="0.25"/>
    <row r="27" spans="2:3" ht="18" customHeight="1" x14ac:dyDescent="0.25">
      <c r="B27" s="245" t="s">
        <v>38</v>
      </c>
      <c r="C27" s="237"/>
    </row>
    <row r="28" spans="2:3" ht="35.1" customHeight="1" x14ac:dyDescent="0.25">
      <c r="B28" s="228" t="s">
        <v>39</v>
      </c>
      <c r="C28" s="229" t="s">
        <v>40</v>
      </c>
    </row>
    <row r="29" spans="2:3" ht="35.1" customHeight="1" x14ac:dyDescent="0.25">
      <c r="B29" s="228" t="s">
        <v>41</v>
      </c>
      <c r="C29" s="229" t="s">
        <v>42</v>
      </c>
    </row>
    <row r="30" spans="2:3" ht="35.1" customHeight="1" x14ac:dyDescent="0.25">
      <c r="B30" s="228" t="s">
        <v>43</v>
      </c>
      <c r="C30" s="229" t="s">
        <v>44</v>
      </c>
    </row>
    <row r="31" spans="2:3" ht="35.1" customHeight="1" x14ac:dyDescent="0.25">
      <c r="B31" s="228" t="s">
        <v>45</v>
      </c>
      <c r="C31" s="229" t="s">
        <v>46</v>
      </c>
    </row>
    <row r="32" spans="2:3" ht="35.1" customHeight="1" x14ac:dyDescent="0.25">
      <c r="B32" s="228" t="s">
        <v>47</v>
      </c>
      <c r="C32" s="229" t="s">
        <v>48</v>
      </c>
    </row>
    <row r="33" spans="2:3" ht="35.1" customHeight="1" x14ac:dyDescent="0.25">
      <c r="B33" s="228" t="s">
        <v>49</v>
      </c>
      <c r="C33" s="229" t="s">
        <v>50</v>
      </c>
    </row>
    <row r="34" spans="2:3" ht="35.1" customHeight="1" x14ac:dyDescent="0.25">
      <c r="B34" s="228" t="s">
        <v>51</v>
      </c>
      <c r="C34" s="229" t="s">
        <v>52</v>
      </c>
    </row>
    <row r="35" spans="2:3" ht="35.1" customHeight="1" x14ac:dyDescent="0.25">
      <c r="B35" s="228" t="s">
        <v>53</v>
      </c>
      <c r="C35" s="229" t="s">
        <v>54</v>
      </c>
    </row>
    <row r="36" spans="2:3" ht="35.1" customHeight="1" x14ac:dyDescent="0.25">
      <c r="B36" s="228" t="s">
        <v>55</v>
      </c>
      <c r="C36" s="229" t="s">
        <v>56</v>
      </c>
    </row>
    <row r="37" spans="2:3" ht="35.1" customHeight="1" x14ac:dyDescent="0.25">
      <c r="B37" s="228" t="s">
        <v>57</v>
      </c>
      <c r="C37" s="229" t="s">
        <v>58</v>
      </c>
    </row>
    <row r="38" spans="2:3" ht="6" customHeight="1" x14ac:dyDescent="0.25"/>
    <row r="39" spans="2:3" ht="18" customHeight="1" x14ac:dyDescent="0.25">
      <c r="B39" s="239" t="s">
        <v>59</v>
      </c>
      <c r="C39" s="237"/>
    </row>
    <row r="40" spans="2:3" ht="39.950000000000003" customHeight="1" x14ac:dyDescent="0.25">
      <c r="B40" s="230" t="s">
        <v>60</v>
      </c>
      <c r="C40" s="231" t="s">
        <v>61</v>
      </c>
    </row>
    <row r="41" spans="2:3" ht="39.950000000000003" customHeight="1" x14ac:dyDescent="0.25">
      <c r="B41" s="230" t="s">
        <v>62</v>
      </c>
      <c r="C41" s="231" t="s">
        <v>63</v>
      </c>
    </row>
    <row r="42" spans="2:3" ht="39.950000000000003" customHeight="1" x14ac:dyDescent="0.25">
      <c r="B42" s="230" t="s">
        <v>64</v>
      </c>
      <c r="C42" s="231" t="s">
        <v>65</v>
      </c>
    </row>
    <row r="43" spans="2:3" ht="39.950000000000003" customHeight="1" x14ac:dyDescent="0.25">
      <c r="B43" s="230" t="s">
        <v>66</v>
      </c>
      <c r="C43" s="231" t="s">
        <v>67</v>
      </c>
    </row>
    <row r="44" spans="2:3" ht="39.950000000000003" customHeight="1" x14ac:dyDescent="0.25">
      <c r="B44" s="230" t="s">
        <v>68</v>
      </c>
      <c r="C44" s="231" t="s">
        <v>69</v>
      </c>
    </row>
    <row r="45" spans="2:3" ht="6" customHeight="1" x14ac:dyDescent="0.25"/>
    <row r="46" spans="2:3" ht="18" customHeight="1" x14ac:dyDescent="0.25">
      <c r="B46" s="244" t="s">
        <v>70</v>
      </c>
      <c r="C46" s="237"/>
    </row>
    <row r="47" spans="2:3" ht="39.950000000000003" customHeight="1" x14ac:dyDescent="0.25">
      <c r="B47" s="232" t="s">
        <v>71</v>
      </c>
      <c r="C47" s="233" t="s">
        <v>72</v>
      </c>
    </row>
    <row r="48" spans="2:3" ht="39.950000000000003" customHeight="1" x14ac:dyDescent="0.25">
      <c r="B48" s="232" t="s">
        <v>73</v>
      </c>
      <c r="C48" s="233" t="s">
        <v>74</v>
      </c>
    </row>
    <row r="49" spans="2:3" ht="39.950000000000003" customHeight="1" x14ac:dyDescent="0.25">
      <c r="B49" s="232" t="s">
        <v>75</v>
      </c>
      <c r="C49" s="233" t="s">
        <v>76</v>
      </c>
    </row>
    <row r="50" spans="2:3" ht="39.950000000000003" customHeight="1" x14ac:dyDescent="0.25">
      <c r="B50" s="232" t="s">
        <v>77</v>
      </c>
      <c r="C50" s="233" t="s">
        <v>78</v>
      </c>
    </row>
    <row r="51" spans="2:3" ht="39.950000000000003" customHeight="1" x14ac:dyDescent="0.25">
      <c r="B51" s="232" t="s">
        <v>79</v>
      </c>
      <c r="C51" s="233" t="s">
        <v>80</v>
      </c>
    </row>
    <row r="52" spans="2:3" ht="39.950000000000003" customHeight="1" x14ac:dyDescent="0.25">
      <c r="B52" s="232" t="s">
        <v>81</v>
      </c>
      <c r="C52" s="233" t="s">
        <v>82</v>
      </c>
    </row>
    <row r="53" spans="2:3" ht="39.950000000000003" customHeight="1" x14ac:dyDescent="0.25">
      <c r="B53" s="232" t="s">
        <v>83</v>
      </c>
      <c r="C53" s="233" t="s">
        <v>84</v>
      </c>
    </row>
    <row r="54" spans="2:3" ht="6" customHeight="1" x14ac:dyDescent="0.25"/>
    <row r="55" spans="2:3" ht="18" customHeight="1" x14ac:dyDescent="0.25">
      <c r="B55" s="240" t="s">
        <v>85</v>
      </c>
      <c r="C55" s="237"/>
    </row>
    <row r="56" spans="2:3" ht="21.95" customHeight="1" x14ac:dyDescent="0.25">
      <c r="B56" s="234" t="s">
        <v>39</v>
      </c>
      <c r="C56" s="235" t="s">
        <v>86</v>
      </c>
    </row>
    <row r="57" spans="2:3" ht="21.95" customHeight="1" x14ac:dyDescent="0.25">
      <c r="B57" s="234" t="s">
        <v>41</v>
      </c>
      <c r="C57" s="235" t="s">
        <v>87</v>
      </c>
    </row>
    <row r="58" spans="2:3" ht="21.95" customHeight="1" x14ac:dyDescent="0.25">
      <c r="B58" s="234" t="s">
        <v>43</v>
      </c>
      <c r="C58" s="235" t="s">
        <v>88</v>
      </c>
    </row>
    <row r="59" spans="2:3" ht="21.95" customHeight="1" x14ac:dyDescent="0.25">
      <c r="B59" s="234" t="s">
        <v>45</v>
      </c>
      <c r="C59" s="235" t="s">
        <v>89</v>
      </c>
    </row>
    <row r="60" spans="2:3" ht="21.95" customHeight="1" x14ac:dyDescent="0.25">
      <c r="B60" s="234" t="s">
        <v>47</v>
      </c>
      <c r="C60" s="235" t="s">
        <v>90</v>
      </c>
    </row>
    <row r="61" spans="2:3" ht="6" customHeight="1" x14ac:dyDescent="0.25"/>
    <row r="62" spans="2:3" ht="18" customHeight="1" x14ac:dyDescent="0.25">
      <c r="B62" s="238" t="s">
        <v>91</v>
      </c>
      <c r="C62" s="237"/>
    </row>
    <row r="63" spans="2:3" ht="39.950000000000003" customHeight="1" x14ac:dyDescent="0.25">
      <c r="B63" s="226" t="s">
        <v>92</v>
      </c>
      <c r="C63" s="235" t="s">
        <v>93</v>
      </c>
    </row>
    <row r="64" spans="2:3" ht="39.950000000000003" customHeight="1" x14ac:dyDescent="0.25">
      <c r="B64" s="226" t="s">
        <v>94</v>
      </c>
      <c r="C64" s="235" t="s">
        <v>95</v>
      </c>
    </row>
    <row r="65" spans="2:3" ht="39.950000000000003" customHeight="1" x14ac:dyDescent="0.25">
      <c r="B65" s="226" t="s">
        <v>96</v>
      </c>
      <c r="C65" s="235" t="s">
        <v>97</v>
      </c>
    </row>
    <row r="66" spans="2:3" ht="39.950000000000003" customHeight="1" x14ac:dyDescent="0.25">
      <c r="B66" s="226" t="s">
        <v>98</v>
      </c>
      <c r="C66" s="235" t="s">
        <v>99</v>
      </c>
    </row>
    <row r="67" spans="2:3" ht="39.950000000000003" customHeight="1" x14ac:dyDescent="0.25">
      <c r="B67" s="226" t="s">
        <v>100</v>
      </c>
      <c r="C67" s="235" t="s">
        <v>101</v>
      </c>
    </row>
    <row r="68" spans="2:3" ht="39.950000000000003" customHeight="1" x14ac:dyDescent="0.25">
      <c r="B68" s="226" t="s">
        <v>102</v>
      </c>
      <c r="C68" s="235" t="s">
        <v>103</v>
      </c>
    </row>
    <row r="69" spans="2:3" ht="39.950000000000003" customHeight="1" x14ac:dyDescent="0.25">
      <c r="B69" s="226" t="s">
        <v>104</v>
      </c>
      <c r="C69" s="235" t="s">
        <v>105</v>
      </c>
    </row>
  </sheetData>
  <sheetProtection algorithmName="SHA-512" hashValue="atXnwBj7CDydjEBf8eyANuidWXMgXkQdBeew2rsU5bYCA3euzSLk0Gg3J6L5tDXhO+DA1xB7X9iLc8IrYXEuug==" saltValue="oLn5UpbEQHF2D3fd5p3EPQ==" spinCount="100000" sheet="1" sort="0" autoFilter="0"/>
  <mergeCells count="11">
    <mergeCell ref="B62:C62"/>
    <mergeCell ref="B7:C7"/>
    <mergeCell ref="B5:C5"/>
    <mergeCell ref="B46:C46"/>
    <mergeCell ref="B17:C17"/>
    <mergeCell ref="B27:C27"/>
    <mergeCell ref="B1:C1"/>
    <mergeCell ref="B4:C4"/>
    <mergeCell ref="B39:C39"/>
    <mergeCell ref="B55:C55"/>
    <mergeCell ref="B2:C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3864"/>
  </sheetPr>
  <dimension ref="B1:C49"/>
  <sheetViews>
    <sheetView showGridLines="0" topLeftCell="A8" workbookViewId="0">
      <selection activeCell="J15" sqref="J15"/>
    </sheetView>
  </sheetViews>
  <sheetFormatPr baseColWidth="10" defaultColWidth="9.140625" defaultRowHeight="15" x14ac:dyDescent="0.25"/>
  <cols>
    <col min="1" max="1" width="2" customWidth="1"/>
    <col min="2" max="2" width="28" customWidth="1"/>
    <col min="3" max="3" width="30" customWidth="1"/>
    <col min="4" max="4" width="2" customWidth="1"/>
  </cols>
  <sheetData>
    <row r="1" spans="2:3" ht="30" customHeight="1" x14ac:dyDescent="0.25">
      <c r="B1" s="246" t="s">
        <v>106</v>
      </c>
      <c r="C1" s="237"/>
    </row>
    <row r="2" spans="2:3" ht="15.95" customHeight="1" x14ac:dyDescent="0.25"/>
    <row r="3" spans="2:3" ht="18" customHeight="1" x14ac:dyDescent="0.25">
      <c r="B3" s="247" t="s">
        <v>107</v>
      </c>
      <c r="C3" s="237"/>
    </row>
    <row r="4" spans="2:3" ht="15.95" customHeight="1" x14ac:dyDescent="0.25">
      <c r="B4" s="1" t="s">
        <v>108</v>
      </c>
      <c r="C4" s="187" t="s">
        <v>109</v>
      </c>
    </row>
    <row r="5" spans="2:3" ht="15.95" customHeight="1" x14ac:dyDescent="0.25">
      <c r="B5" s="1" t="s">
        <v>110</v>
      </c>
      <c r="C5" s="187" t="s">
        <v>111</v>
      </c>
    </row>
    <row r="6" spans="2:3" ht="15.95" customHeight="1" x14ac:dyDescent="0.25">
      <c r="B6" s="1" t="s">
        <v>112</v>
      </c>
      <c r="C6" s="187" t="s">
        <v>113</v>
      </c>
    </row>
    <row r="7" spans="2:3" ht="15.95" customHeight="1" x14ac:dyDescent="0.25">
      <c r="B7" s="1" t="s">
        <v>114</v>
      </c>
      <c r="C7" s="187" t="s">
        <v>115</v>
      </c>
    </row>
    <row r="8" spans="2:3" ht="15.95" customHeight="1" x14ac:dyDescent="0.25">
      <c r="B8" s="1" t="s">
        <v>116</v>
      </c>
      <c r="C8" s="187">
        <v>2026</v>
      </c>
    </row>
    <row r="9" spans="2:3" ht="15.95" customHeight="1" x14ac:dyDescent="0.25"/>
    <row r="10" spans="2:3" ht="18" customHeight="1" x14ac:dyDescent="0.25">
      <c r="B10" s="251" t="s">
        <v>117</v>
      </c>
      <c r="C10" s="237"/>
    </row>
    <row r="11" spans="2:3" ht="15.95" customHeight="1" x14ac:dyDescent="0.25">
      <c r="B11" s="2" t="s">
        <v>118</v>
      </c>
      <c r="C11" s="188">
        <v>56377361</v>
      </c>
    </row>
    <row r="12" spans="2:3" ht="15.95" customHeight="1" x14ac:dyDescent="0.25">
      <c r="B12" s="2" t="s">
        <v>119</v>
      </c>
      <c r="C12" s="188">
        <v>4254897</v>
      </c>
    </row>
    <row r="13" spans="2:3" ht="15.95" customHeight="1" x14ac:dyDescent="0.25"/>
    <row r="14" spans="2:3" ht="18" customHeight="1" x14ac:dyDescent="0.25">
      <c r="B14" s="253" t="s">
        <v>120</v>
      </c>
      <c r="C14" s="237"/>
    </row>
    <row r="15" spans="2:3" ht="15.95" customHeight="1" x14ac:dyDescent="0.25">
      <c r="B15" s="3" t="s">
        <v>121</v>
      </c>
      <c r="C15" s="189">
        <v>2027</v>
      </c>
    </row>
    <row r="16" spans="2:3" ht="15.95" customHeight="1" x14ac:dyDescent="0.25">
      <c r="B16" s="3" t="s">
        <v>122</v>
      </c>
      <c r="C16" s="4">
        <f>'SUIVI 2026'!P264</f>
        <v>56484482</v>
      </c>
    </row>
    <row r="17" spans="2:3" ht="15.95" customHeight="1" x14ac:dyDescent="0.25">
      <c r="B17" s="3" t="s">
        <v>123</v>
      </c>
      <c r="C17" s="4">
        <f>'SUIVI 2026'!Q264</f>
        <v>4254897</v>
      </c>
    </row>
    <row r="18" spans="2:3" ht="15.95" customHeight="1" x14ac:dyDescent="0.25"/>
    <row r="19" spans="2:3" ht="18" customHeight="1" x14ac:dyDescent="0.25">
      <c r="B19" s="248" t="s">
        <v>124</v>
      </c>
      <c r="C19" s="237"/>
    </row>
    <row r="20" spans="2:3" ht="15" customHeight="1" x14ac:dyDescent="0.25">
      <c r="B20" s="249" t="s">
        <v>125</v>
      </c>
      <c r="C20" s="250"/>
    </row>
    <row r="21" spans="2:3" ht="15" customHeight="1" x14ac:dyDescent="0.25">
      <c r="B21" s="249" t="s">
        <v>126</v>
      </c>
      <c r="C21" s="250"/>
    </row>
    <row r="22" spans="2:3" ht="15" customHeight="1" x14ac:dyDescent="0.25">
      <c r="B22" s="249" t="s">
        <v>127</v>
      </c>
      <c r="C22" s="250"/>
    </row>
    <row r="23" spans="2:3" ht="15" customHeight="1" x14ac:dyDescent="0.25">
      <c r="B23" s="249" t="s">
        <v>128</v>
      </c>
      <c r="C23" s="250"/>
    </row>
    <row r="24" spans="2:3" ht="15" customHeight="1" x14ac:dyDescent="0.25">
      <c r="B24" s="249" t="s">
        <v>129</v>
      </c>
      <c r="C24" s="250"/>
    </row>
    <row r="25" spans="2:3" ht="15" customHeight="1" x14ac:dyDescent="0.25">
      <c r="B25" s="249" t="s">
        <v>130</v>
      </c>
      <c r="C25" s="250"/>
    </row>
    <row r="26" spans="2:3" ht="15.95" customHeight="1" x14ac:dyDescent="0.25"/>
    <row r="27" spans="2:3" ht="18" customHeight="1" x14ac:dyDescent="0.25">
      <c r="B27" s="254" t="s">
        <v>131</v>
      </c>
      <c r="C27" s="237"/>
    </row>
    <row r="28" spans="2:3" ht="15" customHeight="1" x14ac:dyDescent="0.25">
      <c r="B28" s="252" t="s">
        <v>132</v>
      </c>
      <c r="C28" s="250"/>
    </row>
    <row r="29" spans="2:3" ht="15" customHeight="1" x14ac:dyDescent="0.25">
      <c r="B29" s="252" t="s">
        <v>133</v>
      </c>
      <c r="C29" s="250"/>
    </row>
    <row r="30" spans="2:3" ht="15" customHeight="1" x14ac:dyDescent="0.25">
      <c r="B30" s="252" t="s">
        <v>134</v>
      </c>
      <c r="C30" s="250"/>
    </row>
    <row r="31" spans="2:3" ht="15" customHeight="1" x14ac:dyDescent="0.25">
      <c r="B31" s="252" t="s">
        <v>135</v>
      </c>
      <c r="C31" s="250"/>
    </row>
    <row r="32" spans="2:3" ht="15" customHeight="1" x14ac:dyDescent="0.25">
      <c r="B32" s="252" t="s">
        <v>136</v>
      </c>
      <c r="C32" s="250"/>
    </row>
    <row r="33" spans="2:3" ht="15" customHeight="1" x14ac:dyDescent="0.25">
      <c r="B33" s="252" t="s">
        <v>137</v>
      </c>
      <c r="C33" s="250"/>
    </row>
    <row r="34" spans="2:3" ht="15.95" customHeight="1" x14ac:dyDescent="0.25"/>
    <row r="35" spans="2:3" ht="15.95" customHeight="1" x14ac:dyDescent="0.25"/>
    <row r="36" spans="2:3" ht="15.95" customHeight="1" x14ac:dyDescent="0.25"/>
    <row r="37" spans="2:3" ht="15.95" customHeight="1" x14ac:dyDescent="0.25"/>
    <row r="38" spans="2:3" ht="15.95" customHeight="1" x14ac:dyDescent="0.25"/>
    <row r="39" spans="2:3" ht="15.95" customHeight="1" x14ac:dyDescent="0.25"/>
    <row r="40" spans="2:3" ht="15.95" customHeight="1" x14ac:dyDescent="0.25"/>
    <row r="41" spans="2:3" ht="15.95" customHeight="1" x14ac:dyDescent="0.25"/>
    <row r="42" spans="2:3" ht="15.95" customHeight="1" x14ac:dyDescent="0.25"/>
    <row r="43" spans="2:3" ht="15.95" customHeight="1" x14ac:dyDescent="0.25"/>
    <row r="44" spans="2:3" ht="15.95" customHeight="1" x14ac:dyDescent="0.25"/>
    <row r="45" spans="2:3" ht="15.95" customHeight="1" x14ac:dyDescent="0.25"/>
    <row r="46" spans="2:3" ht="15.95" customHeight="1" x14ac:dyDescent="0.25"/>
    <row r="47" spans="2:3" ht="15.95" customHeight="1" x14ac:dyDescent="0.25"/>
    <row r="48" spans="2:3" ht="15.95" customHeight="1" x14ac:dyDescent="0.25"/>
    <row r="49" ht="15.95" customHeight="1" x14ac:dyDescent="0.25"/>
  </sheetData>
  <sheetProtection password="8BDA" sheet="1" formatCells="0" formatColumns="0" formatRows="0"/>
  <mergeCells count="18">
    <mergeCell ref="B30:C30"/>
    <mergeCell ref="B29:C29"/>
    <mergeCell ref="B33:C33"/>
    <mergeCell ref="B25:C25"/>
    <mergeCell ref="B32:C32"/>
    <mergeCell ref="B31:C31"/>
    <mergeCell ref="B28:C28"/>
    <mergeCell ref="B23:C23"/>
    <mergeCell ref="B22:C22"/>
    <mergeCell ref="B14:C14"/>
    <mergeCell ref="B27:C27"/>
    <mergeCell ref="B24:C24"/>
    <mergeCell ref="B21:C21"/>
    <mergeCell ref="B1:C1"/>
    <mergeCell ref="B3:C3"/>
    <mergeCell ref="B19:C19"/>
    <mergeCell ref="B20:C20"/>
    <mergeCell ref="B10:C1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2E75B6"/>
  </sheetPr>
  <dimension ref="B1:J54"/>
  <sheetViews>
    <sheetView showGridLines="0" tabSelected="1" topLeftCell="D1" workbookViewId="0">
      <selection activeCell="M10" sqref="M10"/>
    </sheetView>
  </sheetViews>
  <sheetFormatPr baseColWidth="10" defaultColWidth="9.140625" defaultRowHeight="15" x14ac:dyDescent="0.25"/>
  <cols>
    <col min="1" max="1" width="2" customWidth="1"/>
    <col min="2" max="10" width="14" customWidth="1"/>
    <col min="11" max="11" width="2" customWidth="1"/>
  </cols>
  <sheetData>
    <row r="1" spans="2:10" ht="36" customHeight="1" x14ac:dyDescent="0.25">
      <c r="B1" s="288" t="s">
        <v>109</v>
      </c>
      <c r="C1" s="237"/>
      <c r="D1" s="237"/>
      <c r="E1" s="237"/>
      <c r="F1" s="237"/>
      <c r="G1" s="237"/>
      <c r="H1" s="237"/>
      <c r="I1" s="237"/>
      <c r="J1" s="237"/>
    </row>
    <row r="2" spans="2:10" ht="21.95" customHeight="1" x14ac:dyDescent="0.25">
      <c r="B2" s="255" t="s">
        <v>138</v>
      </c>
      <c r="C2" s="237"/>
      <c r="D2" s="237"/>
      <c r="E2" s="237"/>
      <c r="F2" s="237"/>
      <c r="G2" s="237"/>
      <c r="H2" s="237"/>
      <c r="I2" s="237"/>
      <c r="J2" s="237"/>
    </row>
    <row r="3" spans="2:10" ht="20.100000000000001" customHeight="1" x14ac:dyDescent="0.25">
      <c r="B3" s="256" t="s">
        <v>139</v>
      </c>
      <c r="C3" s="237"/>
      <c r="D3" s="237"/>
      <c r="E3" s="237"/>
      <c r="F3" s="237"/>
      <c r="G3" s="237"/>
      <c r="H3" s="237"/>
      <c r="I3" s="237"/>
      <c r="J3" s="237"/>
    </row>
    <row r="4" spans="2:10" ht="8.1" customHeight="1" x14ac:dyDescent="0.25"/>
    <row r="5" spans="2:10" ht="15.95" customHeight="1" x14ac:dyDescent="0.25">
      <c r="B5" s="312" t="s">
        <v>140</v>
      </c>
      <c r="C5" s="293"/>
      <c r="D5" s="294"/>
      <c r="E5" s="263" t="s">
        <v>141</v>
      </c>
      <c r="F5" s="264"/>
      <c r="G5" s="265"/>
      <c r="H5" s="315" t="s">
        <v>142</v>
      </c>
      <c r="I5" s="316"/>
      <c r="J5" s="317"/>
    </row>
    <row r="6" spans="2:10" ht="36" customHeight="1" x14ac:dyDescent="0.25">
      <c r="B6" s="257">
        <f>'SUIVI 2026'!P264</f>
        <v>56484482</v>
      </c>
      <c r="C6" s="258"/>
      <c r="D6" s="259"/>
      <c r="E6" s="280">
        <f>'SUIVI 2026'!R264</f>
        <v>52229585</v>
      </c>
      <c r="F6" s="281"/>
      <c r="G6" s="282"/>
      <c r="H6" s="306">
        <f>'SUIVI 2026'!Q264</f>
        <v>4254897</v>
      </c>
      <c r="I6" s="307"/>
      <c r="J6" s="308"/>
    </row>
    <row r="7" spans="2:10" ht="20.100000000000001" customHeight="1" x14ac:dyDescent="0.25">
      <c r="B7" s="260"/>
      <c r="C7" s="261"/>
      <c r="D7" s="262"/>
      <c r="E7" s="283"/>
      <c r="F7" s="284"/>
      <c r="G7" s="285"/>
      <c r="H7" s="309"/>
      <c r="I7" s="310"/>
      <c r="J7" s="311"/>
    </row>
    <row r="8" spans="2:10" ht="9.9499999999999993" customHeight="1" x14ac:dyDescent="0.25"/>
    <row r="9" spans="2:10" ht="8.1" customHeight="1" x14ac:dyDescent="0.25"/>
    <row r="10" spans="2:10" ht="14.1" customHeight="1" x14ac:dyDescent="0.25">
      <c r="B10" s="290" t="s">
        <v>143</v>
      </c>
      <c r="C10" s="237"/>
      <c r="D10" s="237"/>
      <c r="E10" s="286">
        <f ca="1">TODAY()</f>
        <v>46170</v>
      </c>
      <c r="F10" s="237"/>
      <c r="G10" s="237"/>
      <c r="H10" s="237"/>
      <c r="I10" s="237"/>
      <c r="J10" s="237"/>
    </row>
    <row r="11" spans="2:10" ht="8.1" customHeight="1" x14ac:dyDescent="0.25"/>
    <row r="12" spans="2:10" ht="18" customHeight="1" x14ac:dyDescent="0.25">
      <c r="B12" s="247" t="s">
        <v>144</v>
      </c>
      <c r="C12" s="237"/>
      <c r="D12" s="237"/>
      <c r="E12" s="237"/>
      <c r="F12" s="237"/>
      <c r="G12" s="237"/>
      <c r="H12" s="237"/>
      <c r="I12" s="237"/>
      <c r="J12" s="237"/>
    </row>
    <row r="13" spans="2:10" ht="18" customHeight="1" x14ac:dyDescent="0.25">
      <c r="B13" s="5" t="s">
        <v>145</v>
      </c>
      <c r="C13" s="5" t="s">
        <v>146</v>
      </c>
      <c r="D13" s="5" t="s">
        <v>147</v>
      </c>
      <c r="E13" s="5" t="s">
        <v>148</v>
      </c>
      <c r="F13" s="5" t="s">
        <v>149</v>
      </c>
      <c r="G13" s="5" t="s">
        <v>150</v>
      </c>
      <c r="H13" s="5" t="s">
        <v>151</v>
      </c>
      <c r="I13" s="5" t="s">
        <v>152</v>
      </c>
      <c r="J13" s="5" t="s">
        <v>153</v>
      </c>
    </row>
    <row r="14" spans="2:10" ht="15.95" customHeight="1" x14ac:dyDescent="0.25">
      <c r="B14" s="6" t="s">
        <v>154</v>
      </c>
      <c r="C14" s="7">
        <f>SUMIF('SUIVI 2026'!D$4:'SUIVI 2026'!D$264,1,'SUIVI 2026'!G$4:'SUIVI 2026'!G$264)</f>
        <v>0</v>
      </c>
      <c r="D14" s="7">
        <f>SUMIF('SUIVI 2026'!D$4:'SUIVI 2026'!D$264,1,'SUIVI 2026'!H$4:'SUIVI 2026'!H$264)</f>
        <v>0</v>
      </c>
      <c r="E14" s="7">
        <f>SUMIF('SUIVI 2026'!D$4:'SUIVI 2026'!D$264,1,'SUIVI 2026'!I$4:'SUIVI 2026'!I$264)</f>
        <v>0</v>
      </c>
      <c r="F14" s="7">
        <f>SUMIF('SUIVI 2026'!D$4:'SUIVI 2026'!D$264,1,'SUIVI 2026'!J$4:'SUIVI 2026'!J$264)</f>
        <v>0</v>
      </c>
      <c r="G14" s="7">
        <f>SUMIF('SUIVI 2026'!D$4:'SUIVI 2026'!D$264,1,'SUIVI 2026'!K$4:'SUIVI 2026'!K$264)</f>
        <v>0</v>
      </c>
      <c r="H14" s="7">
        <f>SUMIF('SUIVI 2026'!D$4:'SUIVI 2026'!D$264,1,'SUIVI 2026'!L$4:'SUIVI 2026'!L$264)</f>
        <v>0</v>
      </c>
      <c r="I14" s="8">
        <f>IFERROR(LOOKUP(2,1/('SUIVI 2026'!D$4:'SUIVI 2026'!D$264=1),'SUIVI 2026'!P$4:'SUIVI 2026'!P$264),"-")</f>
        <v>56377361</v>
      </c>
      <c r="J14" s="9">
        <f>IFERROR(LOOKUP(2,1/('SUIVI 2026'!D$4:'SUIVI 2026'!D$264=1),'SUIVI 2026'!Q$4:'SUIVI 2026'!Q$264),"-")</f>
        <v>4254897</v>
      </c>
    </row>
    <row r="15" spans="2:10" ht="15.95" customHeight="1" x14ac:dyDescent="0.25">
      <c r="B15" s="10" t="s">
        <v>155</v>
      </c>
      <c r="C15" s="11">
        <f>SUMIF('SUIVI 2026'!D$4:'SUIVI 2026'!D$264,2,'SUIVI 2026'!G$4:'SUIVI 2026'!G$264)</f>
        <v>0</v>
      </c>
      <c r="D15" s="11">
        <f>SUMIF('SUIVI 2026'!D$4:'SUIVI 2026'!D$264,2,'SUIVI 2026'!H$4:'SUIVI 2026'!H$264)</f>
        <v>0</v>
      </c>
      <c r="E15" s="11">
        <f>SUMIF('SUIVI 2026'!D$4:'SUIVI 2026'!D$264,2,'SUIVI 2026'!I$4:'SUIVI 2026'!I$264)</f>
        <v>0</v>
      </c>
      <c r="F15" s="11">
        <f>SUMIF('SUIVI 2026'!D$4:'SUIVI 2026'!D$264,2,'SUIVI 2026'!J$4:'SUIVI 2026'!J$264)</f>
        <v>0</v>
      </c>
      <c r="G15" s="11">
        <f>SUMIF('SUIVI 2026'!D$4:'SUIVI 2026'!D$264,2,'SUIVI 2026'!K$4:'SUIVI 2026'!K$264)</f>
        <v>0</v>
      </c>
      <c r="H15" s="11">
        <f>SUMIF('SUIVI 2026'!D$4:'SUIVI 2026'!D$264,2,'SUIVI 2026'!L$4:'SUIVI 2026'!L$264)</f>
        <v>0</v>
      </c>
      <c r="I15" s="12">
        <f>IFERROR(LOOKUP(2,1/('SUIVI 2026'!D$4:'SUIVI 2026'!D$264=2),'SUIVI 2026'!P$4:'SUIVI 2026'!P$264),"-")</f>
        <v>56377361</v>
      </c>
      <c r="J15" s="13">
        <f>IFERROR(LOOKUP(2,1/('SUIVI 2026'!D$4:'SUIVI 2026'!D$264=2),'SUIVI 2026'!Q$4:'SUIVI 2026'!Q$264),"-")</f>
        <v>4254897</v>
      </c>
    </row>
    <row r="16" spans="2:10" ht="15.95" customHeight="1" x14ac:dyDescent="0.25">
      <c r="B16" s="14" t="s">
        <v>156</v>
      </c>
      <c r="C16" s="15">
        <f>SUMIF('SUIVI 2026'!D$4:'SUIVI 2026'!D$264,3,'SUIVI 2026'!G$4:'SUIVI 2026'!G$264)</f>
        <v>0</v>
      </c>
      <c r="D16" s="15">
        <f>SUMIF('SUIVI 2026'!D$4:'SUIVI 2026'!D$264,3,'SUIVI 2026'!H$4:'SUIVI 2026'!H$264)</f>
        <v>0</v>
      </c>
      <c r="E16" s="15">
        <f>SUMIF('SUIVI 2026'!D$4:'SUIVI 2026'!D$264,3,'SUIVI 2026'!I$4:'SUIVI 2026'!I$264)</f>
        <v>0</v>
      </c>
      <c r="F16" s="15">
        <f>SUMIF('SUIVI 2026'!D$4:'SUIVI 2026'!D$264,3,'SUIVI 2026'!J$4:'SUIVI 2026'!J$264)</f>
        <v>0</v>
      </c>
      <c r="G16" s="15">
        <f>SUMIF('SUIVI 2026'!D$4:'SUIVI 2026'!D$264,3,'SUIVI 2026'!K$4:'SUIVI 2026'!K$264)</f>
        <v>0</v>
      </c>
      <c r="H16" s="15">
        <f>SUMIF('SUIVI 2026'!D$4:'SUIVI 2026'!D$264,3,'SUIVI 2026'!L$4:'SUIVI 2026'!L$264)</f>
        <v>0</v>
      </c>
      <c r="I16" s="16">
        <f>IFERROR(LOOKUP(2,1/('SUIVI 2026'!D$4:'SUIVI 2026'!D$264=3),'SUIVI 2026'!P$4:'SUIVI 2026'!P$264),"-")</f>
        <v>56377361</v>
      </c>
      <c r="J16" s="17">
        <f>IFERROR(LOOKUP(2,1/('SUIVI 2026'!D$4:'SUIVI 2026'!D$264=3),'SUIVI 2026'!Q$4:'SUIVI 2026'!Q$264),"-")</f>
        <v>4254897</v>
      </c>
    </row>
    <row r="17" spans="2:10" ht="15.95" customHeight="1" x14ac:dyDescent="0.25">
      <c r="B17" s="18" t="s">
        <v>157</v>
      </c>
      <c r="C17" s="19">
        <f>SUMIF('SUIVI 2026'!D$4:'SUIVI 2026'!D$264,4,'SUIVI 2026'!G$4:'SUIVI 2026'!G$264)</f>
        <v>0</v>
      </c>
      <c r="D17" s="19">
        <f>SUMIF('SUIVI 2026'!D$4:'SUIVI 2026'!D$264,4,'SUIVI 2026'!H$4:'SUIVI 2026'!H$264)</f>
        <v>0</v>
      </c>
      <c r="E17" s="19">
        <f>SUMIF('SUIVI 2026'!D$4:'SUIVI 2026'!D$264,4,'SUIVI 2026'!I$4:'SUIVI 2026'!I$264)</f>
        <v>0</v>
      </c>
      <c r="F17" s="19">
        <f>SUMIF('SUIVI 2026'!D$4:'SUIVI 2026'!D$264,4,'SUIVI 2026'!J$4:'SUIVI 2026'!J$264)</f>
        <v>0</v>
      </c>
      <c r="G17" s="19">
        <f>SUMIF('SUIVI 2026'!D$4:'SUIVI 2026'!D$264,4,'SUIVI 2026'!K$4:'SUIVI 2026'!K$264)</f>
        <v>0</v>
      </c>
      <c r="H17" s="19">
        <f>SUMIF('SUIVI 2026'!D$4:'SUIVI 2026'!D$264,4,'SUIVI 2026'!L$4:'SUIVI 2026'!L$264)</f>
        <v>0</v>
      </c>
      <c r="I17" s="20">
        <f>IFERROR(LOOKUP(2,1/('SUIVI 2026'!D$4:'SUIVI 2026'!D$264=4),'SUIVI 2026'!P$4:'SUIVI 2026'!P$264),"-")</f>
        <v>56377361</v>
      </c>
      <c r="J17" s="21">
        <f>IFERROR(LOOKUP(2,1/('SUIVI 2026'!D$4:'SUIVI 2026'!D$264=4),'SUIVI 2026'!Q$4:'SUIVI 2026'!Q$264),"-")</f>
        <v>4254897</v>
      </c>
    </row>
    <row r="18" spans="2:10" ht="15.95" customHeight="1" x14ac:dyDescent="0.25">
      <c r="B18" s="22" t="s">
        <v>158</v>
      </c>
      <c r="C18" s="23">
        <f>SUMIF('SUIVI 2026'!D$4:'SUIVI 2026'!D$264,5,'SUIVI 2026'!G$4:'SUIVI 2026'!G$264)</f>
        <v>1404450</v>
      </c>
      <c r="D18" s="23">
        <f>SUMIF('SUIVI 2026'!D$4:'SUIVI 2026'!D$264,5,'SUIVI 2026'!H$4:'SUIVI 2026'!H$264)</f>
        <v>0</v>
      </c>
      <c r="E18" s="23">
        <f>SUMIF('SUIVI 2026'!D$4:'SUIVI 2026'!D$264,5,'SUIVI 2026'!I$4:'SUIVI 2026'!I$264)</f>
        <v>1404450</v>
      </c>
      <c r="F18" s="23">
        <f>SUMIF('SUIVI 2026'!D$4:'SUIVI 2026'!D$264,5,'SUIVI 2026'!J$4:'SUIVI 2026'!J$264)</f>
        <v>1297329</v>
      </c>
      <c r="G18" s="23">
        <f>SUMIF('SUIVI 2026'!D$4:'SUIVI 2026'!D$264,5,'SUIVI 2026'!K$4:'SUIVI 2026'!K$264)</f>
        <v>0</v>
      </c>
      <c r="H18" s="23">
        <f>SUMIF('SUIVI 2026'!D$4:'SUIVI 2026'!D$264,5,'SUIVI 2026'!L$4:'SUIVI 2026'!L$264)</f>
        <v>0</v>
      </c>
      <c r="I18" s="24">
        <f>IFERROR(LOOKUP(2,1/('SUIVI 2026'!D$4:'SUIVI 2026'!D$264=5),'SUIVI 2026'!P$4:'SUIVI 2026'!P$264),"-")</f>
        <v>56484482</v>
      </c>
      <c r="J18" s="25">
        <f>IFERROR(LOOKUP(2,1/('SUIVI 2026'!D$4:'SUIVI 2026'!D$264=5),'SUIVI 2026'!Q$4:'SUIVI 2026'!Q$264),"-")</f>
        <v>4254897</v>
      </c>
    </row>
    <row r="19" spans="2:10" ht="15.95" customHeight="1" x14ac:dyDescent="0.25">
      <c r="B19" s="26" t="s">
        <v>159</v>
      </c>
      <c r="C19" s="27">
        <f>SUMIF('SUIVI 2026'!D$4:'SUIVI 2026'!D$264,6,'SUIVI 2026'!G$4:'SUIVI 2026'!G$264)</f>
        <v>0</v>
      </c>
      <c r="D19" s="27">
        <f>SUMIF('SUIVI 2026'!D$4:'SUIVI 2026'!D$264,6,'SUIVI 2026'!H$4:'SUIVI 2026'!H$264)</f>
        <v>0</v>
      </c>
      <c r="E19" s="27">
        <f>SUMIF('SUIVI 2026'!D$4:'SUIVI 2026'!D$264,6,'SUIVI 2026'!I$4:'SUIVI 2026'!I$264)</f>
        <v>0</v>
      </c>
      <c r="F19" s="27">
        <f>SUMIF('SUIVI 2026'!D$4:'SUIVI 2026'!D$264,6,'SUIVI 2026'!J$4:'SUIVI 2026'!J$264)</f>
        <v>0</v>
      </c>
      <c r="G19" s="27">
        <f>SUMIF('SUIVI 2026'!D$4:'SUIVI 2026'!D$264,6,'SUIVI 2026'!K$4:'SUIVI 2026'!K$264)</f>
        <v>0</v>
      </c>
      <c r="H19" s="27">
        <f>SUMIF('SUIVI 2026'!D$4:'SUIVI 2026'!D$264,6,'SUIVI 2026'!L$4:'SUIVI 2026'!L$264)</f>
        <v>0</v>
      </c>
      <c r="I19" s="28">
        <f>IFERROR(LOOKUP(2,1/('SUIVI 2026'!D$4:'SUIVI 2026'!D$264=6),'SUIVI 2026'!P$4:'SUIVI 2026'!P$264),"-")</f>
        <v>56484482</v>
      </c>
      <c r="J19" s="29">
        <f>IFERROR(LOOKUP(2,1/('SUIVI 2026'!D$4:'SUIVI 2026'!D$264=6),'SUIVI 2026'!Q$4:'SUIVI 2026'!Q$264),"-")</f>
        <v>4254897</v>
      </c>
    </row>
    <row r="20" spans="2:10" ht="15.95" customHeight="1" x14ac:dyDescent="0.25">
      <c r="B20" s="10" t="s">
        <v>160</v>
      </c>
      <c r="C20" s="11">
        <f>SUMIF('SUIVI 2026'!D$4:'SUIVI 2026'!D$264,7,'SUIVI 2026'!G$4:'SUIVI 2026'!G$264)</f>
        <v>0</v>
      </c>
      <c r="D20" s="11">
        <f>SUMIF('SUIVI 2026'!D$4:'SUIVI 2026'!D$264,7,'SUIVI 2026'!H$4:'SUIVI 2026'!H$264)</f>
        <v>0</v>
      </c>
      <c r="E20" s="11">
        <f>SUMIF('SUIVI 2026'!D$4:'SUIVI 2026'!D$264,7,'SUIVI 2026'!I$4:'SUIVI 2026'!I$264)</f>
        <v>0</v>
      </c>
      <c r="F20" s="11">
        <f>SUMIF('SUIVI 2026'!D$4:'SUIVI 2026'!D$264,7,'SUIVI 2026'!J$4:'SUIVI 2026'!J$264)</f>
        <v>0</v>
      </c>
      <c r="G20" s="11">
        <f>SUMIF('SUIVI 2026'!D$4:'SUIVI 2026'!D$264,7,'SUIVI 2026'!K$4:'SUIVI 2026'!K$264)</f>
        <v>0</v>
      </c>
      <c r="H20" s="11">
        <f>SUMIF('SUIVI 2026'!D$4:'SUIVI 2026'!D$264,7,'SUIVI 2026'!L$4:'SUIVI 2026'!L$264)</f>
        <v>0</v>
      </c>
      <c r="I20" s="12">
        <f>IFERROR(LOOKUP(2,1/('SUIVI 2026'!D$4:'SUIVI 2026'!D$264=7),'SUIVI 2026'!P$4:'SUIVI 2026'!P$264),"-")</f>
        <v>56484482</v>
      </c>
      <c r="J20" s="13">
        <f>IFERROR(LOOKUP(2,1/('SUIVI 2026'!D$4:'SUIVI 2026'!D$264=7),'SUIVI 2026'!Q$4:'SUIVI 2026'!Q$264),"-")</f>
        <v>4254897</v>
      </c>
    </row>
    <row r="21" spans="2:10" ht="15.95" customHeight="1" x14ac:dyDescent="0.25">
      <c r="B21" s="14" t="s">
        <v>161</v>
      </c>
      <c r="C21" s="15">
        <f>SUMIF('SUIVI 2026'!D$4:'SUIVI 2026'!D$264,8,'SUIVI 2026'!G$4:'SUIVI 2026'!G$264)</f>
        <v>0</v>
      </c>
      <c r="D21" s="15">
        <f>SUMIF('SUIVI 2026'!D$4:'SUIVI 2026'!D$264,8,'SUIVI 2026'!H$4:'SUIVI 2026'!H$264)</f>
        <v>0</v>
      </c>
      <c r="E21" s="15">
        <f>SUMIF('SUIVI 2026'!D$4:'SUIVI 2026'!D$264,8,'SUIVI 2026'!I$4:'SUIVI 2026'!I$264)</f>
        <v>0</v>
      </c>
      <c r="F21" s="15">
        <f>SUMIF('SUIVI 2026'!D$4:'SUIVI 2026'!D$264,8,'SUIVI 2026'!J$4:'SUIVI 2026'!J$264)</f>
        <v>0</v>
      </c>
      <c r="G21" s="15">
        <f>SUMIF('SUIVI 2026'!D$4:'SUIVI 2026'!D$264,8,'SUIVI 2026'!K$4:'SUIVI 2026'!K$264)</f>
        <v>0</v>
      </c>
      <c r="H21" s="15">
        <f>SUMIF('SUIVI 2026'!D$4:'SUIVI 2026'!D$264,8,'SUIVI 2026'!L$4:'SUIVI 2026'!L$264)</f>
        <v>0</v>
      </c>
      <c r="I21" s="16">
        <f>IFERROR(LOOKUP(2,1/('SUIVI 2026'!D$4:'SUIVI 2026'!D$264=8),'SUIVI 2026'!P$4:'SUIVI 2026'!P$264),"-")</f>
        <v>56484482</v>
      </c>
      <c r="J21" s="17">
        <f>IFERROR(LOOKUP(2,1/('SUIVI 2026'!D$4:'SUIVI 2026'!D$264=8),'SUIVI 2026'!Q$4:'SUIVI 2026'!Q$264),"-")</f>
        <v>4254897</v>
      </c>
    </row>
    <row r="22" spans="2:10" ht="15.95" customHeight="1" x14ac:dyDescent="0.25">
      <c r="B22" s="18" t="s">
        <v>162</v>
      </c>
      <c r="C22" s="19">
        <f>SUMIF('SUIVI 2026'!D$4:'SUIVI 2026'!D$264,9,'SUIVI 2026'!G$4:'SUIVI 2026'!G$264)</f>
        <v>0</v>
      </c>
      <c r="D22" s="19">
        <f>SUMIF('SUIVI 2026'!D$4:'SUIVI 2026'!D$264,9,'SUIVI 2026'!H$4:'SUIVI 2026'!H$264)</f>
        <v>0</v>
      </c>
      <c r="E22" s="19">
        <f>SUMIF('SUIVI 2026'!D$4:'SUIVI 2026'!D$264,9,'SUIVI 2026'!I$4:'SUIVI 2026'!I$264)</f>
        <v>0</v>
      </c>
      <c r="F22" s="19">
        <f>SUMIF('SUIVI 2026'!D$4:'SUIVI 2026'!D$264,9,'SUIVI 2026'!J$4:'SUIVI 2026'!J$264)</f>
        <v>0</v>
      </c>
      <c r="G22" s="19">
        <f>SUMIF('SUIVI 2026'!D$4:'SUIVI 2026'!D$264,9,'SUIVI 2026'!K$4:'SUIVI 2026'!K$264)</f>
        <v>0</v>
      </c>
      <c r="H22" s="19">
        <f>SUMIF('SUIVI 2026'!D$4:'SUIVI 2026'!D$264,9,'SUIVI 2026'!L$4:'SUIVI 2026'!L$264)</f>
        <v>0</v>
      </c>
      <c r="I22" s="20">
        <f>IFERROR(LOOKUP(2,1/('SUIVI 2026'!D$4:'SUIVI 2026'!D$264=9),'SUIVI 2026'!P$4:'SUIVI 2026'!P$264),"-")</f>
        <v>56484482</v>
      </c>
      <c r="J22" s="21">
        <f>IFERROR(LOOKUP(2,1/('SUIVI 2026'!D$4:'SUIVI 2026'!D$264=9),'SUIVI 2026'!Q$4:'SUIVI 2026'!Q$264),"-")</f>
        <v>4254897</v>
      </c>
    </row>
    <row r="23" spans="2:10" ht="15.95" customHeight="1" x14ac:dyDescent="0.25">
      <c r="B23" s="22" t="s">
        <v>163</v>
      </c>
      <c r="C23" s="23">
        <f>SUMIF('SUIVI 2026'!D$4:'SUIVI 2026'!D$264,10,'SUIVI 2026'!G$4:'SUIVI 2026'!G$264)</f>
        <v>0</v>
      </c>
      <c r="D23" s="23">
        <f>SUMIF('SUIVI 2026'!D$4:'SUIVI 2026'!D$264,10,'SUIVI 2026'!H$4:'SUIVI 2026'!H$264)</f>
        <v>0</v>
      </c>
      <c r="E23" s="23">
        <f>SUMIF('SUIVI 2026'!D$4:'SUIVI 2026'!D$264,10,'SUIVI 2026'!I$4:'SUIVI 2026'!I$264)</f>
        <v>0</v>
      </c>
      <c r="F23" s="23">
        <f>SUMIF('SUIVI 2026'!D$4:'SUIVI 2026'!D$264,10,'SUIVI 2026'!J$4:'SUIVI 2026'!J$264)</f>
        <v>0</v>
      </c>
      <c r="G23" s="23">
        <f>SUMIF('SUIVI 2026'!D$4:'SUIVI 2026'!D$264,10,'SUIVI 2026'!K$4:'SUIVI 2026'!K$264)</f>
        <v>0</v>
      </c>
      <c r="H23" s="23">
        <f>SUMIF('SUIVI 2026'!D$4:'SUIVI 2026'!D$264,10,'SUIVI 2026'!L$4:'SUIVI 2026'!L$264)</f>
        <v>0</v>
      </c>
      <c r="I23" s="24">
        <f>IFERROR(LOOKUP(2,1/('SUIVI 2026'!D$4:'SUIVI 2026'!D$264=10),'SUIVI 2026'!P$4:'SUIVI 2026'!P$264),"-")</f>
        <v>56484482</v>
      </c>
      <c r="J23" s="25">
        <f>IFERROR(LOOKUP(2,1/('SUIVI 2026'!D$4:'SUIVI 2026'!D$264=10),'SUIVI 2026'!Q$4:'SUIVI 2026'!Q$264),"-")</f>
        <v>4254897</v>
      </c>
    </row>
    <row r="24" spans="2:10" ht="15.95" customHeight="1" x14ac:dyDescent="0.25">
      <c r="B24" s="6" t="s">
        <v>164</v>
      </c>
      <c r="C24" s="7">
        <f>SUMIF('SUIVI 2026'!D$4:'SUIVI 2026'!D$264,11,'SUIVI 2026'!G$4:'SUIVI 2026'!G$264)</f>
        <v>0</v>
      </c>
      <c r="D24" s="7">
        <f>SUMIF('SUIVI 2026'!D$4:'SUIVI 2026'!D$264,11,'SUIVI 2026'!H$4:'SUIVI 2026'!H$264)</f>
        <v>0</v>
      </c>
      <c r="E24" s="7">
        <f>SUMIF('SUIVI 2026'!D$4:'SUIVI 2026'!D$264,11,'SUIVI 2026'!I$4:'SUIVI 2026'!I$264)</f>
        <v>0</v>
      </c>
      <c r="F24" s="7">
        <f>SUMIF('SUIVI 2026'!D$4:'SUIVI 2026'!D$264,11,'SUIVI 2026'!J$4:'SUIVI 2026'!J$264)</f>
        <v>0</v>
      </c>
      <c r="G24" s="7">
        <f>SUMIF('SUIVI 2026'!D$4:'SUIVI 2026'!D$264,11,'SUIVI 2026'!K$4:'SUIVI 2026'!K$264)</f>
        <v>0</v>
      </c>
      <c r="H24" s="7">
        <f>SUMIF('SUIVI 2026'!D$4:'SUIVI 2026'!D$264,11,'SUIVI 2026'!L$4:'SUIVI 2026'!L$264)</f>
        <v>0</v>
      </c>
      <c r="I24" s="8">
        <f>IFERROR(LOOKUP(2,1/('SUIVI 2026'!D$4:'SUIVI 2026'!D$264=11),'SUIVI 2026'!P$4:'SUIVI 2026'!P$264),"-")</f>
        <v>56484482</v>
      </c>
      <c r="J24" s="9">
        <f>IFERROR(LOOKUP(2,1/('SUIVI 2026'!D$4:'SUIVI 2026'!D$264=11),'SUIVI 2026'!Q$4:'SUIVI 2026'!Q$264),"-")</f>
        <v>4254897</v>
      </c>
    </row>
    <row r="25" spans="2:10" ht="15.95" customHeight="1" x14ac:dyDescent="0.25">
      <c r="B25" s="30" t="s">
        <v>165</v>
      </c>
      <c r="C25" s="31">
        <f>SUMIF('SUIVI 2026'!D$4:'SUIVI 2026'!D$264,12,'SUIVI 2026'!G$4:'SUIVI 2026'!G$264)</f>
        <v>0</v>
      </c>
      <c r="D25" s="31">
        <f>SUMIF('SUIVI 2026'!D$4:'SUIVI 2026'!D$264,12,'SUIVI 2026'!H$4:'SUIVI 2026'!H$264)</f>
        <v>0</v>
      </c>
      <c r="E25" s="31">
        <f>SUMIF('SUIVI 2026'!D$4:'SUIVI 2026'!D$264,12,'SUIVI 2026'!I$4:'SUIVI 2026'!I$264)</f>
        <v>0</v>
      </c>
      <c r="F25" s="31">
        <f>SUMIF('SUIVI 2026'!D$4:'SUIVI 2026'!D$264,12,'SUIVI 2026'!J$4:'SUIVI 2026'!J$264)</f>
        <v>0</v>
      </c>
      <c r="G25" s="31">
        <f>SUMIF('SUIVI 2026'!D$4:'SUIVI 2026'!D$264,12,'SUIVI 2026'!K$4:'SUIVI 2026'!K$264)</f>
        <v>0</v>
      </c>
      <c r="H25" s="31">
        <f>SUMIF('SUIVI 2026'!D$4:'SUIVI 2026'!D$264,12,'SUIVI 2026'!L$4:'SUIVI 2026'!L$264)</f>
        <v>0</v>
      </c>
      <c r="I25" s="32">
        <f>IFERROR(LOOKUP(2,1/('SUIVI 2026'!D$4:'SUIVI 2026'!D$264=12),'SUIVI 2026'!P$4:'SUIVI 2026'!P$264),"-")</f>
        <v>56484482</v>
      </c>
      <c r="J25" s="33">
        <f>IFERROR(LOOKUP(2,1/('SUIVI 2026'!D$4:'SUIVI 2026'!D$264=12),'SUIVI 2026'!Q$4:'SUIVI 2026'!Q$264),"-")</f>
        <v>4254897</v>
      </c>
    </row>
    <row r="26" spans="2:10" ht="18" customHeight="1" x14ac:dyDescent="0.25">
      <c r="B26" s="34" t="s">
        <v>166</v>
      </c>
      <c r="C26" s="35">
        <f t="shared" ref="C26:H26" si="0">SUM(C14:C25)</f>
        <v>1404450</v>
      </c>
      <c r="D26" s="35">
        <f t="shared" si="0"/>
        <v>0</v>
      </c>
      <c r="E26" s="35">
        <f t="shared" si="0"/>
        <v>1404450</v>
      </c>
      <c r="F26" s="35">
        <f t="shared" si="0"/>
        <v>1297329</v>
      </c>
      <c r="G26" s="35">
        <f t="shared" si="0"/>
        <v>0</v>
      </c>
      <c r="H26" s="35">
        <f t="shared" si="0"/>
        <v>0</v>
      </c>
      <c r="I26" s="35">
        <f>'SUIVI 2026'!P264</f>
        <v>56484482</v>
      </c>
      <c r="J26" s="35">
        <f>'SUIVI 2026'!Q264</f>
        <v>4254897</v>
      </c>
    </row>
    <row r="27" spans="2:10" ht="12" customHeight="1" x14ac:dyDescent="0.25"/>
    <row r="28" spans="2:10" ht="8.1" customHeight="1" x14ac:dyDescent="0.25"/>
    <row r="29" spans="2:10" ht="21.95" customHeight="1" x14ac:dyDescent="0.25">
      <c r="B29" s="291" t="s">
        <v>167</v>
      </c>
      <c r="C29" s="237"/>
      <c r="D29" s="237"/>
      <c r="E29" s="237"/>
      <c r="F29" s="237"/>
      <c r="G29" s="237"/>
      <c r="H29" s="237"/>
      <c r="I29" s="237"/>
      <c r="J29" s="237"/>
    </row>
    <row r="30" spans="2:10" ht="15.95" customHeight="1" x14ac:dyDescent="0.25">
      <c r="B30" s="302" t="s">
        <v>168</v>
      </c>
      <c r="C30" s="276"/>
      <c r="D30" s="276"/>
      <c r="E30" s="276"/>
      <c r="F30" s="276"/>
      <c r="G30" s="276"/>
      <c r="H30" s="276"/>
      <c r="I30" s="276"/>
      <c r="J30" s="277"/>
    </row>
    <row r="31" spans="2:10" ht="9.9499999999999993" customHeight="1" x14ac:dyDescent="0.25"/>
    <row r="32" spans="2:10" ht="15.95" customHeight="1" x14ac:dyDescent="0.25">
      <c r="B32" s="272" t="s">
        <v>169</v>
      </c>
      <c r="C32" s="273"/>
      <c r="D32" s="274"/>
      <c r="E32" s="303" t="s">
        <v>170</v>
      </c>
      <c r="F32" s="304"/>
      <c r="G32" s="305"/>
      <c r="H32" s="292" t="s">
        <v>171</v>
      </c>
      <c r="I32" s="293"/>
      <c r="J32" s="294"/>
    </row>
    <row r="33" spans="2:10" ht="36" customHeight="1" x14ac:dyDescent="0.25">
      <c r="B33" s="266">
        <f>SUM(BILLETAGE!AA5:'BILLETAGE'!AA265)</f>
        <v>5132</v>
      </c>
      <c r="C33" s="267"/>
      <c r="D33" s="268"/>
      <c r="E33" s="296">
        <f>SUM(BILLETAGE!AB5:'BILLETAGE'!AB265)</f>
        <v>-8755094710</v>
      </c>
      <c r="F33" s="297"/>
      <c r="G33" s="298"/>
      <c r="H33" s="289">
        <f>BILLETAGE!AE265</f>
        <v>-8755089578</v>
      </c>
      <c r="I33" s="258"/>
      <c r="J33" s="259"/>
    </row>
    <row r="34" spans="2:10" ht="20.100000000000001" customHeight="1" x14ac:dyDescent="0.25">
      <c r="B34" s="269"/>
      <c r="C34" s="270"/>
      <c r="D34" s="271"/>
      <c r="E34" s="299"/>
      <c r="F34" s="300"/>
      <c r="G34" s="301"/>
      <c r="H34" s="260"/>
      <c r="I34" s="261"/>
      <c r="J34" s="262"/>
    </row>
    <row r="35" spans="2:10" ht="9.9499999999999993" customHeight="1" x14ac:dyDescent="0.25"/>
    <row r="36" spans="2:10" ht="8.1" customHeight="1" x14ac:dyDescent="0.25"/>
    <row r="37" spans="2:10" ht="15.95" customHeight="1" x14ac:dyDescent="0.25">
      <c r="B37" s="275" t="s">
        <v>172</v>
      </c>
      <c r="C37" s="276"/>
      <c r="D37" s="276"/>
      <c r="E37" s="276"/>
      <c r="F37" s="277"/>
      <c r="G37" s="279">
        <f>COUNTIF(BILLETAGE!AA5:'BILLETAGE'!AA265,"&gt;0")</f>
        <v>1</v>
      </c>
      <c r="H37" s="276"/>
      <c r="I37" s="276"/>
      <c r="J37" s="277"/>
    </row>
    <row r="38" spans="2:10" ht="15.95" customHeight="1" x14ac:dyDescent="0.25">
      <c r="B38" s="313" t="s">
        <v>173</v>
      </c>
      <c r="C38" s="276"/>
      <c r="D38" s="276"/>
      <c r="E38" s="276"/>
      <c r="F38" s="277"/>
      <c r="G38" s="278">
        <f>COUNTIF(BILLETAGE!AB5:'BILLETAGE'!AB265,"&lt;0")</f>
        <v>155</v>
      </c>
      <c r="H38" s="276"/>
      <c r="I38" s="276"/>
      <c r="J38" s="277"/>
    </row>
    <row r="39" spans="2:10" ht="15.95" customHeight="1" x14ac:dyDescent="0.25">
      <c r="B39" s="295" t="s">
        <v>174</v>
      </c>
      <c r="C39" s="276"/>
      <c r="D39" s="276"/>
      <c r="E39" s="276"/>
      <c r="F39" s="277"/>
      <c r="G39" s="314">
        <f>COUNTIF(BILLETAGE!Y5:'BILLETAGE'!Y265,0)</f>
        <v>105</v>
      </c>
      <c r="H39" s="276"/>
      <c r="I39" s="276"/>
      <c r="J39" s="277"/>
    </row>
    <row r="40" spans="2:10" ht="15.95" customHeight="1" x14ac:dyDescent="0.25"/>
    <row r="41" spans="2:10" ht="8.1" customHeight="1" x14ac:dyDescent="0.25"/>
    <row r="42" spans="2:10" ht="15.95" customHeight="1" x14ac:dyDescent="0.25">
      <c r="B42" s="287" t="s">
        <v>175</v>
      </c>
      <c r="C42" s="276"/>
      <c r="D42" s="276"/>
      <c r="E42" s="276"/>
      <c r="F42" s="276"/>
      <c r="G42" s="276"/>
      <c r="H42" s="276"/>
      <c r="I42" s="276"/>
      <c r="J42" s="277"/>
    </row>
    <row r="43" spans="2:10" ht="15.95" customHeight="1" x14ac:dyDescent="0.25"/>
    <row r="44" spans="2:10" ht="15.95" customHeight="1" x14ac:dyDescent="0.25"/>
    <row r="45" spans="2:10" ht="15.95" customHeight="1" x14ac:dyDescent="0.25"/>
    <row r="46" spans="2:10" ht="15.95" customHeight="1" x14ac:dyDescent="0.25"/>
    <row r="47" spans="2:10" ht="15.95" customHeight="1" x14ac:dyDescent="0.25"/>
    <row r="48" spans="2:10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</sheetData>
  <sheetProtection password="8BDA" sheet="1" formatCells="0" formatColumns="0" formatRows="0"/>
  <mergeCells count="27">
    <mergeCell ref="B42:J42"/>
    <mergeCell ref="B1:J1"/>
    <mergeCell ref="H33:J34"/>
    <mergeCell ref="B10:D10"/>
    <mergeCell ref="B29:J29"/>
    <mergeCell ref="H32:J32"/>
    <mergeCell ref="B39:F39"/>
    <mergeCell ref="E33:G34"/>
    <mergeCell ref="B30:J30"/>
    <mergeCell ref="E32:G32"/>
    <mergeCell ref="H6:J7"/>
    <mergeCell ref="B5:D5"/>
    <mergeCell ref="B38:F38"/>
    <mergeCell ref="G39:J39"/>
    <mergeCell ref="H5:J5"/>
    <mergeCell ref="B33:D34"/>
    <mergeCell ref="B32:D32"/>
    <mergeCell ref="B37:F37"/>
    <mergeCell ref="G38:J38"/>
    <mergeCell ref="G37:J37"/>
    <mergeCell ref="B2:J2"/>
    <mergeCell ref="B3:J3"/>
    <mergeCell ref="B6:D7"/>
    <mergeCell ref="E5:G5"/>
    <mergeCell ref="B12:J12"/>
    <mergeCell ref="E6:G7"/>
    <mergeCell ref="E10:J10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T265"/>
  <sheetViews>
    <sheetView showGridLines="0" workbookViewId="0">
      <pane xSplit="5" ySplit="3" topLeftCell="F4" activePane="bottomRight" state="frozen"/>
      <selection activeCell="I109" sqref="I109"/>
      <selection pane="topRight" activeCell="I109" sqref="I109"/>
      <selection pane="bottomLeft" activeCell="I109" sqref="I109"/>
      <selection pane="bottomRight" activeCell="J245" sqref="J245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4" customWidth="1"/>
    <col min="5" max="5" width="7" customWidth="1"/>
    <col min="6" max="6" width="14" customWidth="1"/>
    <col min="7" max="12" width="13" customWidth="1"/>
    <col min="13" max="13" width="14" customWidth="1"/>
    <col min="14" max="14" width="12" customWidth="1"/>
    <col min="15" max="15" width="22" customWidth="1"/>
    <col min="16" max="18" width="15" customWidth="1"/>
    <col min="19" max="19" width="11" customWidth="1"/>
    <col min="20" max="20" width="22" customWidth="1"/>
    <col min="21" max="21" width="2" customWidth="1"/>
  </cols>
  <sheetData>
    <row r="1" spans="1:20" ht="27.95" customHeight="1" x14ac:dyDescent="0.25">
      <c r="A1" s="318" t="s">
        <v>176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</row>
    <row r="2" spans="1:20" ht="18" customHeight="1" x14ac:dyDescent="0.25">
      <c r="A2" s="322" t="s">
        <v>177</v>
      </c>
      <c r="B2" s="320"/>
      <c r="C2" s="320"/>
      <c r="D2" s="320"/>
      <c r="E2" s="250"/>
      <c r="F2" s="323" t="s">
        <v>178</v>
      </c>
      <c r="G2" s="319" t="s">
        <v>179</v>
      </c>
      <c r="H2" s="320"/>
      <c r="I2" s="250"/>
      <c r="J2" s="321" t="s">
        <v>180</v>
      </c>
      <c r="K2" s="320"/>
      <c r="L2" s="250"/>
      <c r="M2" s="323" t="s">
        <v>181</v>
      </c>
      <c r="N2" s="324" t="s">
        <v>182</v>
      </c>
      <c r="O2" s="250"/>
      <c r="P2" s="323" t="s">
        <v>183</v>
      </c>
      <c r="Q2" s="320"/>
      <c r="R2" s="250"/>
      <c r="S2" s="325" t="s">
        <v>184</v>
      </c>
      <c r="T2" s="325" t="s">
        <v>185</v>
      </c>
    </row>
    <row r="3" spans="1:20" ht="36" customHeight="1" x14ac:dyDescent="0.25">
      <c r="A3" s="36" t="s">
        <v>186</v>
      </c>
      <c r="B3" s="36" t="s">
        <v>187</v>
      </c>
      <c r="C3" s="36" t="s">
        <v>188</v>
      </c>
      <c r="D3" s="36" t="s">
        <v>145</v>
      </c>
      <c r="E3" s="36" t="s">
        <v>189</v>
      </c>
      <c r="F3" s="37" t="s">
        <v>190</v>
      </c>
      <c r="G3" s="38" t="s">
        <v>191</v>
      </c>
      <c r="H3" s="38" t="s">
        <v>192</v>
      </c>
      <c r="I3" s="38" t="s">
        <v>193</v>
      </c>
      <c r="J3" s="39" t="s">
        <v>194</v>
      </c>
      <c r="K3" s="40" t="s">
        <v>195</v>
      </c>
      <c r="L3" s="40" t="s">
        <v>196</v>
      </c>
      <c r="M3" s="37" t="s">
        <v>197</v>
      </c>
      <c r="N3" s="104" t="s">
        <v>198</v>
      </c>
      <c r="O3" s="41" t="s">
        <v>199</v>
      </c>
      <c r="P3" s="37" t="s">
        <v>200</v>
      </c>
      <c r="Q3" s="40" t="s">
        <v>201</v>
      </c>
      <c r="R3" s="38" t="s">
        <v>202</v>
      </c>
      <c r="S3" s="105" t="s">
        <v>203</v>
      </c>
      <c r="T3" s="42" t="s">
        <v>185</v>
      </c>
    </row>
    <row r="4" spans="1:20" ht="15.95" customHeight="1" x14ac:dyDescent="0.25">
      <c r="A4" s="43">
        <v>1</v>
      </c>
      <c r="B4" s="44">
        <v>46023</v>
      </c>
      <c r="C4" s="45" t="s">
        <v>204</v>
      </c>
      <c r="D4" s="43">
        <v>1</v>
      </c>
      <c r="E4" s="46">
        <v>1</v>
      </c>
      <c r="F4" s="8">
        <f>PARAMETRES!C11</f>
        <v>56377361</v>
      </c>
      <c r="G4" s="190">
        <v>0</v>
      </c>
      <c r="H4" s="190">
        <v>0</v>
      </c>
      <c r="I4" s="47">
        <f t="shared" ref="I4:I67" si="0">G4+H4</f>
        <v>0</v>
      </c>
      <c r="J4" s="191">
        <v>0</v>
      </c>
      <c r="K4" s="192">
        <v>0</v>
      </c>
      <c r="L4" s="192">
        <v>0</v>
      </c>
      <c r="M4" s="48">
        <f t="shared" ref="M4:M67" si="1">F4+I4-J4</f>
        <v>56377361</v>
      </c>
      <c r="N4" s="193">
        <v>0</v>
      </c>
      <c r="O4" s="49"/>
      <c r="P4" s="50">
        <f t="shared" ref="P4:P67" si="2">M4+N4</f>
        <v>56377361</v>
      </c>
      <c r="Q4" s="13">
        <f>PARAMETRES!C12+K4-L4</f>
        <v>4254897</v>
      </c>
      <c r="R4" s="51">
        <f t="shared" ref="R4:R67" si="3">P4-Q4</f>
        <v>52122464</v>
      </c>
      <c r="S4" s="176">
        <f>BILLETAGE!Y5</f>
        <v>0</v>
      </c>
      <c r="T4" s="52"/>
    </row>
    <row r="5" spans="1:20" ht="15.95" customHeight="1" x14ac:dyDescent="0.25">
      <c r="A5" s="43">
        <v>2</v>
      </c>
      <c r="B5" s="44">
        <v>46024</v>
      </c>
      <c r="C5" s="45" t="s">
        <v>205</v>
      </c>
      <c r="D5" s="43">
        <v>1</v>
      </c>
      <c r="E5" s="46">
        <v>1</v>
      </c>
      <c r="F5" s="8">
        <f t="shared" ref="F5:F68" si="4">P4</f>
        <v>56377361</v>
      </c>
      <c r="G5" s="190">
        <v>0</v>
      </c>
      <c r="H5" s="190">
        <v>0</v>
      </c>
      <c r="I5" s="47">
        <f t="shared" si="0"/>
        <v>0</v>
      </c>
      <c r="J5" s="191">
        <v>0</v>
      </c>
      <c r="K5" s="192">
        <v>0</v>
      </c>
      <c r="L5" s="192">
        <v>0</v>
      </c>
      <c r="M5" s="48">
        <f t="shared" si="1"/>
        <v>56377361</v>
      </c>
      <c r="N5" s="193">
        <v>0</v>
      </c>
      <c r="O5" s="49"/>
      <c r="P5" s="50">
        <f t="shared" si="2"/>
        <v>56377361</v>
      </c>
      <c r="Q5" s="13">
        <f t="shared" ref="Q5:Q68" si="5">Q4+K5-L5</f>
        <v>4254897</v>
      </c>
      <c r="R5" s="51">
        <f t="shared" si="3"/>
        <v>52122464</v>
      </c>
      <c r="S5" s="176">
        <f>BILLETAGE!Y6</f>
        <v>0</v>
      </c>
      <c r="T5" s="52"/>
    </row>
    <row r="6" spans="1:20" ht="15.95" customHeight="1" x14ac:dyDescent="0.25">
      <c r="A6" s="43">
        <v>3</v>
      </c>
      <c r="B6" s="44">
        <v>46027</v>
      </c>
      <c r="C6" s="45" t="s">
        <v>206</v>
      </c>
      <c r="D6" s="43">
        <v>1</v>
      </c>
      <c r="E6" s="46">
        <v>1</v>
      </c>
      <c r="F6" s="8">
        <f t="shared" si="4"/>
        <v>56377361</v>
      </c>
      <c r="G6" s="190">
        <v>0</v>
      </c>
      <c r="H6" s="190">
        <v>0</v>
      </c>
      <c r="I6" s="47">
        <f t="shared" si="0"/>
        <v>0</v>
      </c>
      <c r="J6" s="191">
        <v>0</v>
      </c>
      <c r="K6" s="192">
        <v>0</v>
      </c>
      <c r="L6" s="192">
        <v>0</v>
      </c>
      <c r="M6" s="48">
        <f t="shared" si="1"/>
        <v>56377361</v>
      </c>
      <c r="N6" s="193">
        <v>0</v>
      </c>
      <c r="O6" s="49"/>
      <c r="P6" s="50">
        <f t="shared" si="2"/>
        <v>56377361</v>
      </c>
      <c r="Q6" s="13">
        <f t="shared" si="5"/>
        <v>4254897</v>
      </c>
      <c r="R6" s="51">
        <f t="shared" si="3"/>
        <v>52122464</v>
      </c>
      <c r="S6" s="176">
        <f>BILLETAGE!Y7</f>
        <v>0</v>
      </c>
      <c r="T6" s="52"/>
    </row>
    <row r="7" spans="1:20" ht="15.95" customHeight="1" x14ac:dyDescent="0.25">
      <c r="A7" s="43">
        <v>4</v>
      </c>
      <c r="B7" s="44">
        <v>46028</v>
      </c>
      <c r="C7" s="45" t="s">
        <v>207</v>
      </c>
      <c r="D7" s="43">
        <v>1</v>
      </c>
      <c r="E7" s="46">
        <v>1</v>
      </c>
      <c r="F7" s="8">
        <f t="shared" si="4"/>
        <v>56377361</v>
      </c>
      <c r="G7" s="190">
        <v>0</v>
      </c>
      <c r="H7" s="190">
        <v>0</v>
      </c>
      <c r="I7" s="47">
        <f t="shared" si="0"/>
        <v>0</v>
      </c>
      <c r="J7" s="191">
        <v>0</v>
      </c>
      <c r="K7" s="192">
        <v>0</v>
      </c>
      <c r="L7" s="192">
        <v>0</v>
      </c>
      <c r="M7" s="48">
        <f t="shared" si="1"/>
        <v>56377361</v>
      </c>
      <c r="N7" s="193">
        <v>0</v>
      </c>
      <c r="O7" s="49"/>
      <c r="P7" s="50">
        <f t="shared" si="2"/>
        <v>56377361</v>
      </c>
      <c r="Q7" s="13">
        <f t="shared" si="5"/>
        <v>4254897</v>
      </c>
      <c r="R7" s="51">
        <f t="shared" si="3"/>
        <v>52122464</v>
      </c>
      <c r="S7" s="176">
        <f>BILLETAGE!Y8</f>
        <v>0</v>
      </c>
      <c r="T7" s="52"/>
    </row>
    <row r="8" spans="1:20" ht="15.95" customHeight="1" x14ac:dyDescent="0.25">
      <c r="A8" s="43">
        <v>5</v>
      </c>
      <c r="B8" s="44">
        <v>46029</v>
      </c>
      <c r="C8" s="45" t="s">
        <v>208</v>
      </c>
      <c r="D8" s="43">
        <v>1</v>
      </c>
      <c r="E8" s="46">
        <v>1</v>
      </c>
      <c r="F8" s="8">
        <f t="shared" si="4"/>
        <v>56377361</v>
      </c>
      <c r="G8" s="190">
        <v>0</v>
      </c>
      <c r="H8" s="190">
        <v>0</v>
      </c>
      <c r="I8" s="47">
        <f t="shared" si="0"/>
        <v>0</v>
      </c>
      <c r="J8" s="191">
        <v>0</v>
      </c>
      <c r="K8" s="192">
        <v>0</v>
      </c>
      <c r="L8" s="192">
        <v>0</v>
      </c>
      <c r="M8" s="48">
        <f t="shared" si="1"/>
        <v>56377361</v>
      </c>
      <c r="N8" s="193">
        <v>0</v>
      </c>
      <c r="O8" s="49"/>
      <c r="P8" s="50">
        <f t="shared" si="2"/>
        <v>56377361</v>
      </c>
      <c r="Q8" s="13">
        <f t="shared" si="5"/>
        <v>4254897</v>
      </c>
      <c r="R8" s="51">
        <f t="shared" si="3"/>
        <v>52122464</v>
      </c>
      <c r="S8" s="176">
        <f>BILLETAGE!Y9</f>
        <v>0</v>
      </c>
      <c r="T8" s="52"/>
    </row>
    <row r="9" spans="1:20" ht="15.95" customHeight="1" x14ac:dyDescent="0.25">
      <c r="A9" s="43">
        <v>6</v>
      </c>
      <c r="B9" s="44">
        <v>46030</v>
      </c>
      <c r="C9" s="45" t="s">
        <v>204</v>
      </c>
      <c r="D9" s="43">
        <v>1</v>
      </c>
      <c r="E9" s="46">
        <v>1</v>
      </c>
      <c r="F9" s="8">
        <f t="shared" si="4"/>
        <v>56377361</v>
      </c>
      <c r="G9" s="190">
        <v>0</v>
      </c>
      <c r="H9" s="190">
        <v>0</v>
      </c>
      <c r="I9" s="47">
        <f t="shared" si="0"/>
        <v>0</v>
      </c>
      <c r="J9" s="191">
        <v>0</v>
      </c>
      <c r="K9" s="192">
        <v>0</v>
      </c>
      <c r="L9" s="192">
        <v>0</v>
      </c>
      <c r="M9" s="48">
        <f t="shared" si="1"/>
        <v>56377361</v>
      </c>
      <c r="N9" s="193">
        <v>0</v>
      </c>
      <c r="O9" s="49"/>
      <c r="P9" s="50">
        <f t="shared" si="2"/>
        <v>56377361</v>
      </c>
      <c r="Q9" s="13">
        <f t="shared" si="5"/>
        <v>4254897</v>
      </c>
      <c r="R9" s="51">
        <f t="shared" si="3"/>
        <v>52122464</v>
      </c>
      <c r="S9" s="176">
        <f>BILLETAGE!Y10</f>
        <v>0</v>
      </c>
      <c r="T9" s="52"/>
    </row>
    <row r="10" spans="1:20" ht="15.95" customHeight="1" x14ac:dyDescent="0.25">
      <c r="A10" s="43">
        <v>7</v>
      </c>
      <c r="B10" s="44">
        <v>46031</v>
      </c>
      <c r="C10" s="45" t="s">
        <v>205</v>
      </c>
      <c r="D10" s="43">
        <v>1</v>
      </c>
      <c r="E10" s="46">
        <v>1</v>
      </c>
      <c r="F10" s="8">
        <f t="shared" si="4"/>
        <v>56377361</v>
      </c>
      <c r="G10" s="190">
        <v>0</v>
      </c>
      <c r="H10" s="190">
        <v>0</v>
      </c>
      <c r="I10" s="47">
        <f t="shared" si="0"/>
        <v>0</v>
      </c>
      <c r="J10" s="191">
        <v>0</v>
      </c>
      <c r="K10" s="192">
        <v>0</v>
      </c>
      <c r="L10" s="192">
        <v>0</v>
      </c>
      <c r="M10" s="48">
        <f t="shared" si="1"/>
        <v>56377361</v>
      </c>
      <c r="N10" s="193">
        <v>0</v>
      </c>
      <c r="O10" s="49"/>
      <c r="P10" s="50">
        <f t="shared" si="2"/>
        <v>56377361</v>
      </c>
      <c r="Q10" s="13">
        <f t="shared" si="5"/>
        <v>4254897</v>
      </c>
      <c r="R10" s="51">
        <f t="shared" si="3"/>
        <v>52122464</v>
      </c>
      <c r="S10" s="176">
        <f>BILLETAGE!Y11</f>
        <v>0</v>
      </c>
      <c r="T10" s="52"/>
    </row>
    <row r="11" spans="1:20" ht="15.95" customHeight="1" x14ac:dyDescent="0.25">
      <c r="A11" s="43">
        <v>8</v>
      </c>
      <c r="B11" s="44">
        <v>46034</v>
      </c>
      <c r="C11" s="45" t="s">
        <v>206</v>
      </c>
      <c r="D11" s="43">
        <v>1</v>
      </c>
      <c r="E11" s="46">
        <v>2</v>
      </c>
      <c r="F11" s="8">
        <f t="shared" si="4"/>
        <v>56377361</v>
      </c>
      <c r="G11" s="190">
        <v>0</v>
      </c>
      <c r="H11" s="190">
        <v>0</v>
      </c>
      <c r="I11" s="47">
        <f t="shared" si="0"/>
        <v>0</v>
      </c>
      <c r="J11" s="191">
        <v>0</v>
      </c>
      <c r="K11" s="192">
        <v>0</v>
      </c>
      <c r="L11" s="192">
        <v>0</v>
      </c>
      <c r="M11" s="48">
        <f t="shared" si="1"/>
        <v>56377361</v>
      </c>
      <c r="N11" s="193">
        <v>0</v>
      </c>
      <c r="O11" s="49"/>
      <c r="P11" s="50">
        <f t="shared" si="2"/>
        <v>56377361</v>
      </c>
      <c r="Q11" s="13">
        <f t="shared" si="5"/>
        <v>4254897</v>
      </c>
      <c r="R11" s="51">
        <f t="shared" si="3"/>
        <v>52122464</v>
      </c>
      <c r="S11" s="176">
        <f>BILLETAGE!Y12</f>
        <v>0</v>
      </c>
      <c r="T11" s="52"/>
    </row>
    <row r="12" spans="1:20" ht="15.95" customHeight="1" x14ac:dyDescent="0.25">
      <c r="A12" s="43">
        <v>9</v>
      </c>
      <c r="B12" s="44">
        <v>46035</v>
      </c>
      <c r="C12" s="45" t="s">
        <v>207</v>
      </c>
      <c r="D12" s="43">
        <v>1</v>
      </c>
      <c r="E12" s="46">
        <v>2</v>
      </c>
      <c r="F12" s="8">
        <f t="shared" si="4"/>
        <v>56377361</v>
      </c>
      <c r="G12" s="190">
        <v>0</v>
      </c>
      <c r="H12" s="190">
        <v>0</v>
      </c>
      <c r="I12" s="47">
        <f t="shared" si="0"/>
        <v>0</v>
      </c>
      <c r="J12" s="191">
        <v>0</v>
      </c>
      <c r="K12" s="192">
        <v>0</v>
      </c>
      <c r="L12" s="192">
        <v>0</v>
      </c>
      <c r="M12" s="48">
        <f t="shared" si="1"/>
        <v>56377361</v>
      </c>
      <c r="N12" s="193">
        <v>0</v>
      </c>
      <c r="O12" s="49"/>
      <c r="P12" s="50">
        <f t="shared" si="2"/>
        <v>56377361</v>
      </c>
      <c r="Q12" s="13">
        <f t="shared" si="5"/>
        <v>4254897</v>
      </c>
      <c r="R12" s="51">
        <f t="shared" si="3"/>
        <v>52122464</v>
      </c>
      <c r="S12" s="176">
        <f>BILLETAGE!Y13</f>
        <v>0</v>
      </c>
      <c r="T12" s="52"/>
    </row>
    <row r="13" spans="1:20" ht="15.95" customHeight="1" x14ac:dyDescent="0.25">
      <c r="A13" s="43">
        <v>10</v>
      </c>
      <c r="B13" s="44">
        <v>46036</v>
      </c>
      <c r="C13" s="45" t="s">
        <v>208</v>
      </c>
      <c r="D13" s="43">
        <v>1</v>
      </c>
      <c r="E13" s="46">
        <v>2</v>
      </c>
      <c r="F13" s="8">
        <f t="shared" si="4"/>
        <v>56377361</v>
      </c>
      <c r="G13" s="190">
        <v>0</v>
      </c>
      <c r="H13" s="190">
        <v>0</v>
      </c>
      <c r="I13" s="47">
        <f t="shared" si="0"/>
        <v>0</v>
      </c>
      <c r="J13" s="191">
        <v>0</v>
      </c>
      <c r="K13" s="192">
        <v>0</v>
      </c>
      <c r="L13" s="192">
        <v>0</v>
      </c>
      <c r="M13" s="48">
        <f t="shared" si="1"/>
        <v>56377361</v>
      </c>
      <c r="N13" s="193">
        <v>0</v>
      </c>
      <c r="O13" s="49"/>
      <c r="P13" s="50">
        <f t="shared" si="2"/>
        <v>56377361</v>
      </c>
      <c r="Q13" s="13">
        <f t="shared" si="5"/>
        <v>4254897</v>
      </c>
      <c r="R13" s="51">
        <f t="shared" si="3"/>
        <v>52122464</v>
      </c>
      <c r="S13" s="176">
        <f>BILLETAGE!Y14</f>
        <v>0</v>
      </c>
      <c r="T13" s="52"/>
    </row>
    <row r="14" spans="1:20" ht="15.95" customHeight="1" x14ac:dyDescent="0.25">
      <c r="A14" s="43">
        <v>11</v>
      </c>
      <c r="B14" s="44">
        <v>46037</v>
      </c>
      <c r="C14" s="45" t="s">
        <v>204</v>
      </c>
      <c r="D14" s="43">
        <v>1</v>
      </c>
      <c r="E14" s="46">
        <v>2</v>
      </c>
      <c r="F14" s="8">
        <f t="shared" si="4"/>
        <v>56377361</v>
      </c>
      <c r="G14" s="190">
        <v>0</v>
      </c>
      <c r="H14" s="190">
        <v>0</v>
      </c>
      <c r="I14" s="47">
        <f t="shared" si="0"/>
        <v>0</v>
      </c>
      <c r="J14" s="191">
        <v>0</v>
      </c>
      <c r="K14" s="192">
        <v>0</v>
      </c>
      <c r="L14" s="192">
        <v>0</v>
      </c>
      <c r="M14" s="48">
        <f t="shared" si="1"/>
        <v>56377361</v>
      </c>
      <c r="N14" s="193">
        <v>0</v>
      </c>
      <c r="O14" s="49"/>
      <c r="P14" s="50">
        <f t="shared" si="2"/>
        <v>56377361</v>
      </c>
      <c r="Q14" s="13">
        <f t="shared" si="5"/>
        <v>4254897</v>
      </c>
      <c r="R14" s="51">
        <f t="shared" si="3"/>
        <v>52122464</v>
      </c>
      <c r="S14" s="176">
        <f>BILLETAGE!Y15</f>
        <v>0</v>
      </c>
      <c r="T14" s="52"/>
    </row>
    <row r="15" spans="1:20" ht="15.95" customHeight="1" x14ac:dyDescent="0.25">
      <c r="A15" s="43">
        <v>12</v>
      </c>
      <c r="B15" s="44">
        <v>46038</v>
      </c>
      <c r="C15" s="45" t="s">
        <v>205</v>
      </c>
      <c r="D15" s="43">
        <v>1</v>
      </c>
      <c r="E15" s="46">
        <v>2</v>
      </c>
      <c r="F15" s="8">
        <f t="shared" si="4"/>
        <v>56377361</v>
      </c>
      <c r="G15" s="190">
        <v>0</v>
      </c>
      <c r="H15" s="190">
        <v>0</v>
      </c>
      <c r="I15" s="47">
        <f t="shared" si="0"/>
        <v>0</v>
      </c>
      <c r="J15" s="191">
        <v>0</v>
      </c>
      <c r="K15" s="192">
        <v>0</v>
      </c>
      <c r="L15" s="192">
        <v>0</v>
      </c>
      <c r="M15" s="48">
        <f t="shared" si="1"/>
        <v>56377361</v>
      </c>
      <c r="N15" s="193">
        <v>0</v>
      </c>
      <c r="O15" s="49"/>
      <c r="P15" s="50">
        <f t="shared" si="2"/>
        <v>56377361</v>
      </c>
      <c r="Q15" s="13">
        <f t="shared" si="5"/>
        <v>4254897</v>
      </c>
      <c r="R15" s="51">
        <f t="shared" si="3"/>
        <v>52122464</v>
      </c>
      <c r="S15" s="176">
        <f>BILLETAGE!Y16</f>
        <v>0</v>
      </c>
      <c r="T15" s="52"/>
    </row>
    <row r="16" spans="1:20" ht="15.95" customHeight="1" x14ac:dyDescent="0.25">
      <c r="A16" s="43">
        <v>13</v>
      </c>
      <c r="B16" s="44">
        <v>46041</v>
      </c>
      <c r="C16" s="45" t="s">
        <v>206</v>
      </c>
      <c r="D16" s="43">
        <v>1</v>
      </c>
      <c r="E16" s="46">
        <v>2</v>
      </c>
      <c r="F16" s="8">
        <f t="shared" si="4"/>
        <v>56377361</v>
      </c>
      <c r="G16" s="190">
        <v>0</v>
      </c>
      <c r="H16" s="190">
        <v>0</v>
      </c>
      <c r="I16" s="47">
        <f t="shared" si="0"/>
        <v>0</v>
      </c>
      <c r="J16" s="191">
        <v>0</v>
      </c>
      <c r="K16" s="192">
        <v>0</v>
      </c>
      <c r="L16" s="192">
        <v>0</v>
      </c>
      <c r="M16" s="48">
        <f t="shared" si="1"/>
        <v>56377361</v>
      </c>
      <c r="N16" s="193">
        <v>0</v>
      </c>
      <c r="O16" s="49"/>
      <c r="P16" s="50">
        <f t="shared" si="2"/>
        <v>56377361</v>
      </c>
      <c r="Q16" s="13">
        <f t="shared" si="5"/>
        <v>4254897</v>
      </c>
      <c r="R16" s="51">
        <f t="shared" si="3"/>
        <v>52122464</v>
      </c>
      <c r="S16" s="176">
        <f>BILLETAGE!Y17</f>
        <v>0</v>
      </c>
      <c r="T16" s="52"/>
    </row>
    <row r="17" spans="1:20" ht="15.95" customHeight="1" x14ac:dyDescent="0.25">
      <c r="A17" s="43">
        <v>14</v>
      </c>
      <c r="B17" s="44">
        <v>46042</v>
      </c>
      <c r="C17" s="45" t="s">
        <v>207</v>
      </c>
      <c r="D17" s="43">
        <v>1</v>
      </c>
      <c r="E17" s="46">
        <v>2</v>
      </c>
      <c r="F17" s="8">
        <f t="shared" si="4"/>
        <v>56377361</v>
      </c>
      <c r="G17" s="190">
        <v>0</v>
      </c>
      <c r="H17" s="190">
        <v>0</v>
      </c>
      <c r="I17" s="47">
        <f t="shared" si="0"/>
        <v>0</v>
      </c>
      <c r="J17" s="191">
        <v>0</v>
      </c>
      <c r="K17" s="192">
        <v>0</v>
      </c>
      <c r="L17" s="192">
        <v>0</v>
      </c>
      <c r="M17" s="48">
        <f t="shared" si="1"/>
        <v>56377361</v>
      </c>
      <c r="N17" s="193">
        <v>0</v>
      </c>
      <c r="O17" s="49"/>
      <c r="P17" s="50">
        <f t="shared" si="2"/>
        <v>56377361</v>
      </c>
      <c r="Q17" s="13">
        <f t="shared" si="5"/>
        <v>4254897</v>
      </c>
      <c r="R17" s="51">
        <f t="shared" si="3"/>
        <v>52122464</v>
      </c>
      <c r="S17" s="176">
        <f>BILLETAGE!Y18</f>
        <v>0</v>
      </c>
      <c r="T17" s="52"/>
    </row>
    <row r="18" spans="1:20" ht="15.95" customHeight="1" x14ac:dyDescent="0.25">
      <c r="A18" s="43">
        <v>15</v>
      </c>
      <c r="B18" s="44">
        <v>46043</v>
      </c>
      <c r="C18" s="45" t="s">
        <v>208</v>
      </c>
      <c r="D18" s="43">
        <v>1</v>
      </c>
      <c r="E18" s="46">
        <v>3</v>
      </c>
      <c r="F18" s="8">
        <f t="shared" si="4"/>
        <v>56377361</v>
      </c>
      <c r="G18" s="190">
        <v>0</v>
      </c>
      <c r="H18" s="190">
        <v>0</v>
      </c>
      <c r="I18" s="47">
        <f t="shared" si="0"/>
        <v>0</v>
      </c>
      <c r="J18" s="191">
        <v>0</v>
      </c>
      <c r="K18" s="192">
        <v>0</v>
      </c>
      <c r="L18" s="192">
        <v>0</v>
      </c>
      <c r="M18" s="48">
        <f t="shared" si="1"/>
        <v>56377361</v>
      </c>
      <c r="N18" s="193">
        <v>0</v>
      </c>
      <c r="O18" s="49"/>
      <c r="P18" s="50">
        <f t="shared" si="2"/>
        <v>56377361</v>
      </c>
      <c r="Q18" s="13">
        <f t="shared" si="5"/>
        <v>4254897</v>
      </c>
      <c r="R18" s="51">
        <f t="shared" si="3"/>
        <v>52122464</v>
      </c>
      <c r="S18" s="176">
        <f>BILLETAGE!Y19</f>
        <v>0</v>
      </c>
      <c r="T18" s="52"/>
    </row>
    <row r="19" spans="1:20" ht="15.95" customHeight="1" x14ac:dyDescent="0.25">
      <c r="A19" s="43">
        <v>16</v>
      </c>
      <c r="B19" s="44">
        <v>46044</v>
      </c>
      <c r="C19" s="45" t="s">
        <v>204</v>
      </c>
      <c r="D19" s="43">
        <v>1</v>
      </c>
      <c r="E19" s="46">
        <v>3</v>
      </c>
      <c r="F19" s="8">
        <f t="shared" si="4"/>
        <v>56377361</v>
      </c>
      <c r="G19" s="190">
        <v>0</v>
      </c>
      <c r="H19" s="190">
        <v>0</v>
      </c>
      <c r="I19" s="47">
        <f t="shared" si="0"/>
        <v>0</v>
      </c>
      <c r="J19" s="191">
        <v>0</v>
      </c>
      <c r="K19" s="192">
        <v>0</v>
      </c>
      <c r="L19" s="192">
        <v>0</v>
      </c>
      <c r="M19" s="48">
        <f t="shared" si="1"/>
        <v>56377361</v>
      </c>
      <c r="N19" s="193">
        <v>0</v>
      </c>
      <c r="O19" s="49"/>
      <c r="P19" s="50">
        <f t="shared" si="2"/>
        <v>56377361</v>
      </c>
      <c r="Q19" s="13">
        <f t="shared" si="5"/>
        <v>4254897</v>
      </c>
      <c r="R19" s="51">
        <f t="shared" si="3"/>
        <v>52122464</v>
      </c>
      <c r="S19" s="176">
        <f>BILLETAGE!Y20</f>
        <v>0</v>
      </c>
      <c r="T19" s="52"/>
    </row>
    <row r="20" spans="1:20" ht="15.95" customHeight="1" x14ac:dyDescent="0.25">
      <c r="A20" s="43">
        <v>17</v>
      </c>
      <c r="B20" s="44">
        <v>46045</v>
      </c>
      <c r="C20" s="45" t="s">
        <v>205</v>
      </c>
      <c r="D20" s="43">
        <v>1</v>
      </c>
      <c r="E20" s="46">
        <v>3</v>
      </c>
      <c r="F20" s="8">
        <f t="shared" si="4"/>
        <v>56377361</v>
      </c>
      <c r="G20" s="190">
        <v>0</v>
      </c>
      <c r="H20" s="190">
        <v>0</v>
      </c>
      <c r="I20" s="47">
        <f t="shared" si="0"/>
        <v>0</v>
      </c>
      <c r="J20" s="191">
        <v>0</v>
      </c>
      <c r="K20" s="192">
        <v>0</v>
      </c>
      <c r="L20" s="192">
        <v>0</v>
      </c>
      <c r="M20" s="48">
        <f t="shared" si="1"/>
        <v>56377361</v>
      </c>
      <c r="N20" s="193">
        <v>0</v>
      </c>
      <c r="O20" s="49"/>
      <c r="P20" s="50">
        <f t="shared" si="2"/>
        <v>56377361</v>
      </c>
      <c r="Q20" s="13">
        <f t="shared" si="5"/>
        <v>4254897</v>
      </c>
      <c r="R20" s="51">
        <f t="shared" si="3"/>
        <v>52122464</v>
      </c>
      <c r="S20" s="176">
        <f>BILLETAGE!Y21</f>
        <v>0</v>
      </c>
      <c r="T20" s="52"/>
    </row>
    <row r="21" spans="1:20" ht="15.95" customHeight="1" x14ac:dyDescent="0.25">
      <c r="A21" s="43">
        <v>18</v>
      </c>
      <c r="B21" s="44">
        <v>46048</v>
      </c>
      <c r="C21" s="45" t="s">
        <v>206</v>
      </c>
      <c r="D21" s="43">
        <v>1</v>
      </c>
      <c r="E21" s="46">
        <v>3</v>
      </c>
      <c r="F21" s="8">
        <f t="shared" si="4"/>
        <v>56377361</v>
      </c>
      <c r="G21" s="190">
        <v>0</v>
      </c>
      <c r="H21" s="190">
        <v>0</v>
      </c>
      <c r="I21" s="47">
        <f t="shared" si="0"/>
        <v>0</v>
      </c>
      <c r="J21" s="191">
        <v>0</v>
      </c>
      <c r="K21" s="192">
        <v>0</v>
      </c>
      <c r="L21" s="192">
        <v>0</v>
      </c>
      <c r="M21" s="48">
        <f t="shared" si="1"/>
        <v>56377361</v>
      </c>
      <c r="N21" s="193">
        <v>0</v>
      </c>
      <c r="O21" s="49"/>
      <c r="P21" s="50">
        <f t="shared" si="2"/>
        <v>56377361</v>
      </c>
      <c r="Q21" s="13">
        <f t="shared" si="5"/>
        <v>4254897</v>
      </c>
      <c r="R21" s="51">
        <f t="shared" si="3"/>
        <v>52122464</v>
      </c>
      <c r="S21" s="176">
        <f>BILLETAGE!Y22</f>
        <v>0</v>
      </c>
      <c r="T21" s="52"/>
    </row>
    <row r="22" spans="1:20" ht="15.95" customHeight="1" x14ac:dyDescent="0.25">
      <c r="A22" s="43">
        <v>19</v>
      </c>
      <c r="B22" s="44">
        <v>46049</v>
      </c>
      <c r="C22" s="45" t="s">
        <v>207</v>
      </c>
      <c r="D22" s="43">
        <v>1</v>
      </c>
      <c r="E22" s="46">
        <v>3</v>
      </c>
      <c r="F22" s="8">
        <f t="shared" si="4"/>
        <v>56377361</v>
      </c>
      <c r="G22" s="190">
        <v>0</v>
      </c>
      <c r="H22" s="190">
        <v>0</v>
      </c>
      <c r="I22" s="47">
        <f t="shared" si="0"/>
        <v>0</v>
      </c>
      <c r="J22" s="191">
        <v>0</v>
      </c>
      <c r="K22" s="192">
        <v>0</v>
      </c>
      <c r="L22" s="192">
        <v>0</v>
      </c>
      <c r="M22" s="48">
        <f t="shared" si="1"/>
        <v>56377361</v>
      </c>
      <c r="N22" s="193">
        <v>0</v>
      </c>
      <c r="O22" s="49"/>
      <c r="P22" s="50">
        <f t="shared" si="2"/>
        <v>56377361</v>
      </c>
      <c r="Q22" s="13">
        <f t="shared" si="5"/>
        <v>4254897</v>
      </c>
      <c r="R22" s="51">
        <f t="shared" si="3"/>
        <v>52122464</v>
      </c>
      <c r="S22" s="176">
        <f>BILLETAGE!Y23</f>
        <v>0</v>
      </c>
      <c r="T22" s="52"/>
    </row>
    <row r="23" spans="1:20" ht="15.95" customHeight="1" x14ac:dyDescent="0.25">
      <c r="A23" s="43">
        <v>20</v>
      </c>
      <c r="B23" s="44">
        <v>46050</v>
      </c>
      <c r="C23" s="45" t="s">
        <v>208</v>
      </c>
      <c r="D23" s="43">
        <v>1</v>
      </c>
      <c r="E23" s="46">
        <v>3</v>
      </c>
      <c r="F23" s="8">
        <f t="shared" si="4"/>
        <v>56377361</v>
      </c>
      <c r="G23" s="190">
        <v>0</v>
      </c>
      <c r="H23" s="190">
        <v>0</v>
      </c>
      <c r="I23" s="47">
        <f t="shared" si="0"/>
        <v>0</v>
      </c>
      <c r="J23" s="191">
        <v>0</v>
      </c>
      <c r="K23" s="192">
        <v>0</v>
      </c>
      <c r="L23" s="192">
        <v>0</v>
      </c>
      <c r="M23" s="48">
        <f t="shared" si="1"/>
        <v>56377361</v>
      </c>
      <c r="N23" s="193">
        <v>0</v>
      </c>
      <c r="O23" s="49"/>
      <c r="P23" s="50">
        <f t="shared" si="2"/>
        <v>56377361</v>
      </c>
      <c r="Q23" s="13">
        <f t="shared" si="5"/>
        <v>4254897</v>
      </c>
      <c r="R23" s="51">
        <f t="shared" si="3"/>
        <v>52122464</v>
      </c>
      <c r="S23" s="176">
        <f>BILLETAGE!Y24</f>
        <v>0</v>
      </c>
      <c r="T23" s="52"/>
    </row>
    <row r="24" spans="1:20" ht="15.95" customHeight="1" x14ac:dyDescent="0.25">
      <c r="A24" s="43">
        <v>21</v>
      </c>
      <c r="B24" s="44">
        <v>46051</v>
      </c>
      <c r="C24" s="45" t="s">
        <v>204</v>
      </c>
      <c r="D24" s="43">
        <v>1</v>
      </c>
      <c r="E24" s="46">
        <v>3</v>
      </c>
      <c r="F24" s="8">
        <f t="shared" si="4"/>
        <v>56377361</v>
      </c>
      <c r="G24" s="190">
        <v>0</v>
      </c>
      <c r="H24" s="190">
        <v>0</v>
      </c>
      <c r="I24" s="47">
        <f t="shared" si="0"/>
        <v>0</v>
      </c>
      <c r="J24" s="191">
        <v>0</v>
      </c>
      <c r="K24" s="192">
        <v>0</v>
      </c>
      <c r="L24" s="192">
        <v>0</v>
      </c>
      <c r="M24" s="48">
        <f t="shared" si="1"/>
        <v>56377361</v>
      </c>
      <c r="N24" s="193">
        <v>0</v>
      </c>
      <c r="O24" s="49"/>
      <c r="P24" s="50">
        <f t="shared" si="2"/>
        <v>56377361</v>
      </c>
      <c r="Q24" s="13">
        <f t="shared" si="5"/>
        <v>4254897</v>
      </c>
      <c r="R24" s="51">
        <f t="shared" si="3"/>
        <v>52122464</v>
      </c>
      <c r="S24" s="176">
        <f>BILLETAGE!Y25</f>
        <v>0</v>
      </c>
      <c r="T24" s="52"/>
    </row>
    <row r="25" spans="1:20" ht="15.95" customHeight="1" x14ac:dyDescent="0.25">
      <c r="A25" s="43">
        <v>22</v>
      </c>
      <c r="B25" s="44">
        <v>46052</v>
      </c>
      <c r="C25" s="45" t="s">
        <v>205</v>
      </c>
      <c r="D25" s="43">
        <v>1</v>
      </c>
      <c r="E25" s="46">
        <v>3</v>
      </c>
      <c r="F25" s="8">
        <f t="shared" si="4"/>
        <v>56377361</v>
      </c>
      <c r="G25" s="190">
        <v>0</v>
      </c>
      <c r="H25" s="190">
        <v>0</v>
      </c>
      <c r="I25" s="47">
        <f t="shared" si="0"/>
        <v>0</v>
      </c>
      <c r="J25" s="191">
        <v>0</v>
      </c>
      <c r="K25" s="192">
        <v>0</v>
      </c>
      <c r="L25" s="192">
        <v>0</v>
      </c>
      <c r="M25" s="48">
        <f t="shared" si="1"/>
        <v>56377361</v>
      </c>
      <c r="N25" s="193">
        <v>0</v>
      </c>
      <c r="O25" s="49"/>
      <c r="P25" s="50">
        <f t="shared" si="2"/>
        <v>56377361</v>
      </c>
      <c r="Q25" s="13">
        <f t="shared" si="5"/>
        <v>4254897</v>
      </c>
      <c r="R25" s="51">
        <f t="shared" si="3"/>
        <v>52122464</v>
      </c>
      <c r="S25" s="176">
        <f>BILLETAGE!Y26</f>
        <v>0</v>
      </c>
      <c r="T25" s="52"/>
    </row>
    <row r="26" spans="1:20" ht="15.95" customHeight="1" x14ac:dyDescent="0.25">
      <c r="A26" s="53">
        <v>23</v>
      </c>
      <c r="B26" s="54">
        <v>46055</v>
      </c>
      <c r="C26" s="55" t="s">
        <v>206</v>
      </c>
      <c r="D26" s="53">
        <v>2</v>
      </c>
      <c r="E26" s="56">
        <v>4</v>
      </c>
      <c r="F26" s="12">
        <f t="shared" si="4"/>
        <v>56377361</v>
      </c>
      <c r="G26" s="190">
        <v>0</v>
      </c>
      <c r="H26" s="190">
        <v>0</v>
      </c>
      <c r="I26" s="47">
        <f t="shared" si="0"/>
        <v>0</v>
      </c>
      <c r="J26" s="191">
        <v>0</v>
      </c>
      <c r="K26" s="192">
        <v>0</v>
      </c>
      <c r="L26" s="192">
        <v>0</v>
      </c>
      <c r="M26" s="48">
        <f t="shared" si="1"/>
        <v>56377361</v>
      </c>
      <c r="N26" s="193">
        <v>0</v>
      </c>
      <c r="O26" s="49"/>
      <c r="P26" s="50">
        <f t="shared" si="2"/>
        <v>56377361</v>
      </c>
      <c r="Q26" s="13">
        <f t="shared" si="5"/>
        <v>4254897</v>
      </c>
      <c r="R26" s="51">
        <f t="shared" si="3"/>
        <v>52122464</v>
      </c>
      <c r="S26" s="176">
        <f>BILLETAGE!Y27</f>
        <v>0</v>
      </c>
      <c r="T26" s="57"/>
    </row>
    <row r="27" spans="1:20" ht="15.95" customHeight="1" x14ac:dyDescent="0.25">
      <c r="A27" s="53">
        <v>24</v>
      </c>
      <c r="B27" s="54">
        <v>46056</v>
      </c>
      <c r="C27" s="55" t="s">
        <v>207</v>
      </c>
      <c r="D27" s="53">
        <v>2</v>
      </c>
      <c r="E27" s="56">
        <v>4</v>
      </c>
      <c r="F27" s="12">
        <f t="shared" si="4"/>
        <v>56377361</v>
      </c>
      <c r="G27" s="190">
        <v>0</v>
      </c>
      <c r="H27" s="190">
        <v>0</v>
      </c>
      <c r="I27" s="47">
        <f t="shared" si="0"/>
        <v>0</v>
      </c>
      <c r="J27" s="191">
        <v>0</v>
      </c>
      <c r="K27" s="192">
        <v>0</v>
      </c>
      <c r="L27" s="192">
        <v>0</v>
      </c>
      <c r="M27" s="48">
        <f t="shared" si="1"/>
        <v>56377361</v>
      </c>
      <c r="N27" s="193">
        <v>0</v>
      </c>
      <c r="O27" s="49"/>
      <c r="P27" s="50">
        <f t="shared" si="2"/>
        <v>56377361</v>
      </c>
      <c r="Q27" s="13">
        <f t="shared" si="5"/>
        <v>4254897</v>
      </c>
      <c r="R27" s="51">
        <f t="shared" si="3"/>
        <v>52122464</v>
      </c>
      <c r="S27" s="176">
        <f>BILLETAGE!Y28</f>
        <v>0</v>
      </c>
      <c r="T27" s="57"/>
    </row>
    <row r="28" spans="1:20" ht="15.95" customHeight="1" x14ac:dyDescent="0.25">
      <c r="A28" s="53">
        <v>25</v>
      </c>
      <c r="B28" s="54">
        <v>46057</v>
      </c>
      <c r="C28" s="55" t="s">
        <v>208</v>
      </c>
      <c r="D28" s="53">
        <v>2</v>
      </c>
      <c r="E28" s="56">
        <v>4</v>
      </c>
      <c r="F28" s="12">
        <f t="shared" si="4"/>
        <v>56377361</v>
      </c>
      <c r="G28" s="190">
        <v>0</v>
      </c>
      <c r="H28" s="190">
        <v>0</v>
      </c>
      <c r="I28" s="47">
        <f t="shared" si="0"/>
        <v>0</v>
      </c>
      <c r="J28" s="191">
        <v>0</v>
      </c>
      <c r="K28" s="192">
        <v>0</v>
      </c>
      <c r="L28" s="192">
        <v>0</v>
      </c>
      <c r="M28" s="48">
        <f t="shared" si="1"/>
        <v>56377361</v>
      </c>
      <c r="N28" s="193">
        <v>0</v>
      </c>
      <c r="O28" s="49"/>
      <c r="P28" s="50">
        <f t="shared" si="2"/>
        <v>56377361</v>
      </c>
      <c r="Q28" s="13">
        <f t="shared" si="5"/>
        <v>4254897</v>
      </c>
      <c r="R28" s="51">
        <f t="shared" si="3"/>
        <v>52122464</v>
      </c>
      <c r="S28" s="176">
        <f>BILLETAGE!Y29</f>
        <v>0</v>
      </c>
      <c r="T28" s="57"/>
    </row>
    <row r="29" spans="1:20" ht="15.95" customHeight="1" x14ac:dyDescent="0.25">
      <c r="A29" s="53">
        <v>26</v>
      </c>
      <c r="B29" s="54">
        <v>46058</v>
      </c>
      <c r="C29" s="55" t="s">
        <v>204</v>
      </c>
      <c r="D29" s="53">
        <v>2</v>
      </c>
      <c r="E29" s="56">
        <v>4</v>
      </c>
      <c r="F29" s="12">
        <f t="shared" si="4"/>
        <v>56377361</v>
      </c>
      <c r="G29" s="190">
        <v>0</v>
      </c>
      <c r="H29" s="190">
        <v>0</v>
      </c>
      <c r="I29" s="47">
        <f t="shared" si="0"/>
        <v>0</v>
      </c>
      <c r="J29" s="191">
        <v>0</v>
      </c>
      <c r="K29" s="192">
        <v>0</v>
      </c>
      <c r="L29" s="192">
        <v>0</v>
      </c>
      <c r="M29" s="48">
        <f t="shared" si="1"/>
        <v>56377361</v>
      </c>
      <c r="N29" s="193">
        <v>0</v>
      </c>
      <c r="O29" s="49"/>
      <c r="P29" s="50">
        <f t="shared" si="2"/>
        <v>56377361</v>
      </c>
      <c r="Q29" s="13">
        <f t="shared" si="5"/>
        <v>4254897</v>
      </c>
      <c r="R29" s="51">
        <f t="shared" si="3"/>
        <v>52122464</v>
      </c>
      <c r="S29" s="176">
        <f>BILLETAGE!Y30</f>
        <v>0</v>
      </c>
      <c r="T29" s="57"/>
    </row>
    <row r="30" spans="1:20" ht="15.95" customHeight="1" x14ac:dyDescent="0.25">
      <c r="A30" s="53">
        <v>27</v>
      </c>
      <c r="B30" s="54">
        <v>46059</v>
      </c>
      <c r="C30" s="55" t="s">
        <v>205</v>
      </c>
      <c r="D30" s="53">
        <v>2</v>
      </c>
      <c r="E30" s="56">
        <v>4</v>
      </c>
      <c r="F30" s="12">
        <f t="shared" si="4"/>
        <v>56377361</v>
      </c>
      <c r="G30" s="190">
        <v>0</v>
      </c>
      <c r="H30" s="190">
        <v>0</v>
      </c>
      <c r="I30" s="47">
        <f t="shared" si="0"/>
        <v>0</v>
      </c>
      <c r="J30" s="191">
        <v>0</v>
      </c>
      <c r="K30" s="192">
        <v>0</v>
      </c>
      <c r="L30" s="192">
        <v>0</v>
      </c>
      <c r="M30" s="48">
        <f t="shared" si="1"/>
        <v>56377361</v>
      </c>
      <c r="N30" s="193">
        <v>0</v>
      </c>
      <c r="O30" s="49"/>
      <c r="P30" s="50">
        <f t="shared" si="2"/>
        <v>56377361</v>
      </c>
      <c r="Q30" s="13">
        <f t="shared" si="5"/>
        <v>4254897</v>
      </c>
      <c r="R30" s="51">
        <f t="shared" si="3"/>
        <v>52122464</v>
      </c>
      <c r="S30" s="176">
        <f>BILLETAGE!Y31</f>
        <v>0</v>
      </c>
      <c r="T30" s="57"/>
    </row>
    <row r="31" spans="1:20" ht="15.95" customHeight="1" x14ac:dyDescent="0.25">
      <c r="A31" s="53">
        <v>28</v>
      </c>
      <c r="B31" s="54">
        <v>46062</v>
      </c>
      <c r="C31" s="55" t="s">
        <v>206</v>
      </c>
      <c r="D31" s="53">
        <v>2</v>
      </c>
      <c r="E31" s="56">
        <v>4</v>
      </c>
      <c r="F31" s="12">
        <f t="shared" si="4"/>
        <v>56377361</v>
      </c>
      <c r="G31" s="190">
        <v>0</v>
      </c>
      <c r="H31" s="190">
        <v>0</v>
      </c>
      <c r="I31" s="47">
        <f t="shared" si="0"/>
        <v>0</v>
      </c>
      <c r="J31" s="191">
        <v>0</v>
      </c>
      <c r="K31" s="192">
        <v>0</v>
      </c>
      <c r="L31" s="192">
        <v>0</v>
      </c>
      <c r="M31" s="48">
        <f t="shared" si="1"/>
        <v>56377361</v>
      </c>
      <c r="N31" s="193">
        <v>0</v>
      </c>
      <c r="O31" s="49"/>
      <c r="P31" s="50">
        <f t="shared" si="2"/>
        <v>56377361</v>
      </c>
      <c r="Q31" s="13">
        <f t="shared" si="5"/>
        <v>4254897</v>
      </c>
      <c r="R31" s="51">
        <f t="shared" si="3"/>
        <v>52122464</v>
      </c>
      <c r="S31" s="176">
        <f>BILLETAGE!Y32</f>
        <v>0</v>
      </c>
      <c r="T31" s="57"/>
    </row>
    <row r="32" spans="1:20" ht="15.95" customHeight="1" x14ac:dyDescent="0.25">
      <c r="A32" s="53">
        <v>29</v>
      </c>
      <c r="B32" s="54">
        <v>46063</v>
      </c>
      <c r="C32" s="55" t="s">
        <v>207</v>
      </c>
      <c r="D32" s="53">
        <v>2</v>
      </c>
      <c r="E32" s="56">
        <v>4</v>
      </c>
      <c r="F32" s="12">
        <f t="shared" si="4"/>
        <v>56377361</v>
      </c>
      <c r="G32" s="190">
        <v>0</v>
      </c>
      <c r="H32" s="190">
        <v>0</v>
      </c>
      <c r="I32" s="47">
        <f t="shared" si="0"/>
        <v>0</v>
      </c>
      <c r="J32" s="191">
        <v>0</v>
      </c>
      <c r="K32" s="192">
        <v>0</v>
      </c>
      <c r="L32" s="192">
        <v>0</v>
      </c>
      <c r="M32" s="48">
        <f t="shared" si="1"/>
        <v>56377361</v>
      </c>
      <c r="N32" s="193">
        <v>0</v>
      </c>
      <c r="O32" s="49"/>
      <c r="P32" s="50">
        <f t="shared" si="2"/>
        <v>56377361</v>
      </c>
      <c r="Q32" s="13">
        <f t="shared" si="5"/>
        <v>4254897</v>
      </c>
      <c r="R32" s="51">
        <f t="shared" si="3"/>
        <v>52122464</v>
      </c>
      <c r="S32" s="176">
        <f>BILLETAGE!Y33</f>
        <v>0</v>
      </c>
      <c r="T32" s="57"/>
    </row>
    <row r="33" spans="1:20" ht="15.95" customHeight="1" x14ac:dyDescent="0.25">
      <c r="A33" s="53">
        <v>30</v>
      </c>
      <c r="B33" s="54">
        <v>46064</v>
      </c>
      <c r="C33" s="55" t="s">
        <v>208</v>
      </c>
      <c r="D33" s="53">
        <v>2</v>
      </c>
      <c r="E33" s="56">
        <v>5</v>
      </c>
      <c r="F33" s="12">
        <f t="shared" si="4"/>
        <v>56377361</v>
      </c>
      <c r="G33" s="190">
        <v>0</v>
      </c>
      <c r="H33" s="190">
        <v>0</v>
      </c>
      <c r="I33" s="47">
        <f t="shared" si="0"/>
        <v>0</v>
      </c>
      <c r="J33" s="191">
        <v>0</v>
      </c>
      <c r="K33" s="192">
        <v>0</v>
      </c>
      <c r="L33" s="192">
        <v>0</v>
      </c>
      <c r="M33" s="48">
        <f t="shared" si="1"/>
        <v>56377361</v>
      </c>
      <c r="N33" s="193">
        <v>0</v>
      </c>
      <c r="O33" s="49"/>
      <c r="P33" s="50">
        <f t="shared" si="2"/>
        <v>56377361</v>
      </c>
      <c r="Q33" s="13">
        <f t="shared" si="5"/>
        <v>4254897</v>
      </c>
      <c r="R33" s="51">
        <f t="shared" si="3"/>
        <v>52122464</v>
      </c>
      <c r="S33" s="176">
        <f>BILLETAGE!Y34</f>
        <v>0</v>
      </c>
      <c r="T33" s="57"/>
    </row>
    <row r="34" spans="1:20" ht="15.95" customHeight="1" x14ac:dyDescent="0.25">
      <c r="A34" s="53">
        <v>31</v>
      </c>
      <c r="B34" s="54">
        <v>46065</v>
      </c>
      <c r="C34" s="55" t="s">
        <v>204</v>
      </c>
      <c r="D34" s="53">
        <v>2</v>
      </c>
      <c r="E34" s="56">
        <v>5</v>
      </c>
      <c r="F34" s="12">
        <f t="shared" si="4"/>
        <v>56377361</v>
      </c>
      <c r="G34" s="190">
        <v>0</v>
      </c>
      <c r="H34" s="190">
        <v>0</v>
      </c>
      <c r="I34" s="47">
        <f t="shared" si="0"/>
        <v>0</v>
      </c>
      <c r="J34" s="191">
        <v>0</v>
      </c>
      <c r="K34" s="192">
        <v>0</v>
      </c>
      <c r="L34" s="192">
        <v>0</v>
      </c>
      <c r="M34" s="48">
        <f t="shared" si="1"/>
        <v>56377361</v>
      </c>
      <c r="N34" s="193">
        <v>0</v>
      </c>
      <c r="O34" s="49"/>
      <c r="P34" s="50">
        <f t="shared" si="2"/>
        <v>56377361</v>
      </c>
      <c r="Q34" s="13">
        <f t="shared" si="5"/>
        <v>4254897</v>
      </c>
      <c r="R34" s="51">
        <f t="shared" si="3"/>
        <v>52122464</v>
      </c>
      <c r="S34" s="176">
        <f>BILLETAGE!Y35</f>
        <v>0</v>
      </c>
      <c r="T34" s="57"/>
    </row>
    <row r="35" spans="1:20" ht="15.95" customHeight="1" x14ac:dyDescent="0.25">
      <c r="A35" s="53">
        <v>32</v>
      </c>
      <c r="B35" s="54">
        <v>46066</v>
      </c>
      <c r="C35" s="55" t="s">
        <v>205</v>
      </c>
      <c r="D35" s="53">
        <v>2</v>
      </c>
      <c r="E35" s="56">
        <v>5</v>
      </c>
      <c r="F35" s="12">
        <f t="shared" si="4"/>
        <v>56377361</v>
      </c>
      <c r="G35" s="190">
        <v>0</v>
      </c>
      <c r="H35" s="190">
        <v>0</v>
      </c>
      <c r="I35" s="47">
        <f t="shared" si="0"/>
        <v>0</v>
      </c>
      <c r="J35" s="191">
        <v>0</v>
      </c>
      <c r="K35" s="192">
        <v>0</v>
      </c>
      <c r="L35" s="192">
        <v>0</v>
      </c>
      <c r="M35" s="48">
        <f t="shared" si="1"/>
        <v>56377361</v>
      </c>
      <c r="N35" s="193">
        <v>0</v>
      </c>
      <c r="O35" s="49"/>
      <c r="P35" s="50">
        <f t="shared" si="2"/>
        <v>56377361</v>
      </c>
      <c r="Q35" s="13">
        <f t="shared" si="5"/>
        <v>4254897</v>
      </c>
      <c r="R35" s="51">
        <f t="shared" si="3"/>
        <v>52122464</v>
      </c>
      <c r="S35" s="176">
        <f>BILLETAGE!Y36</f>
        <v>0</v>
      </c>
      <c r="T35" s="57"/>
    </row>
    <row r="36" spans="1:20" ht="15.95" customHeight="1" x14ac:dyDescent="0.25">
      <c r="A36" s="53">
        <v>33</v>
      </c>
      <c r="B36" s="54">
        <v>46069</v>
      </c>
      <c r="C36" s="55" t="s">
        <v>206</v>
      </c>
      <c r="D36" s="53">
        <v>2</v>
      </c>
      <c r="E36" s="56">
        <v>5</v>
      </c>
      <c r="F36" s="12">
        <f t="shared" si="4"/>
        <v>56377361</v>
      </c>
      <c r="G36" s="190">
        <v>0</v>
      </c>
      <c r="H36" s="190">
        <v>0</v>
      </c>
      <c r="I36" s="47">
        <f t="shared" si="0"/>
        <v>0</v>
      </c>
      <c r="J36" s="191">
        <v>0</v>
      </c>
      <c r="K36" s="192">
        <v>0</v>
      </c>
      <c r="L36" s="192">
        <v>0</v>
      </c>
      <c r="M36" s="48">
        <f t="shared" si="1"/>
        <v>56377361</v>
      </c>
      <c r="N36" s="193">
        <v>0</v>
      </c>
      <c r="O36" s="49"/>
      <c r="P36" s="50">
        <f t="shared" si="2"/>
        <v>56377361</v>
      </c>
      <c r="Q36" s="13">
        <f t="shared" si="5"/>
        <v>4254897</v>
      </c>
      <c r="R36" s="51">
        <f t="shared" si="3"/>
        <v>52122464</v>
      </c>
      <c r="S36" s="176">
        <f>BILLETAGE!Y37</f>
        <v>0</v>
      </c>
      <c r="T36" s="57"/>
    </row>
    <row r="37" spans="1:20" ht="15.95" customHeight="1" x14ac:dyDescent="0.25">
      <c r="A37" s="53">
        <v>34</v>
      </c>
      <c r="B37" s="54">
        <v>46070</v>
      </c>
      <c r="C37" s="55" t="s">
        <v>207</v>
      </c>
      <c r="D37" s="53">
        <v>2</v>
      </c>
      <c r="E37" s="56">
        <v>5</v>
      </c>
      <c r="F37" s="12">
        <f t="shared" si="4"/>
        <v>56377361</v>
      </c>
      <c r="G37" s="190">
        <v>0</v>
      </c>
      <c r="H37" s="190">
        <v>0</v>
      </c>
      <c r="I37" s="47">
        <f t="shared" si="0"/>
        <v>0</v>
      </c>
      <c r="J37" s="191">
        <v>0</v>
      </c>
      <c r="K37" s="192">
        <v>0</v>
      </c>
      <c r="L37" s="192">
        <v>0</v>
      </c>
      <c r="M37" s="48">
        <f t="shared" si="1"/>
        <v>56377361</v>
      </c>
      <c r="N37" s="193">
        <v>0</v>
      </c>
      <c r="O37" s="49"/>
      <c r="P37" s="50">
        <f t="shared" si="2"/>
        <v>56377361</v>
      </c>
      <c r="Q37" s="13">
        <f t="shared" si="5"/>
        <v>4254897</v>
      </c>
      <c r="R37" s="51">
        <f t="shared" si="3"/>
        <v>52122464</v>
      </c>
      <c r="S37" s="176">
        <f>BILLETAGE!Y38</f>
        <v>0</v>
      </c>
      <c r="T37" s="57"/>
    </row>
    <row r="38" spans="1:20" ht="15.95" customHeight="1" x14ac:dyDescent="0.25">
      <c r="A38" s="53">
        <v>35</v>
      </c>
      <c r="B38" s="54">
        <v>46071</v>
      </c>
      <c r="C38" s="55" t="s">
        <v>208</v>
      </c>
      <c r="D38" s="53">
        <v>2</v>
      </c>
      <c r="E38" s="56">
        <v>5</v>
      </c>
      <c r="F38" s="12">
        <f t="shared" si="4"/>
        <v>56377361</v>
      </c>
      <c r="G38" s="190">
        <v>0</v>
      </c>
      <c r="H38" s="190">
        <v>0</v>
      </c>
      <c r="I38" s="47">
        <f t="shared" si="0"/>
        <v>0</v>
      </c>
      <c r="J38" s="191">
        <v>0</v>
      </c>
      <c r="K38" s="192">
        <v>0</v>
      </c>
      <c r="L38" s="192">
        <v>0</v>
      </c>
      <c r="M38" s="48">
        <f t="shared" si="1"/>
        <v>56377361</v>
      </c>
      <c r="N38" s="193">
        <v>0</v>
      </c>
      <c r="O38" s="49"/>
      <c r="P38" s="50">
        <f t="shared" si="2"/>
        <v>56377361</v>
      </c>
      <c r="Q38" s="13">
        <f t="shared" si="5"/>
        <v>4254897</v>
      </c>
      <c r="R38" s="51">
        <f t="shared" si="3"/>
        <v>52122464</v>
      </c>
      <c r="S38" s="176">
        <f>BILLETAGE!Y39</f>
        <v>0</v>
      </c>
      <c r="T38" s="57"/>
    </row>
    <row r="39" spans="1:20" ht="15.95" customHeight="1" x14ac:dyDescent="0.25">
      <c r="A39" s="53">
        <v>36</v>
      </c>
      <c r="B39" s="54">
        <v>46072</v>
      </c>
      <c r="C39" s="55" t="s">
        <v>204</v>
      </c>
      <c r="D39" s="53">
        <v>2</v>
      </c>
      <c r="E39" s="56">
        <v>5</v>
      </c>
      <c r="F39" s="12">
        <f t="shared" si="4"/>
        <v>56377361</v>
      </c>
      <c r="G39" s="190">
        <v>0</v>
      </c>
      <c r="H39" s="190">
        <v>0</v>
      </c>
      <c r="I39" s="47">
        <f t="shared" si="0"/>
        <v>0</v>
      </c>
      <c r="J39" s="191">
        <v>0</v>
      </c>
      <c r="K39" s="192">
        <v>0</v>
      </c>
      <c r="L39" s="192">
        <v>0</v>
      </c>
      <c r="M39" s="48">
        <f t="shared" si="1"/>
        <v>56377361</v>
      </c>
      <c r="N39" s="193">
        <v>0</v>
      </c>
      <c r="O39" s="49"/>
      <c r="P39" s="50">
        <f t="shared" si="2"/>
        <v>56377361</v>
      </c>
      <c r="Q39" s="13">
        <f t="shared" si="5"/>
        <v>4254897</v>
      </c>
      <c r="R39" s="51">
        <f t="shared" si="3"/>
        <v>52122464</v>
      </c>
      <c r="S39" s="176">
        <f>BILLETAGE!Y40</f>
        <v>0</v>
      </c>
      <c r="T39" s="57"/>
    </row>
    <row r="40" spans="1:20" ht="15.95" customHeight="1" x14ac:dyDescent="0.25">
      <c r="A40" s="53">
        <v>37</v>
      </c>
      <c r="B40" s="54">
        <v>46073</v>
      </c>
      <c r="C40" s="55" t="s">
        <v>205</v>
      </c>
      <c r="D40" s="53">
        <v>2</v>
      </c>
      <c r="E40" s="56">
        <v>5</v>
      </c>
      <c r="F40" s="12">
        <f t="shared" si="4"/>
        <v>56377361</v>
      </c>
      <c r="G40" s="190">
        <v>0</v>
      </c>
      <c r="H40" s="190">
        <v>0</v>
      </c>
      <c r="I40" s="47">
        <f t="shared" si="0"/>
        <v>0</v>
      </c>
      <c r="J40" s="191">
        <v>0</v>
      </c>
      <c r="K40" s="192">
        <v>0</v>
      </c>
      <c r="L40" s="192">
        <v>0</v>
      </c>
      <c r="M40" s="48">
        <f t="shared" si="1"/>
        <v>56377361</v>
      </c>
      <c r="N40" s="193">
        <v>0</v>
      </c>
      <c r="O40" s="49"/>
      <c r="P40" s="50">
        <f t="shared" si="2"/>
        <v>56377361</v>
      </c>
      <c r="Q40" s="13">
        <f t="shared" si="5"/>
        <v>4254897</v>
      </c>
      <c r="R40" s="51">
        <f t="shared" si="3"/>
        <v>52122464</v>
      </c>
      <c r="S40" s="176">
        <f>BILLETAGE!Y41</f>
        <v>0</v>
      </c>
      <c r="T40" s="57"/>
    </row>
    <row r="41" spans="1:20" ht="15.95" customHeight="1" x14ac:dyDescent="0.25">
      <c r="A41" s="53">
        <v>38</v>
      </c>
      <c r="B41" s="54">
        <v>46076</v>
      </c>
      <c r="C41" s="55" t="s">
        <v>206</v>
      </c>
      <c r="D41" s="53">
        <v>2</v>
      </c>
      <c r="E41" s="56">
        <v>6</v>
      </c>
      <c r="F41" s="12">
        <f t="shared" si="4"/>
        <v>56377361</v>
      </c>
      <c r="G41" s="190">
        <v>0</v>
      </c>
      <c r="H41" s="190">
        <v>0</v>
      </c>
      <c r="I41" s="47">
        <f t="shared" si="0"/>
        <v>0</v>
      </c>
      <c r="J41" s="191">
        <v>0</v>
      </c>
      <c r="K41" s="192">
        <v>0</v>
      </c>
      <c r="L41" s="192">
        <v>0</v>
      </c>
      <c r="M41" s="48">
        <f t="shared" si="1"/>
        <v>56377361</v>
      </c>
      <c r="N41" s="193">
        <v>0</v>
      </c>
      <c r="O41" s="49"/>
      <c r="P41" s="50">
        <f t="shared" si="2"/>
        <v>56377361</v>
      </c>
      <c r="Q41" s="13">
        <f t="shared" si="5"/>
        <v>4254897</v>
      </c>
      <c r="R41" s="51">
        <f t="shared" si="3"/>
        <v>52122464</v>
      </c>
      <c r="S41" s="176">
        <f>BILLETAGE!Y42</f>
        <v>0</v>
      </c>
      <c r="T41" s="57"/>
    </row>
    <row r="42" spans="1:20" ht="15.95" customHeight="1" x14ac:dyDescent="0.25">
      <c r="A42" s="53">
        <v>39</v>
      </c>
      <c r="B42" s="54">
        <v>46077</v>
      </c>
      <c r="C42" s="55" t="s">
        <v>207</v>
      </c>
      <c r="D42" s="53">
        <v>2</v>
      </c>
      <c r="E42" s="56">
        <v>6</v>
      </c>
      <c r="F42" s="12">
        <f t="shared" si="4"/>
        <v>56377361</v>
      </c>
      <c r="G42" s="190">
        <v>0</v>
      </c>
      <c r="H42" s="190">
        <v>0</v>
      </c>
      <c r="I42" s="47">
        <f t="shared" si="0"/>
        <v>0</v>
      </c>
      <c r="J42" s="191">
        <v>0</v>
      </c>
      <c r="K42" s="192">
        <v>0</v>
      </c>
      <c r="L42" s="192">
        <v>0</v>
      </c>
      <c r="M42" s="48">
        <f t="shared" si="1"/>
        <v>56377361</v>
      </c>
      <c r="N42" s="193">
        <v>0</v>
      </c>
      <c r="O42" s="49"/>
      <c r="P42" s="50">
        <f t="shared" si="2"/>
        <v>56377361</v>
      </c>
      <c r="Q42" s="13">
        <f t="shared" si="5"/>
        <v>4254897</v>
      </c>
      <c r="R42" s="51">
        <f t="shared" si="3"/>
        <v>52122464</v>
      </c>
      <c r="S42" s="176">
        <f>BILLETAGE!Y43</f>
        <v>0</v>
      </c>
      <c r="T42" s="57"/>
    </row>
    <row r="43" spans="1:20" ht="15.95" customHeight="1" x14ac:dyDescent="0.25">
      <c r="A43" s="53">
        <v>40</v>
      </c>
      <c r="B43" s="54">
        <v>46078</v>
      </c>
      <c r="C43" s="55" t="s">
        <v>208</v>
      </c>
      <c r="D43" s="53">
        <v>2</v>
      </c>
      <c r="E43" s="56">
        <v>6</v>
      </c>
      <c r="F43" s="12">
        <f t="shared" si="4"/>
        <v>56377361</v>
      </c>
      <c r="G43" s="190">
        <v>0</v>
      </c>
      <c r="H43" s="190">
        <v>0</v>
      </c>
      <c r="I43" s="47">
        <f t="shared" si="0"/>
        <v>0</v>
      </c>
      <c r="J43" s="191">
        <v>0</v>
      </c>
      <c r="K43" s="192">
        <v>0</v>
      </c>
      <c r="L43" s="192">
        <v>0</v>
      </c>
      <c r="M43" s="48">
        <f t="shared" si="1"/>
        <v>56377361</v>
      </c>
      <c r="N43" s="193">
        <v>0</v>
      </c>
      <c r="O43" s="49"/>
      <c r="P43" s="50">
        <f t="shared" si="2"/>
        <v>56377361</v>
      </c>
      <c r="Q43" s="13">
        <f t="shared" si="5"/>
        <v>4254897</v>
      </c>
      <c r="R43" s="51">
        <f t="shared" si="3"/>
        <v>52122464</v>
      </c>
      <c r="S43" s="176">
        <f>BILLETAGE!Y44</f>
        <v>0</v>
      </c>
      <c r="T43" s="57"/>
    </row>
    <row r="44" spans="1:20" ht="15.95" customHeight="1" x14ac:dyDescent="0.25">
      <c r="A44" s="53">
        <v>41</v>
      </c>
      <c r="B44" s="54">
        <v>46079</v>
      </c>
      <c r="C44" s="55" t="s">
        <v>204</v>
      </c>
      <c r="D44" s="53">
        <v>2</v>
      </c>
      <c r="E44" s="56">
        <v>6</v>
      </c>
      <c r="F44" s="12">
        <f t="shared" si="4"/>
        <v>56377361</v>
      </c>
      <c r="G44" s="190">
        <v>0</v>
      </c>
      <c r="H44" s="190">
        <v>0</v>
      </c>
      <c r="I44" s="47">
        <f t="shared" si="0"/>
        <v>0</v>
      </c>
      <c r="J44" s="191">
        <v>0</v>
      </c>
      <c r="K44" s="192">
        <v>0</v>
      </c>
      <c r="L44" s="192">
        <v>0</v>
      </c>
      <c r="M44" s="48">
        <f t="shared" si="1"/>
        <v>56377361</v>
      </c>
      <c r="N44" s="193">
        <v>0</v>
      </c>
      <c r="O44" s="49"/>
      <c r="P44" s="50">
        <f t="shared" si="2"/>
        <v>56377361</v>
      </c>
      <c r="Q44" s="13">
        <f t="shared" si="5"/>
        <v>4254897</v>
      </c>
      <c r="R44" s="51">
        <f t="shared" si="3"/>
        <v>52122464</v>
      </c>
      <c r="S44" s="176">
        <f>BILLETAGE!Y45</f>
        <v>0</v>
      </c>
      <c r="T44" s="57"/>
    </row>
    <row r="45" spans="1:20" ht="15.95" customHeight="1" x14ac:dyDescent="0.25">
      <c r="A45" s="53">
        <v>42</v>
      </c>
      <c r="B45" s="54">
        <v>46080</v>
      </c>
      <c r="C45" s="55" t="s">
        <v>205</v>
      </c>
      <c r="D45" s="53">
        <v>2</v>
      </c>
      <c r="E45" s="56">
        <v>6</v>
      </c>
      <c r="F45" s="12">
        <f t="shared" si="4"/>
        <v>56377361</v>
      </c>
      <c r="G45" s="190">
        <v>0</v>
      </c>
      <c r="H45" s="190">
        <v>0</v>
      </c>
      <c r="I45" s="47">
        <f t="shared" si="0"/>
        <v>0</v>
      </c>
      <c r="J45" s="191">
        <v>0</v>
      </c>
      <c r="K45" s="192">
        <v>0</v>
      </c>
      <c r="L45" s="192">
        <v>0</v>
      </c>
      <c r="M45" s="48">
        <f t="shared" si="1"/>
        <v>56377361</v>
      </c>
      <c r="N45" s="193">
        <v>0</v>
      </c>
      <c r="O45" s="49"/>
      <c r="P45" s="50">
        <f t="shared" si="2"/>
        <v>56377361</v>
      </c>
      <c r="Q45" s="13">
        <f t="shared" si="5"/>
        <v>4254897</v>
      </c>
      <c r="R45" s="51">
        <f t="shared" si="3"/>
        <v>52122464</v>
      </c>
      <c r="S45" s="176">
        <f>BILLETAGE!Y46</f>
        <v>0</v>
      </c>
      <c r="T45" s="57"/>
    </row>
    <row r="46" spans="1:20" ht="15.95" customHeight="1" x14ac:dyDescent="0.25">
      <c r="A46" s="58">
        <v>43</v>
      </c>
      <c r="B46" s="59">
        <v>46083</v>
      </c>
      <c r="C46" s="60" t="s">
        <v>206</v>
      </c>
      <c r="D46" s="58">
        <v>3</v>
      </c>
      <c r="E46" s="61">
        <v>7</v>
      </c>
      <c r="F46" s="16">
        <f t="shared" si="4"/>
        <v>56377361</v>
      </c>
      <c r="G46" s="190">
        <v>0</v>
      </c>
      <c r="H46" s="190">
        <v>0</v>
      </c>
      <c r="I46" s="47">
        <f t="shared" si="0"/>
        <v>0</v>
      </c>
      <c r="J46" s="191">
        <v>0</v>
      </c>
      <c r="K46" s="192">
        <v>0</v>
      </c>
      <c r="L46" s="192">
        <v>0</v>
      </c>
      <c r="M46" s="48">
        <f t="shared" si="1"/>
        <v>56377361</v>
      </c>
      <c r="N46" s="193">
        <v>0</v>
      </c>
      <c r="O46" s="49"/>
      <c r="P46" s="50">
        <f t="shared" si="2"/>
        <v>56377361</v>
      </c>
      <c r="Q46" s="13">
        <f t="shared" si="5"/>
        <v>4254897</v>
      </c>
      <c r="R46" s="51">
        <f t="shared" si="3"/>
        <v>52122464</v>
      </c>
      <c r="S46" s="176">
        <f>BILLETAGE!Y47</f>
        <v>0</v>
      </c>
      <c r="T46" s="62"/>
    </row>
    <row r="47" spans="1:20" ht="15.95" customHeight="1" x14ac:dyDescent="0.25">
      <c r="A47" s="58">
        <v>44</v>
      </c>
      <c r="B47" s="59">
        <v>46084</v>
      </c>
      <c r="C47" s="60" t="s">
        <v>207</v>
      </c>
      <c r="D47" s="58">
        <v>3</v>
      </c>
      <c r="E47" s="61">
        <v>7</v>
      </c>
      <c r="F47" s="16">
        <f t="shared" si="4"/>
        <v>56377361</v>
      </c>
      <c r="G47" s="190">
        <v>0</v>
      </c>
      <c r="H47" s="190">
        <v>0</v>
      </c>
      <c r="I47" s="47">
        <f t="shared" si="0"/>
        <v>0</v>
      </c>
      <c r="J47" s="191">
        <v>0</v>
      </c>
      <c r="K47" s="192">
        <v>0</v>
      </c>
      <c r="L47" s="192">
        <v>0</v>
      </c>
      <c r="M47" s="48">
        <f t="shared" si="1"/>
        <v>56377361</v>
      </c>
      <c r="N47" s="193">
        <v>0</v>
      </c>
      <c r="O47" s="49"/>
      <c r="P47" s="50">
        <f t="shared" si="2"/>
        <v>56377361</v>
      </c>
      <c r="Q47" s="13">
        <f t="shared" si="5"/>
        <v>4254897</v>
      </c>
      <c r="R47" s="51">
        <f t="shared" si="3"/>
        <v>52122464</v>
      </c>
      <c r="S47" s="176">
        <f>BILLETAGE!Y48</f>
        <v>0</v>
      </c>
      <c r="T47" s="62"/>
    </row>
    <row r="48" spans="1:20" ht="15.95" customHeight="1" x14ac:dyDescent="0.25">
      <c r="A48" s="58">
        <v>45</v>
      </c>
      <c r="B48" s="59">
        <v>46085</v>
      </c>
      <c r="C48" s="60" t="s">
        <v>208</v>
      </c>
      <c r="D48" s="58">
        <v>3</v>
      </c>
      <c r="E48" s="61">
        <v>7</v>
      </c>
      <c r="F48" s="16">
        <f t="shared" si="4"/>
        <v>56377361</v>
      </c>
      <c r="G48" s="190">
        <v>0</v>
      </c>
      <c r="H48" s="190">
        <v>0</v>
      </c>
      <c r="I48" s="47">
        <f t="shared" si="0"/>
        <v>0</v>
      </c>
      <c r="J48" s="191">
        <v>0</v>
      </c>
      <c r="K48" s="192">
        <v>0</v>
      </c>
      <c r="L48" s="192">
        <v>0</v>
      </c>
      <c r="M48" s="48">
        <f t="shared" si="1"/>
        <v>56377361</v>
      </c>
      <c r="N48" s="193">
        <v>0</v>
      </c>
      <c r="O48" s="49"/>
      <c r="P48" s="50">
        <f t="shared" si="2"/>
        <v>56377361</v>
      </c>
      <c r="Q48" s="13">
        <f t="shared" si="5"/>
        <v>4254897</v>
      </c>
      <c r="R48" s="51">
        <f t="shared" si="3"/>
        <v>52122464</v>
      </c>
      <c r="S48" s="176">
        <f>BILLETAGE!Y49</f>
        <v>0</v>
      </c>
      <c r="T48" s="62"/>
    </row>
    <row r="49" spans="1:20" ht="15.95" customHeight="1" x14ac:dyDescent="0.25">
      <c r="A49" s="58">
        <v>46</v>
      </c>
      <c r="B49" s="59">
        <v>46086</v>
      </c>
      <c r="C49" s="60" t="s">
        <v>204</v>
      </c>
      <c r="D49" s="58">
        <v>3</v>
      </c>
      <c r="E49" s="61">
        <v>7</v>
      </c>
      <c r="F49" s="16">
        <f t="shared" si="4"/>
        <v>56377361</v>
      </c>
      <c r="G49" s="190">
        <v>0</v>
      </c>
      <c r="H49" s="190">
        <v>0</v>
      </c>
      <c r="I49" s="47">
        <f t="shared" si="0"/>
        <v>0</v>
      </c>
      <c r="J49" s="191">
        <v>0</v>
      </c>
      <c r="K49" s="192">
        <v>0</v>
      </c>
      <c r="L49" s="192">
        <v>0</v>
      </c>
      <c r="M49" s="48">
        <f t="shared" si="1"/>
        <v>56377361</v>
      </c>
      <c r="N49" s="193">
        <v>0</v>
      </c>
      <c r="O49" s="49"/>
      <c r="P49" s="50">
        <f t="shared" si="2"/>
        <v>56377361</v>
      </c>
      <c r="Q49" s="13">
        <f t="shared" si="5"/>
        <v>4254897</v>
      </c>
      <c r="R49" s="51">
        <f t="shared" si="3"/>
        <v>52122464</v>
      </c>
      <c r="S49" s="176">
        <f>BILLETAGE!Y50</f>
        <v>0</v>
      </c>
      <c r="T49" s="62"/>
    </row>
    <row r="50" spans="1:20" ht="15.95" customHeight="1" x14ac:dyDescent="0.25">
      <c r="A50" s="58">
        <v>47</v>
      </c>
      <c r="B50" s="59">
        <v>46087</v>
      </c>
      <c r="C50" s="60" t="s">
        <v>205</v>
      </c>
      <c r="D50" s="58">
        <v>3</v>
      </c>
      <c r="E50" s="61">
        <v>7</v>
      </c>
      <c r="F50" s="16">
        <f t="shared" si="4"/>
        <v>56377361</v>
      </c>
      <c r="G50" s="190">
        <v>0</v>
      </c>
      <c r="H50" s="190">
        <v>0</v>
      </c>
      <c r="I50" s="47">
        <f t="shared" si="0"/>
        <v>0</v>
      </c>
      <c r="J50" s="191">
        <v>0</v>
      </c>
      <c r="K50" s="192">
        <v>0</v>
      </c>
      <c r="L50" s="192">
        <v>0</v>
      </c>
      <c r="M50" s="48">
        <f t="shared" si="1"/>
        <v>56377361</v>
      </c>
      <c r="N50" s="193">
        <v>0</v>
      </c>
      <c r="O50" s="49"/>
      <c r="P50" s="50">
        <f t="shared" si="2"/>
        <v>56377361</v>
      </c>
      <c r="Q50" s="13">
        <f t="shared" si="5"/>
        <v>4254897</v>
      </c>
      <c r="R50" s="51">
        <f t="shared" si="3"/>
        <v>52122464</v>
      </c>
      <c r="S50" s="176">
        <f>BILLETAGE!Y51</f>
        <v>0</v>
      </c>
      <c r="T50" s="62"/>
    </row>
    <row r="51" spans="1:20" ht="15.95" customHeight="1" x14ac:dyDescent="0.25">
      <c r="A51" s="58">
        <v>48</v>
      </c>
      <c r="B51" s="59">
        <v>46090</v>
      </c>
      <c r="C51" s="60" t="s">
        <v>206</v>
      </c>
      <c r="D51" s="58">
        <v>3</v>
      </c>
      <c r="E51" s="61">
        <v>7</v>
      </c>
      <c r="F51" s="16">
        <f t="shared" si="4"/>
        <v>56377361</v>
      </c>
      <c r="G51" s="190">
        <v>0</v>
      </c>
      <c r="H51" s="190">
        <v>0</v>
      </c>
      <c r="I51" s="47">
        <f t="shared" si="0"/>
        <v>0</v>
      </c>
      <c r="J51" s="191">
        <v>0</v>
      </c>
      <c r="K51" s="192">
        <v>0</v>
      </c>
      <c r="L51" s="192">
        <v>0</v>
      </c>
      <c r="M51" s="48">
        <f t="shared" si="1"/>
        <v>56377361</v>
      </c>
      <c r="N51" s="193">
        <v>0</v>
      </c>
      <c r="O51" s="49"/>
      <c r="P51" s="50">
        <f t="shared" si="2"/>
        <v>56377361</v>
      </c>
      <c r="Q51" s="13">
        <f t="shared" si="5"/>
        <v>4254897</v>
      </c>
      <c r="R51" s="51">
        <f t="shared" si="3"/>
        <v>52122464</v>
      </c>
      <c r="S51" s="176">
        <f>BILLETAGE!Y52</f>
        <v>0</v>
      </c>
      <c r="T51" s="62"/>
    </row>
    <row r="52" spans="1:20" ht="15.95" customHeight="1" x14ac:dyDescent="0.25">
      <c r="A52" s="58">
        <v>49</v>
      </c>
      <c r="B52" s="59">
        <v>46091</v>
      </c>
      <c r="C52" s="60" t="s">
        <v>207</v>
      </c>
      <c r="D52" s="58">
        <v>3</v>
      </c>
      <c r="E52" s="61">
        <v>7</v>
      </c>
      <c r="F52" s="16">
        <f t="shared" si="4"/>
        <v>56377361</v>
      </c>
      <c r="G52" s="190">
        <v>0</v>
      </c>
      <c r="H52" s="190">
        <v>0</v>
      </c>
      <c r="I52" s="47">
        <f t="shared" si="0"/>
        <v>0</v>
      </c>
      <c r="J52" s="191">
        <v>0</v>
      </c>
      <c r="K52" s="192">
        <v>0</v>
      </c>
      <c r="L52" s="192">
        <v>0</v>
      </c>
      <c r="M52" s="48">
        <f t="shared" si="1"/>
        <v>56377361</v>
      </c>
      <c r="N52" s="193">
        <v>0</v>
      </c>
      <c r="O52" s="49"/>
      <c r="P52" s="50">
        <f t="shared" si="2"/>
        <v>56377361</v>
      </c>
      <c r="Q52" s="13">
        <f t="shared" si="5"/>
        <v>4254897</v>
      </c>
      <c r="R52" s="51">
        <f t="shared" si="3"/>
        <v>52122464</v>
      </c>
      <c r="S52" s="176">
        <f>BILLETAGE!Y53</f>
        <v>0</v>
      </c>
      <c r="T52" s="62"/>
    </row>
    <row r="53" spans="1:20" ht="15.95" customHeight="1" x14ac:dyDescent="0.25">
      <c r="A53" s="58">
        <v>50</v>
      </c>
      <c r="B53" s="59">
        <v>46092</v>
      </c>
      <c r="C53" s="60" t="s">
        <v>208</v>
      </c>
      <c r="D53" s="58">
        <v>3</v>
      </c>
      <c r="E53" s="61">
        <v>8</v>
      </c>
      <c r="F53" s="16">
        <f t="shared" si="4"/>
        <v>56377361</v>
      </c>
      <c r="G53" s="190">
        <v>0</v>
      </c>
      <c r="H53" s="190">
        <v>0</v>
      </c>
      <c r="I53" s="47">
        <f t="shared" si="0"/>
        <v>0</v>
      </c>
      <c r="J53" s="191">
        <v>0</v>
      </c>
      <c r="K53" s="192">
        <v>0</v>
      </c>
      <c r="L53" s="192">
        <v>0</v>
      </c>
      <c r="M53" s="48">
        <f t="shared" si="1"/>
        <v>56377361</v>
      </c>
      <c r="N53" s="193">
        <v>0</v>
      </c>
      <c r="O53" s="49"/>
      <c r="P53" s="50">
        <f t="shared" si="2"/>
        <v>56377361</v>
      </c>
      <c r="Q53" s="13">
        <f t="shared" si="5"/>
        <v>4254897</v>
      </c>
      <c r="R53" s="51">
        <f t="shared" si="3"/>
        <v>52122464</v>
      </c>
      <c r="S53" s="176">
        <f>BILLETAGE!Y54</f>
        <v>0</v>
      </c>
      <c r="T53" s="62"/>
    </row>
    <row r="54" spans="1:20" ht="15.95" customHeight="1" x14ac:dyDescent="0.25">
      <c r="A54" s="58">
        <v>51</v>
      </c>
      <c r="B54" s="59">
        <v>46093</v>
      </c>
      <c r="C54" s="60" t="s">
        <v>204</v>
      </c>
      <c r="D54" s="58">
        <v>3</v>
      </c>
      <c r="E54" s="61">
        <v>8</v>
      </c>
      <c r="F54" s="16">
        <f t="shared" si="4"/>
        <v>56377361</v>
      </c>
      <c r="G54" s="190">
        <v>0</v>
      </c>
      <c r="H54" s="190">
        <v>0</v>
      </c>
      <c r="I54" s="47">
        <f t="shared" si="0"/>
        <v>0</v>
      </c>
      <c r="J54" s="191">
        <v>0</v>
      </c>
      <c r="K54" s="192">
        <v>0</v>
      </c>
      <c r="L54" s="192">
        <v>0</v>
      </c>
      <c r="M54" s="48">
        <f t="shared" si="1"/>
        <v>56377361</v>
      </c>
      <c r="N54" s="193">
        <v>0</v>
      </c>
      <c r="O54" s="49"/>
      <c r="P54" s="50">
        <f t="shared" si="2"/>
        <v>56377361</v>
      </c>
      <c r="Q54" s="13">
        <f t="shared" si="5"/>
        <v>4254897</v>
      </c>
      <c r="R54" s="51">
        <f t="shared" si="3"/>
        <v>52122464</v>
      </c>
      <c r="S54" s="176">
        <f>BILLETAGE!Y55</f>
        <v>0</v>
      </c>
      <c r="T54" s="62"/>
    </row>
    <row r="55" spans="1:20" ht="15.95" customHeight="1" x14ac:dyDescent="0.25">
      <c r="A55" s="58">
        <v>52</v>
      </c>
      <c r="B55" s="59">
        <v>46094</v>
      </c>
      <c r="C55" s="60" t="s">
        <v>205</v>
      </c>
      <c r="D55" s="58">
        <v>3</v>
      </c>
      <c r="E55" s="61">
        <v>8</v>
      </c>
      <c r="F55" s="16">
        <f t="shared" si="4"/>
        <v>56377361</v>
      </c>
      <c r="G55" s="190">
        <v>0</v>
      </c>
      <c r="H55" s="190">
        <v>0</v>
      </c>
      <c r="I55" s="47">
        <f t="shared" si="0"/>
        <v>0</v>
      </c>
      <c r="J55" s="191">
        <v>0</v>
      </c>
      <c r="K55" s="192">
        <v>0</v>
      </c>
      <c r="L55" s="192">
        <v>0</v>
      </c>
      <c r="M55" s="48">
        <f t="shared" si="1"/>
        <v>56377361</v>
      </c>
      <c r="N55" s="193">
        <v>0</v>
      </c>
      <c r="O55" s="49"/>
      <c r="P55" s="50">
        <f t="shared" si="2"/>
        <v>56377361</v>
      </c>
      <c r="Q55" s="13">
        <f t="shared" si="5"/>
        <v>4254897</v>
      </c>
      <c r="R55" s="51">
        <f t="shared" si="3"/>
        <v>52122464</v>
      </c>
      <c r="S55" s="176">
        <f>BILLETAGE!Y56</f>
        <v>0</v>
      </c>
      <c r="T55" s="62"/>
    </row>
    <row r="56" spans="1:20" ht="15.95" customHeight="1" x14ac:dyDescent="0.25">
      <c r="A56" s="58">
        <v>53</v>
      </c>
      <c r="B56" s="59">
        <v>46097</v>
      </c>
      <c r="C56" s="60" t="s">
        <v>206</v>
      </c>
      <c r="D56" s="58">
        <v>3</v>
      </c>
      <c r="E56" s="61">
        <v>8</v>
      </c>
      <c r="F56" s="16">
        <f t="shared" si="4"/>
        <v>56377361</v>
      </c>
      <c r="G56" s="190">
        <v>0</v>
      </c>
      <c r="H56" s="190">
        <v>0</v>
      </c>
      <c r="I56" s="47">
        <f t="shared" si="0"/>
        <v>0</v>
      </c>
      <c r="J56" s="191">
        <v>0</v>
      </c>
      <c r="K56" s="192">
        <v>0</v>
      </c>
      <c r="L56" s="192">
        <v>0</v>
      </c>
      <c r="M56" s="48">
        <f t="shared" si="1"/>
        <v>56377361</v>
      </c>
      <c r="N56" s="193">
        <v>0</v>
      </c>
      <c r="O56" s="49"/>
      <c r="P56" s="50">
        <f t="shared" si="2"/>
        <v>56377361</v>
      </c>
      <c r="Q56" s="13">
        <f t="shared" si="5"/>
        <v>4254897</v>
      </c>
      <c r="R56" s="51">
        <f t="shared" si="3"/>
        <v>52122464</v>
      </c>
      <c r="S56" s="176">
        <f>BILLETAGE!Y57</f>
        <v>0</v>
      </c>
      <c r="T56" s="62"/>
    </row>
    <row r="57" spans="1:20" ht="15.95" customHeight="1" x14ac:dyDescent="0.25">
      <c r="A57" s="58">
        <v>54</v>
      </c>
      <c r="B57" s="59">
        <v>46098</v>
      </c>
      <c r="C57" s="60" t="s">
        <v>207</v>
      </c>
      <c r="D57" s="58">
        <v>3</v>
      </c>
      <c r="E57" s="61">
        <v>8</v>
      </c>
      <c r="F57" s="16">
        <f t="shared" si="4"/>
        <v>56377361</v>
      </c>
      <c r="G57" s="190">
        <v>0</v>
      </c>
      <c r="H57" s="190">
        <v>0</v>
      </c>
      <c r="I57" s="47">
        <f t="shared" si="0"/>
        <v>0</v>
      </c>
      <c r="J57" s="191">
        <v>0</v>
      </c>
      <c r="K57" s="192">
        <v>0</v>
      </c>
      <c r="L57" s="192">
        <v>0</v>
      </c>
      <c r="M57" s="48">
        <f t="shared" si="1"/>
        <v>56377361</v>
      </c>
      <c r="N57" s="193">
        <v>0</v>
      </c>
      <c r="O57" s="49"/>
      <c r="P57" s="50">
        <f t="shared" si="2"/>
        <v>56377361</v>
      </c>
      <c r="Q57" s="13">
        <f t="shared" si="5"/>
        <v>4254897</v>
      </c>
      <c r="R57" s="51">
        <f t="shared" si="3"/>
        <v>52122464</v>
      </c>
      <c r="S57" s="176">
        <f>BILLETAGE!Y58</f>
        <v>0</v>
      </c>
      <c r="T57" s="62"/>
    </row>
    <row r="58" spans="1:20" ht="15.95" customHeight="1" x14ac:dyDescent="0.25">
      <c r="A58" s="58">
        <v>55</v>
      </c>
      <c r="B58" s="59">
        <v>46099</v>
      </c>
      <c r="C58" s="60" t="s">
        <v>208</v>
      </c>
      <c r="D58" s="58">
        <v>3</v>
      </c>
      <c r="E58" s="61">
        <v>8</v>
      </c>
      <c r="F58" s="16">
        <f t="shared" si="4"/>
        <v>56377361</v>
      </c>
      <c r="G58" s="190">
        <v>0</v>
      </c>
      <c r="H58" s="190">
        <v>0</v>
      </c>
      <c r="I58" s="47">
        <f t="shared" si="0"/>
        <v>0</v>
      </c>
      <c r="J58" s="191">
        <v>0</v>
      </c>
      <c r="K58" s="192">
        <v>0</v>
      </c>
      <c r="L58" s="192">
        <v>0</v>
      </c>
      <c r="M58" s="48">
        <f t="shared" si="1"/>
        <v>56377361</v>
      </c>
      <c r="N58" s="193">
        <v>0</v>
      </c>
      <c r="O58" s="49"/>
      <c r="P58" s="50">
        <f t="shared" si="2"/>
        <v>56377361</v>
      </c>
      <c r="Q58" s="13">
        <f t="shared" si="5"/>
        <v>4254897</v>
      </c>
      <c r="R58" s="51">
        <f t="shared" si="3"/>
        <v>52122464</v>
      </c>
      <c r="S58" s="176">
        <f>BILLETAGE!Y59</f>
        <v>0</v>
      </c>
      <c r="T58" s="62"/>
    </row>
    <row r="59" spans="1:20" ht="15.95" customHeight="1" x14ac:dyDescent="0.25">
      <c r="A59" s="58">
        <v>56</v>
      </c>
      <c r="B59" s="59">
        <v>46100</v>
      </c>
      <c r="C59" s="60" t="s">
        <v>204</v>
      </c>
      <c r="D59" s="58">
        <v>3</v>
      </c>
      <c r="E59" s="61">
        <v>8</v>
      </c>
      <c r="F59" s="16">
        <f t="shared" si="4"/>
        <v>56377361</v>
      </c>
      <c r="G59" s="190">
        <v>0</v>
      </c>
      <c r="H59" s="190">
        <v>0</v>
      </c>
      <c r="I59" s="47">
        <f t="shared" si="0"/>
        <v>0</v>
      </c>
      <c r="J59" s="191">
        <v>0</v>
      </c>
      <c r="K59" s="192">
        <v>0</v>
      </c>
      <c r="L59" s="192">
        <v>0</v>
      </c>
      <c r="M59" s="48">
        <f t="shared" si="1"/>
        <v>56377361</v>
      </c>
      <c r="N59" s="193">
        <v>0</v>
      </c>
      <c r="O59" s="49"/>
      <c r="P59" s="50">
        <f t="shared" si="2"/>
        <v>56377361</v>
      </c>
      <c r="Q59" s="13">
        <f t="shared" si="5"/>
        <v>4254897</v>
      </c>
      <c r="R59" s="51">
        <f t="shared" si="3"/>
        <v>52122464</v>
      </c>
      <c r="S59" s="176">
        <f>BILLETAGE!Y60</f>
        <v>0</v>
      </c>
      <c r="T59" s="62"/>
    </row>
    <row r="60" spans="1:20" ht="15.95" customHeight="1" x14ac:dyDescent="0.25">
      <c r="A60" s="58">
        <v>57</v>
      </c>
      <c r="B60" s="59">
        <v>46101</v>
      </c>
      <c r="C60" s="60" t="s">
        <v>205</v>
      </c>
      <c r="D60" s="58">
        <v>3</v>
      </c>
      <c r="E60" s="61">
        <v>8</v>
      </c>
      <c r="F60" s="16">
        <f t="shared" si="4"/>
        <v>56377361</v>
      </c>
      <c r="G60" s="190">
        <v>0</v>
      </c>
      <c r="H60" s="190">
        <v>0</v>
      </c>
      <c r="I60" s="47">
        <f t="shared" si="0"/>
        <v>0</v>
      </c>
      <c r="J60" s="191">
        <v>0</v>
      </c>
      <c r="K60" s="192">
        <v>0</v>
      </c>
      <c r="L60" s="192">
        <v>0</v>
      </c>
      <c r="M60" s="48">
        <f t="shared" si="1"/>
        <v>56377361</v>
      </c>
      <c r="N60" s="193">
        <v>0</v>
      </c>
      <c r="O60" s="49"/>
      <c r="P60" s="50">
        <f t="shared" si="2"/>
        <v>56377361</v>
      </c>
      <c r="Q60" s="13">
        <f t="shared" si="5"/>
        <v>4254897</v>
      </c>
      <c r="R60" s="51">
        <f t="shared" si="3"/>
        <v>52122464</v>
      </c>
      <c r="S60" s="176">
        <f>BILLETAGE!Y61</f>
        <v>0</v>
      </c>
      <c r="T60" s="62"/>
    </row>
    <row r="61" spans="1:20" ht="15.95" customHeight="1" x14ac:dyDescent="0.25">
      <c r="A61" s="58">
        <v>58</v>
      </c>
      <c r="B61" s="59">
        <v>46104</v>
      </c>
      <c r="C61" s="60" t="s">
        <v>206</v>
      </c>
      <c r="D61" s="58">
        <v>3</v>
      </c>
      <c r="E61" s="61">
        <v>9</v>
      </c>
      <c r="F61" s="16">
        <f t="shared" si="4"/>
        <v>56377361</v>
      </c>
      <c r="G61" s="190">
        <v>0</v>
      </c>
      <c r="H61" s="190">
        <v>0</v>
      </c>
      <c r="I61" s="47">
        <f t="shared" si="0"/>
        <v>0</v>
      </c>
      <c r="J61" s="191">
        <v>0</v>
      </c>
      <c r="K61" s="192">
        <v>0</v>
      </c>
      <c r="L61" s="192">
        <v>0</v>
      </c>
      <c r="M61" s="48">
        <f t="shared" si="1"/>
        <v>56377361</v>
      </c>
      <c r="N61" s="193">
        <v>0</v>
      </c>
      <c r="O61" s="49"/>
      <c r="P61" s="50">
        <f t="shared" si="2"/>
        <v>56377361</v>
      </c>
      <c r="Q61" s="13">
        <f t="shared" si="5"/>
        <v>4254897</v>
      </c>
      <c r="R61" s="51">
        <f t="shared" si="3"/>
        <v>52122464</v>
      </c>
      <c r="S61" s="176">
        <f>BILLETAGE!Y62</f>
        <v>0</v>
      </c>
      <c r="T61" s="62"/>
    </row>
    <row r="62" spans="1:20" ht="15.95" customHeight="1" x14ac:dyDescent="0.25">
      <c r="A62" s="58">
        <v>59</v>
      </c>
      <c r="B62" s="59">
        <v>46105</v>
      </c>
      <c r="C62" s="60" t="s">
        <v>207</v>
      </c>
      <c r="D62" s="58">
        <v>3</v>
      </c>
      <c r="E62" s="61">
        <v>9</v>
      </c>
      <c r="F62" s="16">
        <f t="shared" si="4"/>
        <v>56377361</v>
      </c>
      <c r="G62" s="190">
        <v>0</v>
      </c>
      <c r="H62" s="190">
        <v>0</v>
      </c>
      <c r="I62" s="47">
        <f t="shared" si="0"/>
        <v>0</v>
      </c>
      <c r="J62" s="191">
        <v>0</v>
      </c>
      <c r="K62" s="192">
        <v>0</v>
      </c>
      <c r="L62" s="192">
        <v>0</v>
      </c>
      <c r="M62" s="48">
        <f t="shared" si="1"/>
        <v>56377361</v>
      </c>
      <c r="N62" s="193">
        <v>0</v>
      </c>
      <c r="O62" s="49"/>
      <c r="P62" s="50">
        <f t="shared" si="2"/>
        <v>56377361</v>
      </c>
      <c r="Q62" s="13">
        <f t="shared" si="5"/>
        <v>4254897</v>
      </c>
      <c r="R62" s="51">
        <f t="shared" si="3"/>
        <v>52122464</v>
      </c>
      <c r="S62" s="176">
        <f>BILLETAGE!Y63</f>
        <v>0</v>
      </c>
      <c r="T62" s="62"/>
    </row>
    <row r="63" spans="1:20" ht="15.95" customHeight="1" x14ac:dyDescent="0.25">
      <c r="A63" s="58">
        <v>60</v>
      </c>
      <c r="B63" s="59">
        <v>46106</v>
      </c>
      <c r="C63" s="60" t="s">
        <v>208</v>
      </c>
      <c r="D63" s="58">
        <v>3</v>
      </c>
      <c r="E63" s="61">
        <v>9</v>
      </c>
      <c r="F63" s="16">
        <f t="shared" si="4"/>
        <v>56377361</v>
      </c>
      <c r="G63" s="190">
        <v>0</v>
      </c>
      <c r="H63" s="190">
        <v>0</v>
      </c>
      <c r="I63" s="47">
        <f t="shared" si="0"/>
        <v>0</v>
      </c>
      <c r="J63" s="191">
        <v>0</v>
      </c>
      <c r="K63" s="192">
        <v>0</v>
      </c>
      <c r="L63" s="192">
        <v>0</v>
      </c>
      <c r="M63" s="48">
        <f t="shared" si="1"/>
        <v>56377361</v>
      </c>
      <c r="N63" s="193">
        <v>0</v>
      </c>
      <c r="O63" s="49"/>
      <c r="P63" s="50">
        <f t="shared" si="2"/>
        <v>56377361</v>
      </c>
      <c r="Q63" s="13">
        <f t="shared" si="5"/>
        <v>4254897</v>
      </c>
      <c r="R63" s="51">
        <f t="shared" si="3"/>
        <v>52122464</v>
      </c>
      <c r="S63" s="176">
        <f>BILLETAGE!Y64</f>
        <v>0</v>
      </c>
      <c r="T63" s="62"/>
    </row>
    <row r="64" spans="1:20" ht="15.95" customHeight="1" x14ac:dyDescent="0.25">
      <c r="A64" s="58">
        <v>61</v>
      </c>
      <c r="B64" s="59">
        <v>46107</v>
      </c>
      <c r="C64" s="60" t="s">
        <v>204</v>
      </c>
      <c r="D64" s="58">
        <v>3</v>
      </c>
      <c r="E64" s="61">
        <v>9</v>
      </c>
      <c r="F64" s="16">
        <f t="shared" si="4"/>
        <v>56377361</v>
      </c>
      <c r="G64" s="190">
        <v>0</v>
      </c>
      <c r="H64" s="190">
        <v>0</v>
      </c>
      <c r="I64" s="47">
        <f t="shared" si="0"/>
        <v>0</v>
      </c>
      <c r="J64" s="191">
        <v>0</v>
      </c>
      <c r="K64" s="192">
        <v>0</v>
      </c>
      <c r="L64" s="192">
        <v>0</v>
      </c>
      <c r="M64" s="48">
        <f t="shared" si="1"/>
        <v>56377361</v>
      </c>
      <c r="N64" s="193">
        <v>0</v>
      </c>
      <c r="O64" s="49"/>
      <c r="P64" s="50">
        <f t="shared" si="2"/>
        <v>56377361</v>
      </c>
      <c r="Q64" s="13">
        <f t="shared" si="5"/>
        <v>4254897</v>
      </c>
      <c r="R64" s="51">
        <f t="shared" si="3"/>
        <v>52122464</v>
      </c>
      <c r="S64" s="176">
        <f>BILLETAGE!Y65</f>
        <v>0</v>
      </c>
      <c r="T64" s="62"/>
    </row>
    <row r="65" spans="1:20" ht="15.95" customHeight="1" x14ac:dyDescent="0.25">
      <c r="A65" s="58">
        <v>62</v>
      </c>
      <c r="B65" s="59">
        <v>46108</v>
      </c>
      <c r="C65" s="60" t="s">
        <v>205</v>
      </c>
      <c r="D65" s="58">
        <v>3</v>
      </c>
      <c r="E65" s="61">
        <v>9</v>
      </c>
      <c r="F65" s="16">
        <f t="shared" si="4"/>
        <v>56377361</v>
      </c>
      <c r="G65" s="190">
        <v>0</v>
      </c>
      <c r="H65" s="190">
        <v>0</v>
      </c>
      <c r="I65" s="47">
        <f t="shared" si="0"/>
        <v>0</v>
      </c>
      <c r="J65" s="191">
        <v>0</v>
      </c>
      <c r="K65" s="192">
        <v>0</v>
      </c>
      <c r="L65" s="192">
        <v>0</v>
      </c>
      <c r="M65" s="48">
        <f t="shared" si="1"/>
        <v>56377361</v>
      </c>
      <c r="N65" s="193">
        <v>0</v>
      </c>
      <c r="O65" s="49"/>
      <c r="P65" s="50">
        <f t="shared" si="2"/>
        <v>56377361</v>
      </c>
      <c r="Q65" s="13">
        <f t="shared" si="5"/>
        <v>4254897</v>
      </c>
      <c r="R65" s="51">
        <f t="shared" si="3"/>
        <v>52122464</v>
      </c>
      <c r="S65" s="176">
        <f>BILLETAGE!Y66</f>
        <v>0</v>
      </c>
      <c r="T65" s="62"/>
    </row>
    <row r="66" spans="1:20" ht="15.95" customHeight="1" x14ac:dyDescent="0.25">
      <c r="A66" s="58">
        <v>63</v>
      </c>
      <c r="B66" s="59">
        <v>46111</v>
      </c>
      <c r="C66" s="60" t="s">
        <v>206</v>
      </c>
      <c r="D66" s="58">
        <v>3</v>
      </c>
      <c r="E66" s="61">
        <v>9</v>
      </c>
      <c r="F66" s="16">
        <f t="shared" si="4"/>
        <v>56377361</v>
      </c>
      <c r="G66" s="190">
        <v>0</v>
      </c>
      <c r="H66" s="190">
        <v>0</v>
      </c>
      <c r="I66" s="47">
        <f t="shared" si="0"/>
        <v>0</v>
      </c>
      <c r="J66" s="191">
        <v>0</v>
      </c>
      <c r="K66" s="192">
        <v>0</v>
      </c>
      <c r="L66" s="192">
        <v>0</v>
      </c>
      <c r="M66" s="48">
        <f t="shared" si="1"/>
        <v>56377361</v>
      </c>
      <c r="N66" s="193">
        <v>0</v>
      </c>
      <c r="O66" s="49"/>
      <c r="P66" s="50">
        <f t="shared" si="2"/>
        <v>56377361</v>
      </c>
      <c r="Q66" s="13">
        <f t="shared" si="5"/>
        <v>4254897</v>
      </c>
      <c r="R66" s="51">
        <f t="shared" si="3"/>
        <v>52122464</v>
      </c>
      <c r="S66" s="176">
        <f>BILLETAGE!Y67</f>
        <v>0</v>
      </c>
      <c r="T66" s="62"/>
    </row>
    <row r="67" spans="1:20" ht="15.95" customHeight="1" x14ac:dyDescent="0.25">
      <c r="A67" s="58">
        <v>64</v>
      </c>
      <c r="B67" s="59">
        <v>46112</v>
      </c>
      <c r="C67" s="60" t="s">
        <v>207</v>
      </c>
      <c r="D67" s="58">
        <v>3</v>
      </c>
      <c r="E67" s="61">
        <v>9</v>
      </c>
      <c r="F67" s="16">
        <f t="shared" si="4"/>
        <v>56377361</v>
      </c>
      <c r="G67" s="190">
        <v>0</v>
      </c>
      <c r="H67" s="190">
        <v>0</v>
      </c>
      <c r="I67" s="47">
        <f t="shared" si="0"/>
        <v>0</v>
      </c>
      <c r="J67" s="191">
        <v>0</v>
      </c>
      <c r="K67" s="192">
        <v>0</v>
      </c>
      <c r="L67" s="192">
        <v>0</v>
      </c>
      <c r="M67" s="48">
        <f t="shared" si="1"/>
        <v>56377361</v>
      </c>
      <c r="N67" s="193">
        <v>0</v>
      </c>
      <c r="O67" s="49"/>
      <c r="P67" s="50">
        <f t="shared" si="2"/>
        <v>56377361</v>
      </c>
      <c r="Q67" s="13">
        <f t="shared" si="5"/>
        <v>4254897</v>
      </c>
      <c r="R67" s="51">
        <f t="shared" si="3"/>
        <v>52122464</v>
      </c>
      <c r="S67" s="176">
        <f>BILLETAGE!Y68</f>
        <v>0</v>
      </c>
      <c r="T67" s="62"/>
    </row>
    <row r="68" spans="1:20" ht="15.95" customHeight="1" x14ac:dyDescent="0.25">
      <c r="A68" s="63">
        <v>65</v>
      </c>
      <c r="B68" s="64">
        <v>46113</v>
      </c>
      <c r="C68" s="65" t="s">
        <v>208</v>
      </c>
      <c r="D68" s="63">
        <v>4</v>
      </c>
      <c r="E68" s="66">
        <v>10</v>
      </c>
      <c r="F68" s="20">
        <f t="shared" si="4"/>
        <v>56377361</v>
      </c>
      <c r="G68" s="190">
        <v>0</v>
      </c>
      <c r="H68" s="190">
        <v>0</v>
      </c>
      <c r="I68" s="47">
        <f t="shared" ref="I68:I131" si="6">G68+H68</f>
        <v>0</v>
      </c>
      <c r="J68" s="191">
        <v>0</v>
      </c>
      <c r="K68" s="192">
        <v>0</v>
      </c>
      <c r="L68" s="192">
        <v>0</v>
      </c>
      <c r="M68" s="48">
        <f t="shared" ref="M68:M131" si="7">F68+I68-J68</f>
        <v>56377361</v>
      </c>
      <c r="N68" s="193">
        <v>0</v>
      </c>
      <c r="O68" s="49"/>
      <c r="P68" s="50">
        <f t="shared" ref="P68:P131" si="8">M68+N68</f>
        <v>56377361</v>
      </c>
      <c r="Q68" s="13">
        <f t="shared" si="5"/>
        <v>4254897</v>
      </c>
      <c r="R68" s="51">
        <f t="shared" ref="R68:R131" si="9">P68-Q68</f>
        <v>52122464</v>
      </c>
      <c r="S68" s="176">
        <f>BILLETAGE!Y69</f>
        <v>0</v>
      </c>
      <c r="T68" s="67"/>
    </row>
    <row r="69" spans="1:20" ht="15.95" customHeight="1" x14ac:dyDescent="0.25">
      <c r="A69" s="63">
        <v>66</v>
      </c>
      <c r="B69" s="64">
        <v>46114</v>
      </c>
      <c r="C69" s="65" t="s">
        <v>204</v>
      </c>
      <c r="D69" s="63">
        <v>4</v>
      </c>
      <c r="E69" s="66">
        <v>10</v>
      </c>
      <c r="F69" s="20">
        <f t="shared" ref="F69:F132" si="10">P68</f>
        <v>56377361</v>
      </c>
      <c r="G69" s="190">
        <v>0</v>
      </c>
      <c r="H69" s="190">
        <v>0</v>
      </c>
      <c r="I69" s="47">
        <f t="shared" si="6"/>
        <v>0</v>
      </c>
      <c r="J69" s="191">
        <v>0</v>
      </c>
      <c r="K69" s="192">
        <v>0</v>
      </c>
      <c r="L69" s="192">
        <v>0</v>
      </c>
      <c r="M69" s="48">
        <f t="shared" si="7"/>
        <v>56377361</v>
      </c>
      <c r="N69" s="193">
        <v>0</v>
      </c>
      <c r="O69" s="49"/>
      <c r="P69" s="50">
        <f t="shared" si="8"/>
        <v>56377361</v>
      </c>
      <c r="Q69" s="13">
        <f t="shared" ref="Q69:Q132" si="11">Q68+K69-L69</f>
        <v>4254897</v>
      </c>
      <c r="R69" s="51">
        <f t="shared" si="9"/>
        <v>52122464</v>
      </c>
      <c r="S69" s="176">
        <f>BILLETAGE!Y70</f>
        <v>0</v>
      </c>
      <c r="T69" s="67"/>
    </row>
    <row r="70" spans="1:20" ht="15.95" customHeight="1" x14ac:dyDescent="0.25">
      <c r="A70" s="63">
        <v>67</v>
      </c>
      <c r="B70" s="64">
        <v>46115</v>
      </c>
      <c r="C70" s="65" t="s">
        <v>205</v>
      </c>
      <c r="D70" s="63">
        <v>4</v>
      </c>
      <c r="E70" s="66">
        <v>10</v>
      </c>
      <c r="F70" s="20">
        <f t="shared" si="10"/>
        <v>56377361</v>
      </c>
      <c r="G70" s="190">
        <v>0</v>
      </c>
      <c r="H70" s="190">
        <v>0</v>
      </c>
      <c r="I70" s="47">
        <f t="shared" si="6"/>
        <v>0</v>
      </c>
      <c r="J70" s="191">
        <v>0</v>
      </c>
      <c r="K70" s="192">
        <v>0</v>
      </c>
      <c r="L70" s="192">
        <v>0</v>
      </c>
      <c r="M70" s="48">
        <f t="shared" si="7"/>
        <v>56377361</v>
      </c>
      <c r="N70" s="193">
        <v>0</v>
      </c>
      <c r="O70" s="49"/>
      <c r="P70" s="50">
        <f t="shared" si="8"/>
        <v>56377361</v>
      </c>
      <c r="Q70" s="13">
        <f t="shared" si="11"/>
        <v>4254897</v>
      </c>
      <c r="R70" s="51">
        <f t="shared" si="9"/>
        <v>52122464</v>
      </c>
      <c r="S70" s="176">
        <f>BILLETAGE!Y71</f>
        <v>0</v>
      </c>
      <c r="T70" s="67"/>
    </row>
    <row r="71" spans="1:20" ht="15.95" customHeight="1" x14ac:dyDescent="0.25">
      <c r="A71" s="63">
        <v>68</v>
      </c>
      <c r="B71" s="64">
        <v>46118</v>
      </c>
      <c r="C71" s="65" t="s">
        <v>206</v>
      </c>
      <c r="D71" s="63">
        <v>4</v>
      </c>
      <c r="E71" s="66">
        <v>10</v>
      </c>
      <c r="F71" s="20">
        <f t="shared" si="10"/>
        <v>56377361</v>
      </c>
      <c r="G71" s="190">
        <v>0</v>
      </c>
      <c r="H71" s="190">
        <v>0</v>
      </c>
      <c r="I71" s="47">
        <f t="shared" si="6"/>
        <v>0</v>
      </c>
      <c r="J71" s="191">
        <v>0</v>
      </c>
      <c r="K71" s="192">
        <v>0</v>
      </c>
      <c r="L71" s="192">
        <v>0</v>
      </c>
      <c r="M71" s="48">
        <f t="shared" si="7"/>
        <v>56377361</v>
      </c>
      <c r="N71" s="193">
        <v>0</v>
      </c>
      <c r="O71" s="49"/>
      <c r="P71" s="50">
        <f t="shared" si="8"/>
        <v>56377361</v>
      </c>
      <c r="Q71" s="13">
        <f t="shared" si="11"/>
        <v>4254897</v>
      </c>
      <c r="R71" s="51">
        <f t="shared" si="9"/>
        <v>52122464</v>
      </c>
      <c r="S71" s="176">
        <f>BILLETAGE!Y72</f>
        <v>0</v>
      </c>
      <c r="T71" s="67"/>
    </row>
    <row r="72" spans="1:20" ht="15.95" customHeight="1" x14ac:dyDescent="0.25">
      <c r="A72" s="63">
        <v>69</v>
      </c>
      <c r="B72" s="64">
        <v>46119</v>
      </c>
      <c r="C72" s="65" t="s">
        <v>207</v>
      </c>
      <c r="D72" s="63">
        <v>4</v>
      </c>
      <c r="E72" s="66">
        <v>10</v>
      </c>
      <c r="F72" s="20">
        <f t="shared" si="10"/>
        <v>56377361</v>
      </c>
      <c r="G72" s="190">
        <v>0</v>
      </c>
      <c r="H72" s="190">
        <v>0</v>
      </c>
      <c r="I72" s="47">
        <f t="shared" si="6"/>
        <v>0</v>
      </c>
      <c r="J72" s="191">
        <v>0</v>
      </c>
      <c r="K72" s="192">
        <v>0</v>
      </c>
      <c r="L72" s="192">
        <v>0</v>
      </c>
      <c r="M72" s="48">
        <f t="shared" si="7"/>
        <v>56377361</v>
      </c>
      <c r="N72" s="193">
        <v>0</v>
      </c>
      <c r="O72" s="49"/>
      <c r="P72" s="50">
        <f t="shared" si="8"/>
        <v>56377361</v>
      </c>
      <c r="Q72" s="13">
        <f t="shared" si="11"/>
        <v>4254897</v>
      </c>
      <c r="R72" s="51">
        <f t="shared" si="9"/>
        <v>52122464</v>
      </c>
      <c r="S72" s="176">
        <f>BILLETAGE!Y73</f>
        <v>0</v>
      </c>
      <c r="T72" s="67"/>
    </row>
    <row r="73" spans="1:20" ht="15.95" customHeight="1" x14ac:dyDescent="0.25">
      <c r="A73" s="63">
        <v>70</v>
      </c>
      <c r="B73" s="64">
        <v>46120</v>
      </c>
      <c r="C73" s="65" t="s">
        <v>208</v>
      </c>
      <c r="D73" s="63">
        <v>4</v>
      </c>
      <c r="E73" s="66">
        <v>10</v>
      </c>
      <c r="F73" s="20">
        <f t="shared" si="10"/>
        <v>56377361</v>
      </c>
      <c r="G73" s="190">
        <v>0</v>
      </c>
      <c r="H73" s="190">
        <v>0</v>
      </c>
      <c r="I73" s="47">
        <f t="shared" si="6"/>
        <v>0</v>
      </c>
      <c r="J73" s="191">
        <v>0</v>
      </c>
      <c r="K73" s="192">
        <v>0</v>
      </c>
      <c r="L73" s="192">
        <v>0</v>
      </c>
      <c r="M73" s="48">
        <f t="shared" si="7"/>
        <v>56377361</v>
      </c>
      <c r="N73" s="193">
        <v>0</v>
      </c>
      <c r="O73" s="49"/>
      <c r="P73" s="50">
        <f t="shared" si="8"/>
        <v>56377361</v>
      </c>
      <c r="Q73" s="13">
        <f t="shared" si="11"/>
        <v>4254897</v>
      </c>
      <c r="R73" s="51">
        <f t="shared" si="9"/>
        <v>52122464</v>
      </c>
      <c r="S73" s="176">
        <f>BILLETAGE!Y74</f>
        <v>0</v>
      </c>
      <c r="T73" s="67"/>
    </row>
    <row r="74" spans="1:20" ht="15.95" customHeight="1" x14ac:dyDescent="0.25">
      <c r="A74" s="63">
        <v>71</v>
      </c>
      <c r="B74" s="64">
        <v>46121</v>
      </c>
      <c r="C74" s="65" t="s">
        <v>204</v>
      </c>
      <c r="D74" s="63">
        <v>4</v>
      </c>
      <c r="E74" s="66">
        <v>10</v>
      </c>
      <c r="F74" s="20">
        <f t="shared" si="10"/>
        <v>56377361</v>
      </c>
      <c r="G74" s="190">
        <v>0</v>
      </c>
      <c r="H74" s="190">
        <v>0</v>
      </c>
      <c r="I74" s="47">
        <f t="shared" si="6"/>
        <v>0</v>
      </c>
      <c r="J74" s="191">
        <v>0</v>
      </c>
      <c r="K74" s="192">
        <v>0</v>
      </c>
      <c r="L74" s="192">
        <v>0</v>
      </c>
      <c r="M74" s="48">
        <f t="shared" si="7"/>
        <v>56377361</v>
      </c>
      <c r="N74" s="193">
        <v>0</v>
      </c>
      <c r="O74" s="49"/>
      <c r="P74" s="50">
        <f t="shared" si="8"/>
        <v>56377361</v>
      </c>
      <c r="Q74" s="13">
        <f t="shared" si="11"/>
        <v>4254897</v>
      </c>
      <c r="R74" s="51">
        <f t="shared" si="9"/>
        <v>52122464</v>
      </c>
      <c r="S74" s="176">
        <f>BILLETAGE!Y75</f>
        <v>0</v>
      </c>
      <c r="T74" s="67"/>
    </row>
    <row r="75" spans="1:20" ht="15.95" customHeight="1" x14ac:dyDescent="0.25">
      <c r="A75" s="63">
        <v>72</v>
      </c>
      <c r="B75" s="64">
        <v>46122</v>
      </c>
      <c r="C75" s="65" t="s">
        <v>205</v>
      </c>
      <c r="D75" s="63">
        <v>4</v>
      </c>
      <c r="E75" s="66">
        <v>10</v>
      </c>
      <c r="F75" s="20">
        <f t="shared" si="10"/>
        <v>56377361</v>
      </c>
      <c r="G75" s="190">
        <v>0</v>
      </c>
      <c r="H75" s="190">
        <v>0</v>
      </c>
      <c r="I75" s="47">
        <f t="shared" si="6"/>
        <v>0</v>
      </c>
      <c r="J75" s="191">
        <v>0</v>
      </c>
      <c r="K75" s="192">
        <v>0</v>
      </c>
      <c r="L75" s="192">
        <v>0</v>
      </c>
      <c r="M75" s="48">
        <f t="shared" si="7"/>
        <v>56377361</v>
      </c>
      <c r="N75" s="193">
        <v>0</v>
      </c>
      <c r="O75" s="49"/>
      <c r="P75" s="50">
        <f t="shared" si="8"/>
        <v>56377361</v>
      </c>
      <c r="Q75" s="13">
        <f t="shared" si="11"/>
        <v>4254897</v>
      </c>
      <c r="R75" s="51">
        <f t="shared" si="9"/>
        <v>52122464</v>
      </c>
      <c r="S75" s="176">
        <f>BILLETAGE!Y76</f>
        <v>0</v>
      </c>
      <c r="T75" s="67"/>
    </row>
    <row r="76" spans="1:20" ht="15.95" customHeight="1" x14ac:dyDescent="0.25">
      <c r="A76" s="63">
        <v>73</v>
      </c>
      <c r="B76" s="64">
        <v>46125</v>
      </c>
      <c r="C76" s="65" t="s">
        <v>206</v>
      </c>
      <c r="D76" s="63">
        <v>4</v>
      </c>
      <c r="E76" s="66">
        <v>11</v>
      </c>
      <c r="F76" s="20">
        <f t="shared" si="10"/>
        <v>56377361</v>
      </c>
      <c r="G76" s="190">
        <v>0</v>
      </c>
      <c r="H76" s="190">
        <v>0</v>
      </c>
      <c r="I76" s="47">
        <f t="shared" si="6"/>
        <v>0</v>
      </c>
      <c r="J76" s="191">
        <v>0</v>
      </c>
      <c r="K76" s="192">
        <v>0</v>
      </c>
      <c r="L76" s="192">
        <v>0</v>
      </c>
      <c r="M76" s="48">
        <f t="shared" si="7"/>
        <v>56377361</v>
      </c>
      <c r="N76" s="193">
        <v>0</v>
      </c>
      <c r="O76" s="49"/>
      <c r="P76" s="50">
        <f t="shared" si="8"/>
        <v>56377361</v>
      </c>
      <c r="Q76" s="13">
        <f t="shared" si="11"/>
        <v>4254897</v>
      </c>
      <c r="R76" s="51">
        <f t="shared" si="9"/>
        <v>52122464</v>
      </c>
      <c r="S76" s="176">
        <f>BILLETAGE!Y77</f>
        <v>0</v>
      </c>
      <c r="T76" s="67"/>
    </row>
    <row r="77" spans="1:20" ht="15.95" customHeight="1" x14ac:dyDescent="0.25">
      <c r="A77" s="63">
        <v>74</v>
      </c>
      <c r="B77" s="64">
        <v>46126</v>
      </c>
      <c r="C77" s="65" t="s">
        <v>207</v>
      </c>
      <c r="D77" s="63">
        <v>4</v>
      </c>
      <c r="E77" s="66">
        <v>11</v>
      </c>
      <c r="F77" s="20">
        <f t="shared" si="10"/>
        <v>56377361</v>
      </c>
      <c r="G77" s="190">
        <v>0</v>
      </c>
      <c r="H77" s="190">
        <v>0</v>
      </c>
      <c r="I77" s="47">
        <f t="shared" si="6"/>
        <v>0</v>
      </c>
      <c r="J77" s="191">
        <v>0</v>
      </c>
      <c r="K77" s="192">
        <v>0</v>
      </c>
      <c r="L77" s="192">
        <v>0</v>
      </c>
      <c r="M77" s="48">
        <f t="shared" si="7"/>
        <v>56377361</v>
      </c>
      <c r="N77" s="193">
        <v>0</v>
      </c>
      <c r="O77" s="49"/>
      <c r="P77" s="50">
        <f t="shared" si="8"/>
        <v>56377361</v>
      </c>
      <c r="Q77" s="13">
        <f t="shared" si="11"/>
        <v>4254897</v>
      </c>
      <c r="R77" s="51">
        <f t="shared" si="9"/>
        <v>52122464</v>
      </c>
      <c r="S77" s="176">
        <f>BILLETAGE!Y78</f>
        <v>0</v>
      </c>
      <c r="T77" s="67"/>
    </row>
    <row r="78" spans="1:20" ht="15.95" customHeight="1" x14ac:dyDescent="0.25">
      <c r="A78" s="63">
        <v>75</v>
      </c>
      <c r="B78" s="64">
        <v>46127</v>
      </c>
      <c r="C78" s="65" t="s">
        <v>208</v>
      </c>
      <c r="D78" s="63">
        <v>4</v>
      </c>
      <c r="E78" s="66">
        <v>11</v>
      </c>
      <c r="F78" s="20">
        <f t="shared" si="10"/>
        <v>56377361</v>
      </c>
      <c r="G78" s="190">
        <v>0</v>
      </c>
      <c r="H78" s="190">
        <v>0</v>
      </c>
      <c r="I78" s="47">
        <f t="shared" si="6"/>
        <v>0</v>
      </c>
      <c r="J78" s="191">
        <v>0</v>
      </c>
      <c r="K78" s="192">
        <v>0</v>
      </c>
      <c r="L78" s="192">
        <v>0</v>
      </c>
      <c r="M78" s="48">
        <f t="shared" si="7"/>
        <v>56377361</v>
      </c>
      <c r="N78" s="193">
        <v>0</v>
      </c>
      <c r="O78" s="49"/>
      <c r="P78" s="50">
        <f t="shared" si="8"/>
        <v>56377361</v>
      </c>
      <c r="Q78" s="13">
        <f t="shared" si="11"/>
        <v>4254897</v>
      </c>
      <c r="R78" s="51">
        <f t="shared" si="9"/>
        <v>52122464</v>
      </c>
      <c r="S78" s="176">
        <f>BILLETAGE!Y79</f>
        <v>0</v>
      </c>
      <c r="T78" s="67"/>
    </row>
    <row r="79" spans="1:20" ht="15.95" customHeight="1" x14ac:dyDescent="0.25">
      <c r="A79" s="63">
        <v>76</v>
      </c>
      <c r="B79" s="64">
        <v>46128</v>
      </c>
      <c r="C79" s="65" t="s">
        <v>204</v>
      </c>
      <c r="D79" s="63">
        <v>4</v>
      </c>
      <c r="E79" s="66">
        <v>11</v>
      </c>
      <c r="F79" s="20">
        <f t="shared" si="10"/>
        <v>56377361</v>
      </c>
      <c r="G79" s="190">
        <v>0</v>
      </c>
      <c r="H79" s="190">
        <v>0</v>
      </c>
      <c r="I79" s="47">
        <f t="shared" si="6"/>
        <v>0</v>
      </c>
      <c r="J79" s="191">
        <v>0</v>
      </c>
      <c r="K79" s="192">
        <v>0</v>
      </c>
      <c r="L79" s="192">
        <v>0</v>
      </c>
      <c r="M79" s="48">
        <f t="shared" si="7"/>
        <v>56377361</v>
      </c>
      <c r="N79" s="193">
        <v>0</v>
      </c>
      <c r="O79" s="49"/>
      <c r="P79" s="50">
        <f t="shared" si="8"/>
        <v>56377361</v>
      </c>
      <c r="Q79" s="13">
        <f t="shared" si="11"/>
        <v>4254897</v>
      </c>
      <c r="R79" s="51">
        <f t="shared" si="9"/>
        <v>52122464</v>
      </c>
      <c r="S79" s="176">
        <f>BILLETAGE!Y80</f>
        <v>0</v>
      </c>
      <c r="T79" s="67"/>
    </row>
    <row r="80" spans="1:20" ht="15.95" customHeight="1" x14ac:dyDescent="0.25">
      <c r="A80" s="63">
        <v>77</v>
      </c>
      <c r="B80" s="64">
        <v>46129</v>
      </c>
      <c r="C80" s="65" t="s">
        <v>205</v>
      </c>
      <c r="D80" s="63">
        <v>4</v>
      </c>
      <c r="E80" s="66">
        <v>11</v>
      </c>
      <c r="F80" s="20">
        <f t="shared" si="10"/>
        <v>56377361</v>
      </c>
      <c r="G80" s="190">
        <v>0</v>
      </c>
      <c r="H80" s="190">
        <v>0</v>
      </c>
      <c r="I80" s="47">
        <f t="shared" si="6"/>
        <v>0</v>
      </c>
      <c r="J80" s="191">
        <v>0</v>
      </c>
      <c r="K80" s="192">
        <v>0</v>
      </c>
      <c r="L80" s="192">
        <v>0</v>
      </c>
      <c r="M80" s="48">
        <f t="shared" si="7"/>
        <v>56377361</v>
      </c>
      <c r="N80" s="193">
        <v>0</v>
      </c>
      <c r="O80" s="49"/>
      <c r="P80" s="50">
        <f t="shared" si="8"/>
        <v>56377361</v>
      </c>
      <c r="Q80" s="13">
        <f t="shared" si="11"/>
        <v>4254897</v>
      </c>
      <c r="R80" s="51">
        <f t="shared" si="9"/>
        <v>52122464</v>
      </c>
      <c r="S80" s="176">
        <f>BILLETAGE!Y81</f>
        <v>0</v>
      </c>
      <c r="T80" s="67"/>
    </row>
    <row r="81" spans="1:20" ht="15.95" customHeight="1" x14ac:dyDescent="0.25">
      <c r="A81" s="63">
        <v>78</v>
      </c>
      <c r="B81" s="64">
        <v>46132</v>
      </c>
      <c r="C81" s="65" t="s">
        <v>206</v>
      </c>
      <c r="D81" s="63">
        <v>4</v>
      </c>
      <c r="E81" s="66">
        <v>11</v>
      </c>
      <c r="F81" s="20">
        <f t="shared" si="10"/>
        <v>56377361</v>
      </c>
      <c r="G81" s="190">
        <v>0</v>
      </c>
      <c r="H81" s="190">
        <v>0</v>
      </c>
      <c r="I81" s="47">
        <f t="shared" si="6"/>
        <v>0</v>
      </c>
      <c r="J81" s="191">
        <v>0</v>
      </c>
      <c r="K81" s="192">
        <v>0</v>
      </c>
      <c r="L81" s="192">
        <v>0</v>
      </c>
      <c r="M81" s="48">
        <f t="shared" si="7"/>
        <v>56377361</v>
      </c>
      <c r="N81" s="193">
        <v>0</v>
      </c>
      <c r="O81" s="49"/>
      <c r="P81" s="50">
        <f t="shared" si="8"/>
        <v>56377361</v>
      </c>
      <c r="Q81" s="13">
        <f t="shared" si="11"/>
        <v>4254897</v>
      </c>
      <c r="R81" s="51">
        <f t="shared" si="9"/>
        <v>52122464</v>
      </c>
      <c r="S81" s="176">
        <f>BILLETAGE!Y82</f>
        <v>0</v>
      </c>
      <c r="T81" s="67"/>
    </row>
    <row r="82" spans="1:20" ht="15.95" customHeight="1" x14ac:dyDescent="0.25">
      <c r="A82" s="63">
        <v>79</v>
      </c>
      <c r="B82" s="64">
        <v>46133</v>
      </c>
      <c r="C82" s="65" t="s">
        <v>207</v>
      </c>
      <c r="D82" s="63">
        <v>4</v>
      </c>
      <c r="E82" s="66">
        <v>12</v>
      </c>
      <c r="F82" s="20">
        <f t="shared" si="10"/>
        <v>56377361</v>
      </c>
      <c r="G82" s="190">
        <v>0</v>
      </c>
      <c r="H82" s="190">
        <v>0</v>
      </c>
      <c r="I82" s="47">
        <f t="shared" si="6"/>
        <v>0</v>
      </c>
      <c r="J82" s="191">
        <v>0</v>
      </c>
      <c r="K82" s="192">
        <v>0</v>
      </c>
      <c r="L82" s="192">
        <v>0</v>
      </c>
      <c r="M82" s="48">
        <f t="shared" si="7"/>
        <v>56377361</v>
      </c>
      <c r="N82" s="193">
        <v>0</v>
      </c>
      <c r="O82" s="49"/>
      <c r="P82" s="50">
        <f t="shared" si="8"/>
        <v>56377361</v>
      </c>
      <c r="Q82" s="13">
        <f t="shared" si="11"/>
        <v>4254897</v>
      </c>
      <c r="R82" s="51">
        <f t="shared" si="9"/>
        <v>52122464</v>
      </c>
      <c r="S82" s="176">
        <f>BILLETAGE!Y83</f>
        <v>0</v>
      </c>
      <c r="T82" s="67"/>
    </row>
    <row r="83" spans="1:20" ht="15.95" customHeight="1" x14ac:dyDescent="0.25">
      <c r="A83" s="63">
        <v>80</v>
      </c>
      <c r="B83" s="64">
        <v>46134</v>
      </c>
      <c r="C83" s="65" t="s">
        <v>208</v>
      </c>
      <c r="D83" s="63">
        <v>4</v>
      </c>
      <c r="E83" s="66">
        <v>12</v>
      </c>
      <c r="F83" s="20">
        <f t="shared" si="10"/>
        <v>56377361</v>
      </c>
      <c r="G83" s="190">
        <v>0</v>
      </c>
      <c r="H83" s="190">
        <v>0</v>
      </c>
      <c r="I83" s="47">
        <f t="shared" si="6"/>
        <v>0</v>
      </c>
      <c r="J83" s="191">
        <v>0</v>
      </c>
      <c r="K83" s="192">
        <v>0</v>
      </c>
      <c r="L83" s="192">
        <v>0</v>
      </c>
      <c r="M83" s="48">
        <f t="shared" si="7"/>
        <v>56377361</v>
      </c>
      <c r="N83" s="193">
        <v>0</v>
      </c>
      <c r="O83" s="49"/>
      <c r="P83" s="50">
        <f t="shared" si="8"/>
        <v>56377361</v>
      </c>
      <c r="Q83" s="13">
        <f t="shared" si="11"/>
        <v>4254897</v>
      </c>
      <c r="R83" s="51">
        <f t="shared" si="9"/>
        <v>52122464</v>
      </c>
      <c r="S83" s="176">
        <f>BILLETAGE!Y84</f>
        <v>0</v>
      </c>
      <c r="T83" s="67"/>
    </row>
    <row r="84" spans="1:20" ht="15.95" customHeight="1" x14ac:dyDescent="0.25">
      <c r="A84" s="63">
        <v>81</v>
      </c>
      <c r="B84" s="64">
        <v>46135</v>
      </c>
      <c r="C84" s="65" t="s">
        <v>204</v>
      </c>
      <c r="D84" s="63">
        <v>4</v>
      </c>
      <c r="E84" s="66">
        <v>12</v>
      </c>
      <c r="F84" s="20">
        <f t="shared" si="10"/>
        <v>56377361</v>
      </c>
      <c r="G84" s="190">
        <v>0</v>
      </c>
      <c r="H84" s="190">
        <v>0</v>
      </c>
      <c r="I84" s="47">
        <f t="shared" si="6"/>
        <v>0</v>
      </c>
      <c r="J84" s="191">
        <v>0</v>
      </c>
      <c r="K84" s="192">
        <v>0</v>
      </c>
      <c r="L84" s="192">
        <v>0</v>
      </c>
      <c r="M84" s="48">
        <f t="shared" si="7"/>
        <v>56377361</v>
      </c>
      <c r="N84" s="193">
        <v>0</v>
      </c>
      <c r="O84" s="49"/>
      <c r="P84" s="50">
        <f t="shared" si="8"/>
        <v>56377361</v>
      </c>
      <c r="Q84" s="13">
        <f t="shared" si="11"/>
        <v>4254897</v>
      </c>
      <c r="R84" s="51">
        <f t="shared" si="9"/>
        <v>52122464</v>
      </c>
      <c r="S84" s="176">
        <f>BILLETAGE!Y85</f>
        <v>0</v>
      </c>
      <c r="T84" s="67"/>
    </row>
    <row r="85" spans="1:20" ht="15.95" customHeight="1" x14ac:dyDescent="0.25">
      <c r="A85" s="63">
        <v>82</v>
      </c>
      <c r="B85" s="64">
        <v>46136</v>
      </c>
      <c r="C85" s="65" t="s">
        <v>205</v>
      </c>
      <c r="D85" s="63">
        <v>4</v>
      </c>
      <c r="E85" s="66">
        <v>12</v>
      </c>
      <c r="F85" s="20">
        <f t="shared" si="10"/>
        <v>56377361</v>
      </c>
      <c r="G85" s="190">
        <v>0</v>
      </c>
      <c r="H85" s="190">
        <v>0</v>
      </c>
      <c r="I85" s="47">
        <f t="shared" si="6"/>
        <v>0</v>
      </c>
      <c r="J85" s="191">
        <v>0</v>
      </c>
      <c r="K85" s="192">
        <v>0</v>
      </c>
      <c r="L85" s="192">
        <v>0</v>
      </c>
      <c r="M85" s="48">
        <f t="shared" si="7"/>
        <v>56377361</v>
      </c>
      <c r="N85" s="193">
        <v>0</v>
      </c>
      <c r="O85" s="49"/>
      <c r="P85" s="50">
        <f t="shared" si="8"/>
        <v>56377361</v>
      </c>
      <c r="Q85" s="13">
        <f t="shared" si="11"/>
        <v>4254897</v>
      </c>
      <c r="R85" s="51">
        <f t="shared" si="9"/>
        <v>52122464</v>
      </c>
      <c r="S85" s="176">
        <f>BILLETAGE!Y86</f>
        <v>0</v>
      </c>
      <c r="T85" s="67"/>
    </row>
    <row r="86" spans="1:20" ht="15.95" customHeight="1" x14ac:dyDescent="0.25">
      <c r="A86" s="63">
        <v>83</v>
      </c>
      <c r="B86" s="64">
        <v>46139</v>
      </c>
      <c r="C86" s="65" t="s">
        <v>206</v>
      </c>
      <c r="D86" s="63">
        <v>4</v>
      </c>
      <c r="E86" s="66">
        <v>12</v>
      </c>
      <c r="F86" s="20">
        <f t="shared" si="10"/>
        <v>56377361</v>
      </c>
      <c r="G86" s="190">
        <v>0</v>
      </c>
      <c r="H86" s="190">
        <v>0</v>
      </c>
      <c r="I86" s="47">
        <f t="shared" si="6"/>
        <v>0</v>
      </c>
      <c r="J86" s="191">
        <v>0</v>
      </c>
      <c r="K86" s="192">
        <v>0</v>
      </c>
      <c r="L86" s="192">
        <v>0</v>
      </c>
      <c r="M86" s="48">
        <f t="shared" si="7"/>
        <v>56377361</v>
      </c>
      <c r="N86" s="193">
        <v>0</v>
      </c>
      <c r="O86" s="49"/>
      <c r="P86" s="50">
        <f t="shared" si="8"/>
        <v>56377361</v>
      </c>
      <c r="Q86" s="13">
        <f t="shared" si="11"/>
        <v>4254897</v>
      </c>
      <c r="R86" s="51">
        <f t="shared" si="9"/>
        <v>52122464</v>
      </c>
      <c r="S86" s="176">
        <f>BILLETAGE!Y87</f>
        <v>0</v>
      </c>
      <c r="T86" s="67"/>
    </row>
    <row r="87" spans="1:20" ht="15.95" customHeight="1" x14ac:dyDescent="0.25">
      <c r="A87" s="63">
        <v>84</v>
      </c>
      <c r="B87" s="64">
        <v>46140</v>
      </c>
      <c r="C87" s="65" t="s">
        <v>207</v>
      </c>
      <c r="D87" s="63">
        <v>4</v>
      </c>
      <c r="E87" s="66">
        <v>12</v>
      </c>
      <c r="F87" s="20">
        <f t="shared" si="10"/>
        <v>56377361</v>
      </c>
      <c r="G87" s="190">
        <v>0</v>
      </c>
      <c r="H87" s="190">
        <v>0</v>
      </c>
      <c r="I87" s="47">
        <f t="shared" si="6"/>
        <v>0</v>
      </c>
      <c r="J87" s="191">
        <v>0</v>
      </c>
      <c r="K87" s="192">
        <v>0</v>
      </c>
      <c r="L87" s="192">
        <v>0</v>
      </c>
      <c r="M87" s="48">
        <f t="shared" si="7"/>
        <v>56377361</v>
      </c>
      <c r="N87" s="193">
        <v>0</v>
      </c>
      <c r="O87" s="49"/>
      <c r="P87" s="50">
        <f t="shared" si="8"/>
        <v>56377361</v>
      </c>
      <c r="Q87" s="13">
        <f t="shared" si="11"/>
        <v>4254897</v>
      </c>
      <c r="R87" s="51">
        <f t="shared" si="9"/>
        <v>52122464</v>
      </c>
      <c r="S87" s="176">
        <f>BILLETAGE!Y88</f>
        <v>0</v>
      </c>
      <c r="T87" s="67"/>
    </row>
    <row r="88" spans="1:20" ht="15.95" customHeight="1" x14ac:dyDescent="0.25">
      <c r="A88" s="63">
        <v>85</v>
      </c>
      <c r="B88" s="64">
        <v>46141</v>
      </c>
      <c r="C88" s="65" t="s">
        <v>208</v>
      </c>
      <c r="D88" s="63">
        <v>4</v>
      </c>
      <c r="E88" s="66">
        <v>12</v>
      </c>
      <c r="F88" s="20">
        <f t="shared" si="10"/>
        <v>56377361</v>
      </c>
      <c r="G88" s="190">
        <v>0</v>
      </c>
      <c r="H88" s="190">
        <v>0</v>
      </c>
      <c r="I88" s="47">
        <f t="shared" si="6"/>
        <v>0</v>
      </c>
      <c r="J88" s="191">
        <v>0</v>
      </c>
      <c r="K88" s="192">
        <v>0</v>
      </c>
      <c r="L88" s="192">
        <v>0</v>
      </c>
      <c r="M88" s="48">
        <f t="shared" si="7"/>
        <v>56377361</v>
      </c>
      <c r="N88" s="193">
        <v>0</v>
      </c>
      <c r="O88" s="49"/>
      <c r="P88" s="50">
        <f t="shared" si="8"/>
        <v>56377361</v>
      </c>
      <c r="Q88" s="13">
        <f t="shared" si="11"/>
        <v>4254897</v>
      </c>
      <c r="R88" s="51">
        <f t="shared" si="9"/>
        <v>52122464</v>
      </c>
      <c r="S88" s="176">
        <f>BILLETAGE!Y89</f>
        <v>0</v>
      </c>
      <c r="T88" s="67"/>
    </row>
    <row r="89" spans="1:20" ht="15.95" customHeight="1" x14ac:dyDescent="0.25">
      <c r="A89" s="63">
        <v>86</v>
      </c>
      <c r="B89" s="64">
        <v>46142</v>
      </c>
      <c r="C89" s="65" t="s">
        <v>204</v>
      </c>
      <c r="D89" s="63">
        <v>4</v>
      </c>
      <c r="E89" s="66">
        <v>12</v>
      </c>
      <c r="F89" s="20">
        <f t="shared" si="10"/>
        <v>56377361</v>
      </c>
      <c r="G89" s="190">
        <v>0</v>
      </c>
      <c r="H89" s="190">
        <v>0</v>
      </c>
      <c r="I89" s="47">
        <f t="shared" si="6"/>
        <v>0</v>
      </c>
      <c r="J89" s="191">
        <v>0</v>
      </c>
      <c r="K89" s="192">
        <v>0</v>
      </c>
      <c r="L89" s="192">
        <v>0</v>
      </c>
      <c r="M89" s="48">
        <f t="shared" si="7"/>
        <v>56377361</v>
      </c>
      <c r="N89" s="193">
        <v>0</v>
      </c>
      <c r="O89" s="49"/>
      <c r="P89" s="50">
        <f t="shared" si="8"/>
        <v>56377361</v>
      </c>
      <c r="Q89" s="13">
        <f t="shared" si="11"/>
        <v>4254897</v>
      </c>
      <c r="R89" s="51">
        <f t="shared" si="9"/>
        <v>52122464</v>
      </c>
      <c r="S89" s="176">
        <f>BILLETAGE!Y90</f>
        <v>0</v>
      </c>
      <c r="T89" s="67"/>
    </row>
    <row r="90" spans="1:20" ht="15.95" customHeight="1" x14ac:dyDescent="0.25">
      <c r="A90" s="68">
        <v>87</v>
      </c>
      <c r="B90" s="69">
        <v>46143</v>
      </c>
      <c r="C90" s="70" t="s">
        <v>205</v>
      </c>
      <c r="D90" s="68">
        <v>5</v>
      </c>
      <c r="E90" s="71">
        <v>13</v>
      </c>
      <c r="F90" s="24">
        <f t="shared" si="10"/>
        <v>56377361</v>
      </c>
      <c r="G90" s="190">
        <v>0</v>
      </c>
      <c r="H90" s="190">
        <v>0</v>
      </c>
      <c r="I90" s="47">
        <f t="shared" si="6"/>
        <v>0</v>
      </c>
      <c r="J90" s="191">
        <v>0</v>
      </c>
      <c r="K90" s="192">
        <v>0</v>
      </c>
      <c r="L90" s="192">
        <v>0</v>
      </c>
      <c r="M90" s="48">
        <f t="shared" si="7"/>
        <v>56377361</v>
      </c>
      <c r="N90" s="193">
        <v>0</v>
      </c>
      <c r="O90" s="49"/>
      <c r="P90" s="50">
        <f t="shared" si="8"/>
        <v>56377361</v>
      </c>
      <c r="Q90" s="13">
        <f t="shared" si="11"/>
        <v>4254897</v>
      </c>
      <c r="R90" s="51">
        <f t="shared" si="9"/>
        <v>52122464</v>
      </c>
      <c r="S90" s="176">
        <f>BILLETAGE!Y91</f>
        <v>0</v>
      </c>
      <c r="T90" s="72"/>
    </row>
    <row r="91" spans="1:20" ht="15.95" customHeight="1" x14ac:dyDescent="0.25">
      <c r="A91" s="68">
        <v>88</v>
      </c>
      <c r="B91" s="69">
        <v>46146</v>
      </c>
      <c r="C91" s="70" t="s">
        <v>206</v>
      </c>
      <c r="D91" s="68">
        <v>5</v>
      </c>
      <c r="E91" s="71">
        <v>13</v>
      </c>
      <c r="F91" s="24">
        <f t="shared" si="10"/>
        <v>56377361</v>
      </c>
      <c r="G91" s="190">
        <v>0</v>
      </c>
      <c r="H91" s="190">
        <v>0</v>
      </c>
      <c r="I91" s="47">
        <f t="shared" si="6"/>
        <v>0</v>
      </c>
      <c r="J91" s="191">
        <v>0</v>
      </c>
      <c r="K91" s="192">
        <v>0</v>
      </c>
      <c r="L91" s="192">
        <v>0</v>
      </c>
      <c r="M91" s="48">
        <f t="shared" si="7"/>
        <v>56377361</v>
      </c>
      <c r="N91" s="193">
        <v>0</v>
      </c>
      <c r="O91" s="49"/>
      <c r="P91" s="50">
        <f t="shared" si="8"/>
        <v>56377361</v>
      </c>
      <c r="Q91" s="13">
        <f t="shared" si="11"/>
        <v>4254897</v>
      </c>
      <c r="R91" s="51">
        <f t="shared" si="9"/>
        <v>52122464</v>
      </c>
      <c r="S91" s="176">
        <f>BILLETAGE!Y92</f>
        <v>0</v>
      </c>
      <c r="T91" s="72"/>
    </row>
    <row r="92" spans="1:20" ht="15.95" customHeight="1" x14ac:dyDescent="0.25">
      <c r="A92" s="68">
        <v>89</v>
      </c>
      <c r="B92" s="69">
        <v>46147</v>
      </c>
      <c r="C92" s="70" t="s">
        <v>207</v>
      </c>
      <c r="D92" s="68">
        <v>5</v>
      </c>
      <c r="E92" s="71">
        <v>13</v>
      </c>
      <c r="F92" s="24">
        <f t="shared" si="10"/>
        <v>56377361</v>
      </c>
      <c r="G92" s="190">
        <v>0</v>
      </c>
      <c r="H92" s="190">
        <v>0</v>
      </c>
      <c r="I92" s="47">
        <f t="shared" si="6"/>
        <v>0</v>
      </c>
      <c r="J92" s="191">
        <v>0</v>
      </c>
      <c r="K92" s="192">
        <v>0</v>
      </c>
      <c r="L92" s="192">
        <v>0</v>
      </c>
      <c r="M92" s="48">
        <f t="shared" si="7"/>
        <v>56377361</v>
      </c>
      <c r="N92" s="193">
        <v>0</v>
      </c>
      <c r="O92" s="49"/>
      <c r="P92" s="50">
        <f t="shared" si="8"/>
        <v>56377361</v>
      </c>
      <c r="Q92" s="13">
        <f t="shared" si="11"/>
        <v>4254897</v>
      </c>
      <c r="R92" s="51">
        <f t="shared" si="9"/>
        <v>52122464</v>
      </c>
      <c r="S92" s="176">
        <f>BILLETAGE!Y93</f>
        <v>0</v>
      </c>
      <c r="T92" s="72"/>
    </row>
    <row r="93" spans="1:20" ht="15.95" customHeight="1" x14ac:dyDescent="0.25">
      <c r="A93" s="68">
        <v>90</v>
      </c>
      <c r="B93" s="69">
        <v>46148</v>
      </c>
      <c r="C93" s="70" t="s">
        <v>208</v>
      </c>
      <c r="D93" s="68">
        <v>5</v>
      </c>
      <c r="E93" s="71">
        <v>13</v>
      </c>
      <c r="F93" s="24">
        <f t="shared" si="10"/>
        <v>56377361</v>
      </c>
      <c r="G93" s="190">
        <v>0</v>
      </c>
      <c r="H93" s="190">
        <v>0</v>
      </c>
      <c r="I93" s="47">
        <f t="shared" si="6"/>
        <v>0</v>
      </c>
      <c r="J93" s="191">
        <v>0</v>
      </c>
      <c r="K93" s="192">
        <v>0</v>
      </c>
      <c r="L93" s="192">
        <v>0</v>
      </c>
      <c r="M93" s="48">
        <f t="shared" si="7"/>
        <v>56377361</v>
      </c>
      <c r="N93" s="193">
        <v>0</v>
      </c>
      <c r="O93" s="49"/>
      <c r="P93" s="50">
        <f t="shared" si="8"/>
        <v>56377361</v>
      </c>
      <c r="Q93" s="13">
        <f t="shared" si="11"/>
        <v>4254897</v>
      </c>
      <c r="R93" s="51">
        <f t="shared" si="9"/>
        <v>52122464</v>
      </c>
      <c r="S93" s="176">
        <f>BILLETAGE!Y94</f>
        <v>0</v>
      </c>
      <c r="T93" s="72"/>
    </row>
    <row r="94" spans="1:20" ht="15.95" customHeight="1" x14ac:dyDescent="0.25">
      <c r="A94" s="68">
        <v>91</v>
      </c>
      <c r="B94" s="69">
        <v>46149</v>
      </c>
      <c r="C94" s="70" t="s">
        <v>204</v>
      </c>
      <c r="D94" s="68">
        <v>5</v>
      </c>
      <c r="E94" s="71">
        <v>13</v>
      </c>
      <c r="F94" s="24">
        <f t="shared" si="10"/>
        <v>56377361</v>
      </c>
      <c r="G94" s="190">
        <v>0</v>
      </c>
      <c r="H94" s="190">
        <v>0</v>
      </c>
      <c r="I94" s="47">
        <f t="shared" si="6"/>
        <v>0</v>
      </c>
      <c r="J94" s="191">
        <v>0</v>
      </c>
      <c r="K94" s="192">
        <v>0</v>
      </c>
      <c r="L94" s="192">
        <v>0</v>
      </c>
      <c r="M94" s="48">
        <f t="shared" si="7"/>
        <v>56377361</v>
      </c>
      <c r="N94" s="193">
        <v>0</v>
      </c>
      <c r="O94" s="49"/>
      <c r="P94" s="50">
        <f t="shared" si="8"/>
        <v>56377361</v>
      </c>
      <c r="Q94" s="13">
        <f t="shared" si="11"/>
        <v>4254897</v>
      </c>
      <c r="R94" s="51">
        <f t="shared" si="9"/>
        <v>52122464</v>
      </c>
      <c r="S94" s="176">
        <f>BILLETAGE!Y95</f>
        <v>0</v>
      </c>
      <c r="T94" s="72"/>
    </row>
    <row r="95" spans="1:20" ht="15.95" customHeight="1" x14ac:dyDescent="0.25">
      <c r="A95" s="68">
        <v>92</v>
      </c>
      <c r="B95" s="69">
        <v>46150</v>
      </c>
      <c r="C95" s="70" t="s">
        <v>205</v>
      </c>
      <c r="D95" s="68">
        <v>5</v>
      </c>
      <c r="E95" s="71">
        <v>13</v>
      </c>
      <c r="F95" s="24">
        <f t="shared" si="10"/>
        <v>56377361</v>
      </c>
      <c r="G95" s="190">
        <v>0</v>
      </c>
      <c r="H95" s="190">
        <v>0</v>
      </c>
      <c r="I95" s="47">
        <f t="shared" si="6"/>
        <v>0</v>
      </c>
      <c r="J95" s="191">
        <v>0</v>
      </c>
      <c r="K95" s="192">
        <v>0</v>
      </c>
      <c r="L95" s="192">
        <v>0</v>
      </c>
      <c r="M95" s="48">
        <f t="shared" si="7"/>
        <v>56377361</v>
      </c>
      <c r="N95" s="193">
        <v>0</v>
      </c>
      <c r="O95" s="49"/>
      <c r="P95" s="50">
        <f t="shared" si="8"/>
        <v>56377361</v>
      </c>
      <c r="Q95" s="13">
        <f t="shared" si="11"/>
        <v>4254897</v>
      </c>
      <c r="R95" s="51">
        <f t="shared" si="9"/>
        <v>52122464</v>
      </c>
      <c r="S95" s="176">
        <f>BILLETAGE!Y96</f>
        <v>0</v>
      </c>
      <c r="T95" s="72"/>
    </row>
    <row r="96" spans="1:20" ht="15.95" customHeight="1" x14ac:dyDescent="0.25">
      <c r="A96" s="68">
        <v>93</v>
      </c>
      <c r="B96" s="69">
        <v>46153</v>
      </c>
      <c r="C96" s="70" t="s">
        <v>206</v>
      </c>
      <c r="D96" s="68">
        <v>5</v>
      </c>
      <c r="E96" s="71">
        <v>14</v>
      </c>
      <c r="F96" s="24">
        <f t="shared" si="10"/>
        <v>56377361</v>
      </c>
      <c r="G96" s="190">
        <v>0</v>
      </c>
      <c r="H96" s="190">
        <v>0</v>
      </c>
      <c r="I96" s="47">
        <f t="shared" si="6"/>
        <v>0</v>
      </c>
      <c r="J96" s="191">
        <v>0</v>
      </c>
      <c r="K96" s="192">
        <v>0</v>
      </c>
      <c r="L96" s="192">
        <v>0</v>
      </c>
      <c r="M96" s="48">
        <f t="shared" si="7"/>
        <v>56377361</v>
      </c>
      <c r="N96" s="193">
        <v>0</v>
      </c>
      <c r="O96" s="49"/>
      <c r="P96" s="50">
        <f t="shared" si="8"/>
        <v>56377361</v>
      </c>
      <c r="Q96" s="13">
        <f t="shared" si="11"/>
        <v>4254897</v>
      </c>
      <c r="R96" s="51">
        <f t="shared" si="9"/>
        <v>52122464</v>
      </c>
      <c r="S96" s="176">
        <f>BILLETAGE!Y97</f>
        <v>0</v>
      </c>
      <c r="T96" s="72"/>
    </row>
    <row r="97" spans="1:20" ht="15.95" customHeight="1" x14ac:dyDescent="0.25">
      <c r="A97" s="68">
        <v>94</v>
      </c>
      <c r="B97" s="69">
        <v>46154</v>
      </c>
      <c r="C97" s="70" t="s">
        <v>207</v>
      </c>
      <c r="D97" s="68">
        <v>5</v>
      </c>
      <c r="E97" s="71">
        <v>14</v>
      </c>
      <c r="F97" s="24">
        <f t="shared" si="10"/>
        <v>56377361</v>
      </c>
      <c r="G97" s="190">
        <v>0</v>
      </c>
      <c r="H97" s="190">
        <v>0</v>
      </c>
      <c r="I97" s="47">
        <f t="shared" si="6"/>
        <v>0</v>
      </c>
      <c r="J97" s="191">
        <v>0</v>
      </c>
      <c r="K97" s="192">
        <v>0</v>
      </c>
      <c r="L97" s="192">
        <v>0</v>
      </c>
      <c r="M97" s="48">
        <f t="shared" si="7"/>
        <v>56377361</v>
      </c>
      <c r="N97" s="193">
        <v>0</v>
      </c>
      <c r="O97" s="49"/>
      <c r="P97" s="50">
        <f t="shared" si="8"/>
        <v>56377361</v>
      </c>
      <c r="Q97" s="13">
        <f t="shared" si="11"/>
        <v>4254897</v>
      </c>
      <c r="R97" s="51">
        <f t="shared" si="9"/>
        <v>52122464</v>
      </c>
      <c r="S97" s="176">
        <f>BILLETAGE!Y98</f>
        <v>0</v>
      </c>
      <c r="T97" s="72"/>
    </row>
    <row r="98" spans="1:20" ht="15.95" customHeight="1" x14ac:dyDescent="0.25">
      <c r="A98" s="68">
        <v>95</v>
      </c>
      <c r="B98" s="69">
        <v>46155</v>
      </c>
      <c r="C98" s="70" t="s">
        <v>208</v>
      </c>
      <c r="D98" s="68">
        <v>5</v>
      </c>
      <c r="E98" s="71">
        <v>14</v>
      </c>
      <c r="F98" s="24">
        <f t="shared" si="10"/>
        <v>56377361</v>
      </c>
      <c r="G98" s="190">
        <v>0</v>
      </c>
      <c r="H98" s="190">
        <v>0</v>
      </c>
      <c r="I98" s="47">
        <f t="shared" si="6"/>
        <v>0</v>
      </c>
      <c r="J98" s="191">
        <v>0</v>
      </c>
      <c r="K98" s="192">
        <v>0</v>
      </c>
      <c r="L98" s="192">
        <v>0</v>
      </c>
      <c r="M98" s="48">
        <f t="shared" si="7"/>
        <v>56377361</v>
      </c>
      <c r="N98" s="193">
        <v>0</v>
      </c>
      <c r="O98" s="49"/>
      <c r="P98" s="50">
        <f t="shared" si="8"/>
        <v>56377361</v>
      </c>
      <c r="Q98" s="13">
        <f t="shared" si="11"/>
        <v>4254897</v>
      </c>
      <c r="R98" s="51">
        <f t="shared" si="9"/>
        <v>52122464</v>
      </c>
      <c r="S98" s="176">
        <f>BILLETAGE!Y99</f>
        <v>0</v>
      </c>
      <c r="T98" s="72"/>
    </row>
    <row r="99" spans="1:20" ht="15.95" customHeight="1" x14ac:dyDescent="0.25">
      <c r="A99" s="68">
        <v>96</v>
      </c>
      <c r="B99" s="69">
        <v>46156</v>
      </c>
      <c r="C99" s="70" t="s">
        <v>204</v>
      </c>
      <c r="D99" s="68">
        <v>5</v>
      </c>
      <c r="E99" s="71">
        <v>14</v>
      </c>
      <c r="F99" s="24">
        <f t="shared" si="10"/>
        <v>56377361</v>
      </c>
      <c r="G99" s="190">
        <v>0</v>
      </c>
      <c r="H99" s="190">
        <v>0</v>
      </c>
      <c r="I99" s="47">
        <f t="shared" si="6"/>
        <v>0</v>
      </c>
      <c r="J99" s="191">
        <v>0</v>
      </c>
      <c r="K99" s="192">
        <v>0</v>
      </c>
      <c r="L99" s="192">
        <v>0</v>
      </c>
      <c r="M99" s="48">
        <f t="shared" si="7"/>
        <v>56377361</v>
      </c>
      <c r="N99" s="193">
        <v>0</v>
      </c>
      <c r="O99" s="49"/>
      <c r="P99" s="50">
        <f t="shared" si="8"/>
        <v>56377361</v>
      </c>
      <c r="Q99" s="13">
        <f t="shared" si="11"/>
        <v>4254897</v>
      </c>
      <c r="R99" s="51">
        <f t="shared" si="9"/>
        <v>52122464</v>
      </c>
      <c r="S99" s="176">
        <f>BILLETAGE!Y100</f>
        <v>0</v>
      </c>
      <c r="T99" s="72"/>
    </row>
    <row r="100" spans="1:20" ht="15.95" customHeight="1" x14ac:dyDescent="0.25">
      <c r="A100" s="68">
        <v>97</v>
      </c>
      <c r="B100" s="69">
        <v>46157</v>
      </c>
      <c r="C100" s="70" t="s">
        <v>205</v>
      </c>
      <c r="D100" s="68">
        <v>5</v>
      </c>
      <c r="E100" s="71">
        <v>14</v>
      </c>
      <c r="F100" s="24">
        <f t="shared" si="10"/>
        <v>56377361</v>
      </c>
      <c r="G100" s="190">
        <v>0</v>
      </c>
      <c r="H100" s="190">
        <v>0</v>
      </c>
      <c r="I100" s="47">
        <f t="shared" si="6"/>
        <v>0</v>
      </c>
      <c r="J100" s="191">
        <v>0</v>
      </c>
      <c r="K100" s="192">
        <v>0</v>
      </c>
      <c r="L100" s="192">
        <v>0</v>
      </c>
      <c r="M100" s="48">
        <f t="shared" si="7"/>
        <v>56377361</v>
      </c>
      <c r="N100" s="193">
        <v>0</v>
      </c>
      <c r="O100" s="49"/>
      <c r="P100" s="50">
        <f t="shared" si="8"/>
        <v>56377361</v>
      </c>
      <c r="Q100" s="13">
        <f t="shared" si="11"/>
        <v>4254897</v>
      </c>
      <c r="R100" s="51">
        <f t="shared" si="9"/>
        <v>52122464</v>
      </c>
      <c r="S100" s="176">
        <f>BILLETAGE!Y101</f>
        <v>0</v>
      </c>
      <c r="T100" s="72"/>
    </row>
    <row r="101" spans="1:20" ht="15.95" customHeight="1" x14ac:dyDescent="0.25">
      <c r="A101" s="68">
        <v>98</v>
      </c>
      <c r="B101" s="69">
        <v>46160</v>
      </c>
      <c r="C101" s="70" t="s">
        <v>206</v>
      </c>
      <c r="D101" s="68">
        <v>5</v>
      </c>
      <c r="E101" s="71">
        <v>14</v>
      </c>
      <c r="F101" s="24">
        <f t="shared" si="10"/>
        <v>56377361</v>
      </c>
      <c r="G101" s="190">
        <v>0</v>
      </c>
      <c r="H101" s="190">
        <v>0</v>
      </c>
      <c r="I101" s="47">
        <f t="shared" si="6"/>
        <v>0</v>
      </c>
      <c r="J101" s="191">
        <v>0</v>
      </c>
      <c r="K101" s="192">
        <v>0</v>
      </c>
      <c r="L101" s="192">
        <v>0</v>
      </c>
      <c r="M101" s="48">
        <f t="shared" si="7"/>
        <v>56377361</v>
      </c>
      <c r="N101" s="193">
        <v>0</v>
      </c>
      <c r="O101" s="49"/>
      <c r="P101" s="50">
        <f t="shared" si="8"/>
        <v>56377361</v>
      </c>
      <c r="Q101" s="13">
        <f t="shared" si="11"/>
        <v>4254897</v>
      </c>
      <c r="R101" s="51">
        <f t="shared" si="9"/>
        <v>52122464</v>
      </c>
      <c r="S101" s="176">
        <f>BILLETAGE!Y102</f>
        <v>0</v>
      </c>
      <c r="T101" s="72"/>
    </row>
    <row r="102" spans="1:20" ht="15.95" customHeight="1" x14ac:dyDescent="0.25">
      <c r="A102" s="68">
        <v>99</v>
      </c>
      <c r="B102" s="69">
        <v>46161</v>
      </c>
      <c r="C102" s="70" t="s">
        <v>207</v>
      </c>
      <c r="D102" s="68">
        <v>5</v>
      </c>
      <c r="E102" s="71">
        <v>14</v>
      </c>
      <c r="F102" s="24">
        <f t="shared" si="10"/>
        <v>56377361</v>
      </c>
      <c r="G102" s="190">
        <v>0</v>
      </c>
      <c r="H102" s="190">
        <v>0</v>
      </c>
      <c r="I102" s="47">
        <f t="shared" si="6"/>
        <v>0</v>
      </c>
      <c r="J102" s="191">
        <v>0</v>
      </c>
      <c r="K102" s="192">
        <v>0</v>
      </c>
      <c r="L102" s="192">
        <v>0</v>
      </c>
      <c r="M102" s="48">
        <f t="shared" si="7"/>
        <v>56377361</v>
      </c>
      <c r="N102" s="193">
        <v>0</v>
      </c>
      <c r="O102" s="49"/>
      <c r="P102" s="50">
        <f t="shared" si="8"/>
        <v>56377361</v>
      </c>
      <c r="Q102" s="13">
        <f t="shared" si="11"/>
        <v>4254897</v>
      </c>
      <c r="R102" s="51">
        <f t="shared" si="9"/>
        <v>52122464</v>
      </c>
      <c r="S102" s="176">
        <f>BILLETAGE!Y103</f>
        <v>0</v>
      </c>
      <c r="T102" s="72"/>
    </row>
    <row r="103" spans="1:20" ht="15.95" customHeight="1" x14ac:dyDescent="0.25">
      <c r="A103" s="68">
        <v>100</v>
      </c>
      <c r="B103" s="69">
        <v>46162</v>
      </c>
      <c r="C103" s="70" t="s">
        <v>208</v>
      </c>
      <c r="D103" s="68">
        <v>5</v>
      </c>
      <c r="E103" s="71">
        <v>14</v>
      </c>
      <c r="F103" s="24">
        <f t="shared" si="10"/>
        <v>56377361</v>
      </c>
      <c r="G103" s="190">
        <v>0</v>
      </c>
      <c r="H103" s="190">
        <v>0</v>
      </c>
      <c r="I103" s="47">
        <f t="shared" si="6"/>
        <v>0</v>
      </c>
      <c r="J103" s="191">
        <v>0</v>
      </c>
      <c r="K103" s="192">
        <v>0</v>
      </c>
      <c r="L103" s="192">
        <v>0</v>
      </c>
      <c r="M103" s="48">
        <f t="shared" si="7"/>
        <v>56377361</v>
      </c>
      <c r="N103" s="193">
        <v>0</v>
      </c>
      <c r="O103" s="49"/>
      <c r="P103" s="50">
        <f t="shared" si="8"/>
        <v>56377361</v>
      </c>
      <c r="Q103" s="13">
        <f t="shared" si="11"/>
        <v>4254897</v>
      </c>
      <c r="R103" s="51">
        <f t="shared" si="9"/>
        <v>52122464</v>
      </c>
      <c r="S103" s="176">
        <f>BILLETAGE!Y104</f>
        <v>0</v>
      </c>
      <c r="T103" s="72"/>
    </row>
    <row r="104" spans="1:20" ht="15.95" customHeight="1" x14ac:dyDescent="0.25">
      <c r="A104" s="68">
        <v>101</v>
      </c>
      <c r="B104" s="69">
        <v>46163</v>
      </c>
      <c r="C104" s="70" t="s">
        <v>204</v>
      </c>
      <c r="D104" s="68">
        <v>5</v>
      </c>
      <c r="E104" s="71">
        <v>15</v>
      </c>
      <c r="F104" s="24">
        <f t="shared" si="10"/>
        <v>56377361</v>
      </c>
      <c r="G104" s="190">
        <v>0</v>
      </c>
      <c r="H104" s="190">
        <v>0</v>
      </c>
      <c r="I104" s="47">
        <f t="shared" si="6"/>
        <v>0</v>
      </c>
      <c r="J104" s="191">
        <v>0</v>
      </c>
      <c r="K104" s="192">
        <v>0</v>
      </c>
      <c r="L104" s="192">
        <v>0</v>
      </c>
      <c r="M104" s="48">
        <f t="shared" si="7"/>
        <v>56377361</v>
      </c>
      <c r="N104" s="193">
        <v>0</v>
      </c>
      <c r="O104" s="49"/>
      <c r="P104" s="50">
        <f t="shared" si="8"/>
        <v>56377361</v>
      </c>
      <c r="Q104" s="13">
        <f t="shared" si="11"/>
        <v>4254897</v>
      </c>
      <c r="R104" s="51">
        <f t="shared" si="9"/>
        <v>52122464</v>
      </c>
      <c r="S104" s="176">
        <f>BILLETAGE!Y105</f>
        <v>0</v>
      </c>
      <c r="T104" s="72"/>
    </row>
    <row r="105" spans="1:20" ht="15.95" customHeight="1" x14ac:dyDescent="0.25">
      <c r="A105" s="68">
        <v>102</v>
      </c>
      <c r="B105" s="69">
        <v>46164</v>
      </c>
      <c r="C105" s="70" t="s">
        <v>205</v>
      </c>
      <c r="D105" s="68">
        <v>5</v>
      </c>
      <c r="E105" s="71">
        <v>15</v>
      </c>
      <c r="F105" s="24">
        <f t="shared" si="10"/>
        <v>56377361</v>
      </c>
      <c r="G105" s="190">
        <v>0</v>
      </c>
      <c r="H105" s="190">
        <v>0</v>
      </c>
      <c r="I105" s="47">
        <f t="shared" si="6"/>
        <v>0</v>
      </c>
      <c r="J105" s="191">
        <v>0</v>
      </c>
      <c r="K105" s="192">
        <v>0</v>
      </c>
      <c r="L105" s="192">
        <v>0</v>
      </c>
      <c r="M105" s="48">
        <f t="shared" si="7"/>
        <v>56377361</v>
      </c>
      <c r="N105" s="193">
        <v>0</v>
      </c>
      <c r="O105" s="49"/>
      <c r="P105" s="50">
        <f t="shared" si="8"/>
        <v>56377361</v>
      </c>
      <c r="Q105" s="13">
        <f t="shared" si="11"/>
        <v>4254897</v>
      </c>
      <c r="R105" s="51">
        <f t="shared" si="9"/>
        <v>52122464</v>
      </c>
      <c r="S105" s="176">
        <f>BILLETAGE!Y106</f>
        <v>0</v>
      </c>
      <c r="T105" s="72"/>
    </row>
    <row r="106" spans="1:20" ht="15.95" customHeight="1" x14ac:dyDescent="0.25">
      <c r="A106" s="68">
        <v>103</v>
      </c>
      <c r="B106" s="69">
        <v>46167</v>
      </c>
      <c r="C106" s="70" t="s">
        <v>206</v>
      </c>
      <c r="D106" s="68">
        <v>5</v>
      </c>
      <c r="E106" s="71">
        <v>15</v>
      </c>
      <c r="F106" s="24">
        <f t="shared" si="10"/>
        <v>56377361</v>
      </c>
      <c r="G106" s="190"/>
      <c r="H106" s="190">
        <v>0</v>
      </c>
      <c r="I106" s="343">
        <f t="shared" si="6"/>
        <v>0</v>
      </c>
      <c r="J106" s="191">
        <v>0</v>
      </c>
      <c r="K106" s="192">
        <v>0</v>
      </c>
      <c r="L106" s="192">
        <v>0</v>
      </c>
      <c r="M106" s="48">
        <f t="shared" si="7"/>
        <v>56377361</v>
      </c>
      <c r="N106" s="193">
        <v>0</v>
      </c>
      <c r="O106" s="49"/>
      <c r="P106" s="50">
        <f t="shared" si="8"/>
        <v>56377361</v>
      </c>
      <c r="Q106" s="13">
        <f t="shared" si="11"/>
        <v>4254897</v>
      </c>
      <c r="R106" s="51">
        <f t="shared" si="9"/>
        <v>52122464</v>
      </c>
      <c r="S106" s="176">
        <f>BILLETAGE!Y107</f>
        <v>0</v>
      </c>
      <c r="T106" s="72"/>
    </row>
    <row r="107" spans="1:20" ht="15.95" customHeight="1" x14ac:dyDescent="0.25">
      <c r="A107" s="68">
        <v>104</v>
      </c>
      <c r="B107" s="69">
        <v>46168</v>
      </c>
      <c r="C107" s="70" t="s">
        <v>207</v>
      </c>
      <c r="D107" s="68">
        <v>5</v>
      </c>
      <c r="E107" s="71">
        <v>15</v>
      </c>
      <c r="F107" s="24">
        <f t="shared" si="10"/>
        <v>56377361</v>
      </c>
      <c r="G107" s="190">
        <v>1229450</v>
      </c>
      <c r="H107" s="190">
        <v>0</v>
      </c>
      <c r="I107" s="343">
        <f t="shared" si="6"/>
        <v>1229450</v>
      </c>
      <c r="J107" s="191">
        <v>624826</v>
      </c>
      <c r="K107" s="192">
        <v>0</v>
      </c>
      <c r="L107" s="192">
        <v>0</v>
      </c>
      <c r="M107" s="48">
        <f t="shared" si="7"/>
        <v>56981985</v>
      </c>
      <c r="N107" s="193">
        <v>0</v>
      </c>
      <c r="O107" s="49"/>
      <c r="P107" s="50">
        <f t="shared" si="8"/>
        <v>56981985</v>
      </c>
      <c r="Q107" s="13">
        <f t="shared" si="11"/>
        <v>4254897</v>
      </c>
      <c r="R107" s="51">
        <f t="shared" si="9"/>
        <v>52727088</v>
      </c>
      <c r="S107" s="176">
        <f>BILLETAGE!Y108</f>
        <v>5132</v>
      </c>
      <c r="T107" s="72"/>
    </row>
    <row r="108" spans="1:20" ht="15.95" customHeight="1" x14ac:dyDescent="0.25">
      <c r="A108" s="68">
        <v>105</v>
      </c>
      <c r="B108" s="69">
        <v>46169</v>
      </c>
      <c r="C108" s="70" t="s">
        <v>208</v>
      </c>
      <c r="D108" s="68">
        <v>5</v>
      </c>
      <c r="E108" s="71">
        <v>15</v>
      </c>
      <c r="F108" s="24">
        <f t="shared" si="10"/>
        <v>56981985</v>
      </c>
      <c r="G108" s="190">
        <v>0</v>
      </c>
      <c r="H108" s="190">
        <v>0</v>
      </c>
      <c r="I108" s="343">
        <f t="shared" si="6"/>
        <v>0</v>
      </c>
      <c r="J108" s="191">
        <v>0</v>
      </c>
      <c r="K108" s="192">
        <v>0</v>
      </c>
      <c r="L108" s="192">
        <v>0</v>
      </c>
      <c r="M108" s="48">
        <f t="shared" si="7"/>
        <v>56981985</v>
      </c>
      <c r="N108" s="193">
        <v>0</v>
      </c>
      <c r="O108" s="49"/>
      <c r="P108" s="50">
        <f t="shared" si="8"/>
        <v>56981985</v>
      </c>
      <c r="Q108" s="13">
        <f t="shared" si="11"/>
        <v>4254897</v>
      </c>
      <c r="R108" s="51">
        <f t="shared" si="9"/>
        <v>52727088</v>
      </c>
      <c r="S108" s="176">
        <f>BILLETAGE!Y109</f>
        <v>0</v>
      </c>
      <c r="T108" s="72"/>
    </row>
    <row r="109" spans="1:20" ht="15.95" customHeight="1" x14ac:dyDescent="0.25">
      <c r="A109" s="68">
        <v>106</v>
      </c>
      <c r="B109" s="69">
        <v>46170</v>
      </c>
      <c r="C109" s="70" t="s">
        <v>204</v>
      </c>
      <c r="D109" s="68">
        <v>5</v>
      </c>
      <c r="E109" s="71">
        <v>15</v>
      </c>
      <c r="F109" s="24">
        <f t="shared" si="10"/>
        <v>56981985</v>
      </c>
      <c r="G109" s="190">
        <v>175000</v>
      </c>
      <c r="H109" s="190">
        <v>0</v>
      </c>
      <c r="I109" s="343">
        <f t="shared" si="6"/>
        <v>175000</v>
      </c>
      <c r="J109" s="191">
        <v>672503</v>
      </c>
      <c r="K109" s="192">
        <v>0</v>
      </c>
      <c r="L109" s="192">
        <v>0</v>
      </c>
      <c r="M109" s="48">
        <f t="shared" si="7"/>
        <v>56484482</v>
      </c>
      <c r="N109" s="193">
        <v>0</v>
      </c>
      <c r="O109" s="49"/>
      <c r="P109" s="50">
        <f t="shared" si="8"/>
        <v>56484482</v>
      </c>
      <c r="Q109" s="13">
        <f t="shared" si="11"/>
        <v>4254897</v>
      </c>
      <c r="R109" s="51">
        <f t="shared" si="9"/>
        <v>52229585</v>
      </c>
      <c r="S109" s="176">
        <f>BILLETAGE!Y110</f>
        <v>0</v>
      </c>
      <c r="T109" s="72"/>
    </row>
    <row r="110" spans="1:20" ht="15.95" customHeight="1" x14ac:dyDescent="0.25">
      <c r="A110" s="68">
        <v>107</v>
      </c>
      <c r="B110" s="69">
        <v>46171</v>
      </c>
      <c r="C110" s="70" t="s">
        <v>205</v>
      </c>
      <c r="D110" s="68">
        <v>5</v>
      </c>
      <c r="E110" s="71">
        <v>15</v>
      </c>
      <c r="F110" s="24">
        <f t="shared" si="10"/>
        <v>56484482</v>
      </c>
      <c r="G110" s="190">
        <v>0</v>
      </c>
      <c r="H110" s="190">
        <v>0</v>
      </c>
      <c r="I110" s="343">
        <f t="shared" si="6"/>
        <v>0</v>
      </c>
      <c r="J110" s="191">
        <v>0</v>
      </c>
      <c r="K110" s="192">
        <v>0</v>
      </c>
      <c r="L110" s="192">
        <v>0</v>
      </c>
      <c r="M110" s="48">
        <f t="shared" si="7"/>
        <v>56484482</v>
      </c>
      <c r="N110" s="193">
        <v>0</v>
      </c>
      <c r="O110" s="49"/>
      <c r="P110" s="50">
        <f t="shared" si="8"/>
        <v>56484482</v>
      </c>
      <c r="Q110" s="13">
        <f t="shared" si="11"/>
        <v>4254897</v>
      </c>
      <c r="R110" s="51">
        <f t="shared" si="9"/>
        <v>52229585</v>
      </c>
      <c r="S110" s="176">
        <f>BILLETAGE!Y111</f>
        <v>-56484482</v>
      </c>
      <c r="T110" s="72"/>
    </row>
    <row r="111" spans="1:20" ht="15.95" customHeight="1" x14ac:dyDescent="0.25">
      <c r="A111" s="73">
        <v>108</v>
      </c>
      <c r="B111" s="74">
        <v>46174</v>
      </c>
      <c r="C111" s="75" t="s">
        <v>206</v>
      </c>
      <c r="D111" s="73">
        <v>6</v>
      </c>
      <c r="E111" s="76">
        <v>16</v>
      </c>
      <c r="F111" s="28">
        <f t="shared" si="10"/>
        <v>56484482</v>
      </c>
      <c r="G111" s="190">
        <v>0</v>
      </c>
      <c r="H111" s="190">
        <v>0</v>
      </c>
      <c r="I111" s="343">
        <f t="shared" si="6"/>
        <v>0</v>
      </c>
      <c r="J111" s="191">
        <v>0</v>
      </c>
      <c r="K111" s="192">
        <v>0</v>
      </c>
      <c r="L111" s="192">
        <v>0</v>
      </c>
      <c r="M111" s="48">
        <f t="shared" si="7"/>
        <v>56484482</v>
      </c>
      <c r="N111" s="193">
        <v>0</v>
      </c>
      <c r="O111" s="49"/>
      <c r="P111" s="50">
        <f t="shared" si="8"/>
        <v>56484482</v>
      </c>
      <c r="Q111" s="13">
        <f t="shared" si="11"/>
        <v>4254897</v>
      </c>
      <c r="R111" s="51">
        <f t="shared" si="9"/>
        <v>52229585</v>
      </c>
      <c r="S111" s="176">
        <f>BILLETAGE!Y112</f>
        <v>-56484482</v>
      </c>
      <c r="T111" s="77"/>
    </row>
    <row r="112" spans="1:20" ht="15.95" customHeight="1" x14ac:dyDescent="0.25">
      <c r="A112" s="73">
        <v>109</v>
      </c>
      <c r="B112" s="74">
        <v>46175</v>
      </c>
      <c r="C112" s="75" t="s">
        <v>207</v>
      </c>
      <c r="D112" s="73">
        <v>6</v>
      </c>
      <c r="E112" s="76">
        <v>16</v>
      </c>
      <c r="F112" s="28">
        <f t="shared" si="10"/>
        <v>56484482</v>
      </c>
      <c r="G112" s="190">
        <v>0</v>
      </c>
      <c r="H112" s="190">
        <v>0</v>
      </c>
      <c r="I112" s="343">
        <f t="shared" si="6"/>
        <v>0</v>
      </c>
      <c r="J112" s="191">
        <v>0</v>
      </c>
      <c r="K112" s="192">
        <v>0</v>
      </c>
      <c r="L112" s="192">
        <v>0</v>
      </c>
      <c r="M112" s="48">
        <f t="shared" si="7"/>
        <v>56484482</v>
      </c>
      <c r="N112" s="193">
        <v>0</v>
      </c>
      <c r="O112" s="49"/>
      <c r="P112" s="50">
        <f t="shared" si="8"/>
        <v>56484482</v>
      </c>
      <c r="Q112" s="13">
        <f t="shared" si="11"/>
        <v>4254897</v>
      </c>
      <c r="R112" s="51">
        <f t="shared" si="9"/>
        <v>52229585</v>
      </c>
      <c r="S112" s="176">
        <f>BILLETAGE!Y113</f>
        <v>-56484482</v>
      </c>
      <c r="T112" s="77"/>
    </row>
    <row r="113" spans="1:20" ht="15.95" customHeight="1" x14ac:dyDescent="0.25">
      <c r="A113" s="73">
        <v>110</v>
      </c>
      <c r="B113" s="74">
        <v>46176</v>
      </c>
      <c r="C113" s="75" t="s">
        <v>208</v>
      </c>
      <c r="D113" s="73">
        <v>6</v>
      </c>
      <c r="E113" s="76">
        <v>16</v>
      </c>
      <c r="F113" s="28">
        <f t="shared" si="10"/>
        <v>56484482</v>
      </c>
      <c r="G113" s="190">
        <v>0</v>
      </c>
      <c r="H113" s="190">
        <v>0</v>
      </c>
      <c r="I113" s="343">
        <f t="shared" si="6"/>
        <v>0</v>
      </c>
      <c r="J113" s="191">
        <v>0</v>
      </c>
      <c r="K113" s="192">
        <v>0</v>
      </c>
      <c r="L113" s="192">
        <v>0</v>
      </c>
      <c r="M113" s="48">
        <f t="shared" si="7"/>
        <v>56484482</v>
      </c>
      <c r="N113" s="193">
        <v>0</v>
      </c>
      <c r="O113" s="49"/>
      <c r="P113" s="50">
        <f t="shared" si="8"/>
        <v>56484482</v>
      </c>
      <c r="Q113" s="13">
        <f t="shared" si="11"/>
        <v>4254897</v>
      </c>
      <c r="R113" s="51">
        <f t="shared" si="9"/>
        <v>52229585</v>
      </c>
      <c r="S113" s="176">
        <f>BILLETAGE!Y114</f>
        <v>-56484482</v>
      </c>
      <c r="T113" s="77"/>
    </row>
    <row r="114" spans="1:20" ht="15.95" customHeight="1" x14ac:dyDescent="0.25">
      <c r="A114" s="73">
        <v>111</v>
      </c>
      <c r="B114" s="74">
        <v>46177</v>
      </c>
      <c r="C114" s="75" t="s">
        <v>204</v>
      </c>
      <c r="D114" s="73">
        <v>6</v>
      </c>
      <c r="E114" s="76">
        <v>16</v>
      </c>
      <c r="F114" s="28">
        <f t="shared" si="10"/>
        <v>56484482</v>
      </c>
      <c r="G114" s="190">
        <v>0</v>
      </c>
      <c r="H114" s="190">
        <v>0</v>
      </c>
      <c r="I114" s="343">
        <f t="shared" si="6"/>
        <v>0</v>
      </c>
      <c r="J114" s="191">
        <v>0</v>
      </c>
      <c r="K114" s="192">
        <v>0</v>
      </c>
      <c r="L114" s="192">
        <v>0</v>
      </c>
      <c r="M114" s="48">
        <f t="shared" si="7"/>
        <v>56484482</v>
      </c>
      <c r="N114" s="193">
        <v>0</v>
      </c>
      <c r="O114" s="49"/>
      <c r="P114" s="50">
        <f t="shared" si="8"/>
        <v>56484482</v>
      </c>
      <c r="Q114" s="13">
        <f t="shared" si="11"/>
        <v>4254897</v>
      </c>
      <c r="R114" s="51">
        <f t="shared" si="9"/>
        <v>52229585</v>
      </c>
      <c r="S114" s="176">
        <f>BILLETAGE!Y115</f>
        <v>-56484482</v>
      </c>
      <c r="T114" s="77"/>
    </row>
    <row r="115" spans="1:20" ht="15.95" customHeight="1" x14ac:dyDescent="0.25">
      <c r="A115" s="73">
        <v>112</v>
      </c>
      <c r="B115" s="74">
        <v>46178</v>
      </c>
      <c r="C115" s="75" t="s">
        <v>205</v>
      </c>
      <c r="D115" s="73">
        <v>6</v>
      </c>
      <c r="E115" s="76">
        <v>16</v>
      </c>
      <c r="F115" s="28">
        <f t="shared" si="10"/>
        <v>56484482</v>
      </c>
      <c r="G115" s="190">
        <v>0</v>
      </c>
      <c r="H115" s="190">
        <v>0</v>
      </c>
      <c r="I115" s="343">
        <f t="shared" si="6"/>
        <v>0</v>
      </c>
      <c r="J115" s="191">
        <v>0</v>
      </c>
      <c r="K115" s="192">
        <v>0</v>
      </c>
      <c r="L115" s="192">
        <v>0</v>
      </c>
      <c r="M115" s="48">
        <f t="shared" si="7"/>
        <v>56484482</v>
      </c>
      <c r="N115" s="193">
        <v>0</v>
      </c>
      <c r="O115" s="49"/>
      <c r="P115" s="50">
        <f t="shared" si="8"/>
        <v>56484482</v>
      </c>
      <c r="Q115" s="13">
        <f t="shared" si="11"/>
        <v>4254897</v>
      </c>
      <c r="R115" s="51">
        <f t="shared" si="9"/>
        <v>52229585</v>
      </c>
      <c r="S115" s="176">
        <f>BILLETAGE!Y116</f>
        <v>-56484482</v>
      </c>
      <c r="T115" s="77"/>
    </row>
    <row r="116" spans="1:20" ht="15.95" customHeight="1" x14ac:dyDescent="0.25">
      <c r="A116" s="73">
        <v>113</v>
      </c>
      <c r="B116" s="74">
        <v>46181</v>
      </c>
      <c r="C116" s="75" t="s">
        <v>206</v>
      </c>
      <c r="D116" s="73">
        <v>6</v>
      </c>
      <c r="E116" s="76">
        <v>16</v>
      </c>
      <c r="F116" s="28">
        <f t="shared" si="10"/>
        <v>56484482</v>
      </c>
      <c r="G116" s="190">
        <v>0</v>
      </c>
      <c r="H116" s="190">
        <v>0</v>
      </c>
      <c r="I116" s="343">
        <f t="shared" si="6"/>
        <v>0</v>
      </c>
      <c r="J116" s="191">
        <v>0</v>
      </c>
      <c r="K116" s="192">
        <v>0</v>
      </c>
      <c r="L116" s="192">
        <v>0</v>
      </c>
      <c r="M116" s="48">
        <f t="shared" si="7"/>
        <v>56484482</v>
      </c>
      <c r="N116" s="193">
        <v>0</v>
      </c>
      <c r="O116" s="49"/>
      <c r="P116" s="50">
        <f t="shared" si="8"/>
        <v>56484482</v>
      </c>
      <c r="Q116" s="13">
        <f t="shared" si="11"/>
        <v>4254897</v>
      </c>
      <c r="R116" s="51">
        <f t="shared" si="9"/>
        <v>52229585</v>
      </c>
      <c r="S116" s="176">
        <f>BILLETAGE!Y117</f>
        <v>-56484482</v>
      </c>
      <c r="T116" s="77"/>
    </row>
    <row r="117" spans="1:20" ht="15.95" customHeight="1" x14ac:dyDescent="0.25">
      <c r="A117" s="73">
        <v>114</v>
      </c>
      <c r="B117" s="74">
        <v>46182</v>
      </c>
      <c r="C117" s="75" t="s">
        <v>207</v>
      </c>
      <c r="D117" s="73">
        <v>6</v>
      </c>
      <c r="E117" s="76">
        <v>16</v>
      </c>
      <c r="F117" s="28">
        <f t="shared" si="10"/>
        <v>56484482</v>
      </c>
      <c r="G117" s="190">
        <v>0</v>
      </c>
      <c r="H117" s="190">
        <v>0</v>
      </c>
      <c r="I117" s="343">
        <f t="shared" si="6"/>
        <v>0</v>
      </c>
      <c r="J117" s="191">
        <v>0</v>
      </c>
      <c r="K117" s="192">
        <v>0</v>
      </c>
      <c r="L117" s="192">
        <v>0</v>
      </c>
      <c r="M117" s="48">
        <f t="shared" si="7"/>
        <v>56484482</v>
      </c>
      <c r="N117" s="193">
        <v>0</v>
      </c>
      <c r="O117" s="49"/>
      <c r="P117" s="50">
        <f t="shared" si="8"/>
        <v>56484482</v>
      </c>
      <c r="Q117" s="13">
        <f t="shared" si="11"/>
        <v>4254897</v>
      </c>
      <c r="R117" s="51">
        <f t="shared" si="9"/>
        <v>52229585</v>
      </c>
      <c r="S117" s="176">
        <f>BILLETAGE!Y118</f>
        <v>-56484482</v>
      </c>
      <c r="T117" s="77"/>
    </row>
    <row r="118" spans="1:20" ht="15.95" customHeight="1" x14ac:dyDescent="0.25">
      <c r="A118" s="73">
        <v>115</v>
      </c>
      <c r="B118" s="74">
        <v>46183</v>
      </c>
      <c r="C118" s="75" t="s">
        <v>208</v>
      </c>
      <c r="D118" s="73">
        <v>6</v>
      </c>
      <c r="E118" s="76">
        <v>16</v>
      </c>
      <c r="F118" s="28">
        <f t="shared" si="10"/>
        <v>56484482</v>
      </c>
      <c r="G118" s="190">
        <v>0</v>
      </c>
      <c r="H118" s="190">
        <v>0</v>
      </c>
      <c r="I118" s="343">
        <f t="shared" si="6"/>
        <v>0</v>
      </c>
      <c r="J118" s="191">
        <v>0</v>
      </c>
      <c r="K118" s="192">
        <v>0</v>
      </c>
      <c r="L118" s="192">
        <v>0</v>
      </c>
      <c r="M118" s="48">
        <f t="shared" si="7"/>
        <v>56484482</v>
      </c>
      <c r="N118" s="193">
        <v>0</v>
      </c>
      <c r="O118" s="49"/>
      <c r="P118" s="50">
        <f t="shared" si="8"/>
        <v>56484482</v>
      </c>
      <c r="Q118" s="13">
        <f t="shared" si="11"/>
        <v>4254897</v>
      </c>
      <c r="R118" s="51">
        <f t="shared" si="9"/>
        <v>52229585</v>
      </c>
      <c r="S118" s="176">
        <f>BILLETAGE!Y119</f>
        <v>-56484482</v>
      </c>
      <c r="T118" s="77"/>
    </row>
    <row r="119" spans="1:20" ht="15.95" customHeight="1" x14ac:dyDescent="0.25">
      <c r="A119" s="73">
        <v>116</v>
      </c>
      <c r="B119" s="74">
        <v>46184</v>
      </c>
      <c r="C119" s="75" t="s">
        <v>204</v>
      </c>
      <c r="D119" s="73">
        <v>6</v>
      </c>
      <c r="E119" s="76">
        <v>17</v>
      </c>
      <c r="F119" s="28">
        <f t="shared" si="10"/>
        <v>56484482</v>
      </c>
      <c r="G119" s="190">
        <v>0</v>
      </c>
      <c r="H119" s="190">
        <v>0</v>
      </c>
      <c r="I119" s="343">
        <f t="shared" si="6"/>
        <v>0</v>
      </c>
      <c r="J119" s="191">
        <v>0</v>
      </c>
      <c r="K119" s="192">
        <v>0</v>
      </c>
      <c r="L119" s="192">
        <v>0</v>
      </c>
      <c r="M119" s="48">
        <f t="shared" si="7"/>
        <v>56484482</v>
      </c>
      <c r="N119" s="193">
        <v>0</v>
      </c>
      <c r="O119" s="49"/>
      <c r="P119" s="50">
        <f t="shared" si="8"/>
        <v>56484482</v>
      </c>
      <c r="Q119" s="13">
        <f t="shared" si="11"/>
        <v>4254897</v>
      </c>
      <c r="R119" s="51">
        <f t="shared" si="9"/>
        <v>52229585</v>
      </c>
      <c r="S119" s="176">
        <f>BILLETAGE!Y120</f>
        <v>-56484482</v>
      </c>
      <c r="T119" s="77"/>
    </row>
    <row r="120" spans="1:20" ht="15.95" customHeight="1" x14ac:dyDescent="0.25">
      <c r="A120" s="73">
        <v>117</v>
      </c>
      <c r="B120" s="74">
        <v>46185</v>
      </c>
      <c r="C120" s="75" t="s">
        <v>205</v>
      </c>
      <c r="D120" s="73">
        <v>6</v>
      </c>
      <c r="E120" s="76">
        <v>17</v>
      </c>
      <c r="F120" s="28">
        <f t="shared" si="10"/>
        <v>56484482</v>
      </c>
      <c r="G120" s="190">
        <v>0</v>
      </c>
      <c r="H120" s="190">
        <v>0</v>
      </c>
      <c r="I120" s="343">
        <f t="shared" si="6"/>
        <v>0</v>
      </c>
      <c r="J120" s="191">
        <v>0</v>
      </c>
      <c r="K120" s="192">
        <v>0</v>
      </c>
      <c r="L120" s="192">
        <v>0</v>
      </c>
      <c r="M120" s="48">
        <f t="shared" si="7"/>
        <v>56484482</v>
      </c>
      <c r="N120" s="193">
        <v>0</v>
      </c>
      <c r="O120" s="49"/>
      <c r="P120" s="50">
        <f t="shared" si="8"/>
        <v>56484482</v>
      </c>
      <c r="Q120" s="13">
        <f t="shared" si="11"/>
        <v>4254897</v>
      </c>
      <c r="R120" s="51">
        <f t="shared" si="9"/>
        <v>52229585</v>
      </c>
      <c r="S120" s="176">
        <f>BILLETAGE!Y121</f>
        <v>-56484482</v>
      </c>
      <c r="T120" s="77"/>
    </row>
    <row r="121" spans="1:20" ht="15.95" customHeight="1" x14ac:dyDescent="0.25">
      <c r="A121" s="73">
        <v>118</v>
      </c>
      <c r="B121" s="74">
        <v>46188</v>
      </c>
      <c r="C121" s="75" t="s">
        <v>206</v>
      </c>
      <c r="D121" s="73">
        <v>6</v>
      </c>
      <c r="E121" s="76">
        <v>17</v>
      </c>
      <c r="F121" s="28">
        <f t="shared" si="10"/>
        <v>56484482</v>
      </c>
      <c r="G121" s="190">
        <v>0</v>
      </c>
      <c r="H121" s="190">
        <v>0</v>
      </c>
      <c r="I121" s="343">
        <f t="shared" si="6"/>
        <v>0</v>
      </c>
      <c r="J121" s="191">
        <v>0</v>
      </c>
      <c r="K121" s="192">
        <v>0</v>
      </c>
      <c r="L121" s="192">
        <v>0</v>
      </c>
      <c r="M121" s="48">
        <f t="shared" si="7"/>
        <v>56484482</v>
      </c>
      <c r="N121" s="193">
        <v>0</v>
      </c>
      <c r="O121" s="49"/>
      <c r="P121" s="50">
        <f t="shared" si="8"/>
        <v>56484482</v>
      </c>
      <c r="Q121" s="13">
        <f t="shared" si="11"/>
        <v>4254897</v>
      </c>
      <c r="R121" s="51">
        <f t="shared" si="9"/>
        <v>52229585</v>
      </c>
      <c r="S121" s="176">
        <f>BILLETAGE!Y122</f>
        <v>-56484482</v>
      </c>
      <c r="T121" s="77"/>
    </row>
    <row r="122" spans="1:20" ht="15.95" customHeight="1" x14ac:dyDescent="0.25">
      <c r="A122" s="73">
        <v>119</v>
      </c>
      <c r="B122" s="74">
        <v>46189</v>
      </c>
      <c r="C122" s="75" t="s">
        <v>207</v>
      </c>
      <c r="D122" s="73">
        <v>6</v>
      </c>
      <c r="E122" s="76">
        <v>17</v>
      </c>
      <c r="F122" s="28">
        <f t="shared" si="10"/>
        <v>56484482</v>
      </c>
      <c r="G122" s="190">
        <v>0</v>
      </c>
      <c r="H122" s="190">
        <v>0</v>
      </c>
      <c r="I122" s="343">
        <f t="shared" si="6"/>
        <v>0</v>
      </c>
      <c r="J122" s="191">
        <v>0</v>
      </c>
      <c r="K122" s="192">
        <v>0</v>
      </c>
      <c r="L122" s="192">
        <v>0</v>
      </c>
      <c r="M122" s="48">
        <f t="shared" si="7"/>
        <v>56484482</v>
      </c>
      <c r="N122" s="193">
        <v>0</v>
      </c>
      <c r="O122" s="49"/>
      <c r="P122" s="50">
        <f t="shared" si="8"/>
        <v>56484482</v>
      </c>
      <c r="Q122" s="13">
        <f t="shared" si="11"/>
        <v>4254897</v>
      </c>
      <c r="R122" s="51">
        <f t="shared" si="9"/>
        <v>52229585</v>
      </c>
      <c r="S122" s="176">
        <f>BILLETAGE!Y123</f>
        <v>-56484482</v>
      </c>
      <c r="T122" s="77"/>
    </row>
    <row r="123" spans="1:20" ht="15.95" customHeight="1" x14ac:dyDescent="0.25">
      <c r="A123" s="73">
        <v>120</v>
      </c>
      <c r="B123" s="74">
        <v>46190</v>
      </c>
      <c r="C123" s="75" t="s">
        <v>208</v>
      </c>
      <c r="D123" s="73">
        <v>6</v>
      </c>
      <c r="E123" s="76">
        <v>17</v>
      </c>
      <c r="F123" s="28">
        <f t="shared" si="10"/>
        <v>56484482</v>
      </c>
      <c r="G123" s="190">
        <v>0</v>
      </c>
      <c r="H123" s="190">
        <v>0</v>
      </c>
      <c r="I123" s="343">
        <f t="shared" si="6"/>
        <v>0</v>
      </c>
      <c r="J123" s="191">
        <v>0</v>
      </c>
      <c r="K123" s="192">
        <v>0</v>
      </c>
      <c r="L123" s="192">
        <v>0</v>
      </c>
      <c r="M123" s="48">
        <f t="shared" si="7"/>
        <v>56484482</v>
      </c>
      <c r="N123" s="193">
        <v>0</v>
      </c>
      <c r="O123" s="49"/>
      <c r="P123" s="50">
        <f t="shared" si="8"/>
        <v>56484482</v>
      </c>
      <c r="Q123" s="13">
        <f t="shared" si="11"/>
        <v>4254897</v>
      </c>
      <c r="R123" s="51">
        <f t="shared" si="9"/>
        <v>52229585</v>
      </c>
      <c r="S123" s="176">
        <f>BILLETAGE!Y124</f>
        <v>-56484482</v>
      </c>
      <c r="T123" s="77"/>
    </row>
    <row r="124" spans="1:20" ht="15.95" customHeight="1" x14ac:dyDescent="0.25">
      <c r="A124" s="73">
        <v>121</v>
      </c>
      <c r="B124" s="74">
        <v>46191</v>
      </c>
      <c r="C124" s="75" t="s">
        <v>204</v>
      </c>
      <c r="D124" s="73">
        <v>6</v>
      </c>
      <c r="E124" s="76">
        <v>17</v>
      </c>
      <c r="F124" s="28">
        <f t="shared" si="10"/>
        <v>56484482</v>
      </c>
      <c r="G124" s="190">
        <v>0</v>
      </c>
      <c r="H124" s="190">
        <v>0</v>
      </c>
      <c r="I124" s="343">
        <f t="shared" si="6"/>
        <v>0</v>
      </c>
      <c r="J124" s="191">
        <v>0</v>
      </c>
      <c r="K124" s="192">
        <v>0</v>
      </c>
      <c r="L124" s="192">
        <v>0</v>
      </c>
      <c r="M124" s="48">
        <f t="shared" si="7"/>
        <v>56484482</v>
      </c>
      <c r="N124" s="193">
        <v>0</v>
      </c>
      <c r="O124" s="49"/>
      <c r="P124" s="50">
        <f t="shared" si="8"/>
        <v>56484482</v>
      </c>
      <c r="Q124" s="13">
        <f t="shared" si="11"/>
        <v>4254897</v>
      </c>
      <c r="R124" s="51">
        <f t="shared" si="9"/>
        <v>52229585</v>
      </c>
      <c r="S124" s="176">
        <f>BILLETAGE!Y125</f>
        <v>-56484482</v>
      </c>
      <c r="T124" s="77"/>
    </row>
    <row r="125" spans="1:20" ht="15.95" customHeight="1" x14ac:dyDescent="0.25">
      <c r="A125" s="73">
        <v>122</v>
      </c>
      <c r="B125" s="74">
        <v>46192</v>
      </c>
      <c r="C125" s="75" t="s">
        <v>205</v>
      </c>
      <c r="D125" s="73">
        <v>6</v>
      </c>
      <c r="E125" s="76">
        <v>17</v>
      </c>
      <c r="F125" s="28">
        <f t="shared" si="10"/>
        <v>56484482</v>
      </c>
      <c r="G125" s="190">
        <v>0</v>
      </c>
      <c r="H125" s="190">
        <v>0</v>
      </c>
      <c r="I125" s="343">
        <f t="shared" si="6"/>
        <v>0</v>
      </c>
      <c r="J125" s="191">
        <v>0</v>
      </c>
      <c r="K125" s="192">
        <v>0</v>
      </c>
      <c r="L125" s="192">
        <v>0</v>
      </c>
      <c r="M125" s="48">
        <f t="shared" si="7"/>
        <v>56484482</v>
      </c>
      <c r="N125" s="193">
        <v>0</v>
      </c>
      <c r="O125" s="49"/>
      <c r="P125" s="50">
        <f t="shared" si="8"/>
        <v>56484482</v>
      </c>
      <c r="Q125" s="13">
        <f t="shared" si="11"/>
        <v>4254897</v>
      </c>
      <c r="R125" s="51">
        <f t="shared" si="9"/>
        <v>52229585</v>
      </c>
      <c r="S125" s="176">
        <f>BILLETAGE!Y126</f>
        <v>-56484482</v>
      </c>
      <c r="T125" s="77"/>
    </row>
    <row r="126" spans="1:20" ht="15.95" customHeight="1" x14ac:dyDescent="0.25">
      <c r="A126" s="73">
        <v>123</v>
      </c>
      <c r="B126" s="74">
        <v>46195</v>
      </c>
      <c r="C126" s="75" t="s">
        <v>206</v>
      </c>
      <c r="D126" s="73">
        <v>6</v>
      </c>
      <c r="E126" s="76">
        <v>18</v>
      </c>
      <c r="F126" s="28">
        <f t="shared" si="10"/>
        <v>56484482</v>
      </c>
      <c r="G126" s="190">
        <v>0</v>
      </c>
      <c r="H126" s="190">
        <v>0</v>
      </c>
      <c r="I126" s="343">
        <f t="shared" si="6"/>
        <v>0</v>
      </c>
      <c r="J126" s="191">
        <v>0</v>
      </c>
      <c r="K126" s="192">
        <v>0</v>
      </c>
      <c r="L126" s="192">
        <v>0</v>
      </c>
      <c r="M126" s="48">
        <f t="shared" si="7"/>
        <v>56484482</v>
      </c>
      <c r="N126" s="193">
        <v>0</v>
      </c>
      <c r="O126" s="49"/>
      <c r="P126" s="50">
        <f t="shared" si="8"/>
        <v>56484482</v>
      </c>
      <c r="Q126" s="13">
        <f t="shared" si="11"/>
        <v>4254897</v>
      </c>
      <c r="R126" s="51">
        <f t="shared" si="9"/>
        <v>52229585</v>
      </c>
      <c r="S126" s="176">
        <f>BILLETAGE!Y127</f>
        <v>-56484482</v>
      </c>
      <c r="T126" s="77"/>
    </row>
    <row r="127" spans="1:20" ht="15.95" customHeight="1" x14ac:dyDescent="0.25">
      <c r="A127" s="73">
        <v>124</v>
      </c>
      <c r="B127" s="74">
        <v>46196</v>
      </c>
      <c r="C127" s="75" t="s">
        <v>207</v>
      </c>
      <c r="D127" s="73">
        <v>6</v>
      </c>
      <c r="E127" s="76">
        <v>18</v>
      </c>
      <c r="F127" s="28">
        <f t="shared" si="10"/>
        <v>56484482</v>
      </c>
      <c r="G127" s="190">
        <v>0</v>
      </c>
      <c r="H127" s="190">
        <v>0</v>
      </c>
      <c r="I127" s="343">
        <f t="shared" si="6"/>
        <v>0</v>
      </c>
      <c r="J127" s="191">
        <v>0</v>
      </c>
      <c r="K127" s="192">
        <v>0</v>
      </c>
      <c r="L127" s="192">
        <v>0</v>
      </c>
      <c r="M127" s="48">
        <f t="shared" si="7"/>
        <v>56484482</v>
      </c>
      <c r="N127" s="193">
        <v>0</v>
      </c>
      <c r="O127" s="49"/>
      <c r="P127" s="50">
        <f t="shared" si="8"/>
        <v>56484482</v>
      </c>
      <c r="Q127" s="13">
        <f t="shared" si="11"/>
        <v>4254897</v>
      </c>
      <c r="R127" s="51">
        <f t="shared" si="9"/>
        <v>52229585</v>
      </c>
      <c r="S127" s="176">
        <f>BILLETAGE!Y128</f>
        <v>-56484482</v>
      </c>
      <c r="T127" s="77"/>
    </row>
    <row r="128" spans="1:20" ht="15.95" customHeight="1" x14ac:dyDescent="0.25">
      <c r="A128" s="73">
        <v>125</v>
      </c>
      <c r="B128" s="74">
        <v>46197</v>
      </c>
      <c r="C128" s="75" t="s">
        <v>208</v>
      </c>
      <c r="D128" s="73">
        <v>6</v>
      </c>
      <c r="E128" s="76">
        <v>18</v>
      </c>
      <c r="F128" s="28">
        <f t="shared" si="10"/>
        <v>56484482</v>
      </c>
      <c r="G128" s="190">
        <v>0</v>
      </c>
      <c r="H128" s="190">
        <v>0</v>
      </c>
      <c r="I128" s="343">
        <f t="shared" si="6"/>
        <v>0</v>
      </c>
      <c r="J128" s="191">
        <v>0</v>
      </c>
      <c r="K128" s="192">
        <v>0</v>
      </c>
      <c r="L128" s="192">
        <v>0</v>
      </c>
      <c r="M128" s="48">
        <f t="shared" si="7"/>
        <v>56484482</v>
      </c>
      <c r="N128" s="193">
        <v>0</v>
      </c>
      <c r="O128" s="49"/>
      <c r="P128" s="50">
        <f t="shared" si="8"/>
        <v>56484482</v>
      </c>
      <c r="Q128" s="13">
        <f t="shared" si="11"/>
        <v>4254897</v>
      </c>
      <c r="R128" s="51">
        <f t="shared" si="9"/>
        <v>52229585</v>
      </c>
      <c r="S128" s="176">
        <f>BILLETAGE!Y129</f>
        <v>-56484482</v>
      </c>
      <c r="T128" s="77"/>
    </row>
    <row r="129" spans="1:20" ht="15.95" customHeight="1" x14ac:dyDescent="0.25">
      <c r="A129" s="73">
        <v>126</v>
      </c>
      <c r="B129" s="74">
        <v>46198</v>
      </c>
      <c r="C129" s="75" t="s">
        <v>204</v>
      </c>
      <c r="D129" s="73">
        <v>6</v>
      </c>
      <c r="E129" s="76">
        <v>18</v>
      </c>
      <c r="F129" s="28">
        <f t="shared" si="10"/>
        <v>56484482</v>
      </c>
      <c r="G129" s="190">
        <v>0</v>
      </c>
      <c r="H129" s="190">
        <v>0</v>
      </c>
      <c r="I129" s="343">
        <f t="shared" si="6"/>
        <v>0</v>
      </c>
      <c r="J129" s="191">
        <v>0</v>
      </c>
      <c r="K129" s="192">
        <v>0</v>
      </c>
      <c r="L129" s="192">
        <v>0</v>
      </c>
      <c r="M129" s="48">
        <f t="shared" si="7"/>
        <v>56484482</v>
      </c>
      <c r="N129" s="193">
        <v>0</v>
      </c>
      <c r="O129" s="49"/>
      <c r="P129" s="50">
        <f t="shared" si="8"/>
        <v>56484482</v>
      </c>
      <c r="Q129" s="13">
        <f t="shared" si="11"/>
        <v>4254897</v>
      </c>
      <c r="R129" s="51">
        <f t="shared" si="9"/>
        <v>52229585</v>
      </c>
      <c r="S129" s="176">
        <f>BILLETAGE!Y130</f>
        <v>-56484482</v>
      </c>
      <c r="T129" s="77"/>
    </row>
    <row r="130" spans="1:20" ht="15.95" customHeight="1" x14ac:dyDescent="0.25">
      <c r="A130" s="73">
        <v>127</v>
      </c>
      <c r="B130" s="74">
        <v>46199</v>
      </c>
      <c r="C130" s="75" t="s">
        <v>205</v>
      </c>
      <c r="D130" s="73">
        <v>6</v>
      </c>
      <c r="E130" s="76">
        <v>18</v>
      </c>
      <c r="F130" s="28">
        <f t="shared" si="10"/>
        <v>56484482</v>
      </c>
      <c r="G130" s="190">
        <v>0</v>
      </c>
      <c r="H130" s="190">
        <v>0</v>
      </c>
      <c r="I130" s="343">
        <f t="shared" si="6"/>
        <v>0</v>
      </c>
      <c r="J130" s="191">
        <v>0</v>
      </c>
      <c r="K130" s="192">
        <v>0</v>
      </c>
      <c r="L130" s="192">
        <v>0</v>
      </c>
      <c r="M130" s="48">
        <f t="shared" si="7"/>
        <v>56484482</v>
      </c>
      <c r="N130" s="193">
        <v>0</v>
      </c>
      <c r="O130" s="49"/>
      <c r="P130" s="50">
        <f t="shared" si="8"/>
        <v>56484482</v>
      </c>
      <c r="Q130" s="13">
        <f t="shared" si="11"/>
        <v>4254897</v>
      </c>
      <c r="R130" s="51">
        <f t="shared" si="9"/>
        <v>52229585</v>
      </c>
      <c r="S130" s="176">
        <f>BILLETAGE!Y131</f>
        <v>-56484482</v>
      </c>
      <c r="T130" s="77"/>
    </row>
    <row r="131" spans="1:20" ht="15.95" customHeight="1" x14ac:dyDescent="0.25">
      <c r="A131" s="73">
        <v>128</v>
      </c>
      <c r="B131" s="74">
        <v>46202</v>
      </c>
      <c r="C131" s="75" t="s">
        <v>206</v>
      </c>
      <c r="D131" s="73">
        <v>6</v>
      </c>
      <c r="E131" s="76">
        <v>18</v>
      </c>
      <c r="F131" s="28">
        <f t="shared" si="10"/>
        <v>56484482</v>
      </c>
      <c r="G131" s="190">
        <v>0</v>
      </c>
      <c r="H131" s="190">
        <v>0</v>
      </c>
      <c r="I131" s="343">
        <f t="shared" si="6"/>
        <v>0</v>
      </c>
      <c r="J131" s="191">
        <v>0</v>
      </c>
      <c r="K131" s="192">
        <v>0</v>
      </c>
      <c r="L131" s="192">
        <v>0</v>
      </c>
      <c r="M131" s="48">
        <f t="shared" si="7"/>
        <v>56484482</v>
      </c>
      <c r="N131" s="193">
        <v>0</v>
      </c>
      <c r="O131" s="49"/>
      <c r="P131" s="50">
        <f t="shared" si="8"/>
        <v>56484482</v>
      </c>
      <c r="Q131" s="13">
        <f t="shared" si="11"/>
        <v>4254897</v>
      </c>
      <c r="R131" s="51">
        <f t="shared" si="9"/>
        <v>52229585</v>
      </c>
      <c r="S131" s="176">
        <f>BILLETAGE!Y132</f>
        <v>-56484482</v>
      </c>
      <c r="T131" s="77"/>
    </row>
    <row r="132" spans="1:20" ht="15.95" customHeight="1" x14ac:dyDescent="0.25">
      <c r="A132" s="73">
        <v>129</v>
      </c>
      <c r="B132" s="74">
        <v>46203</v>
      </c>
      <c r="C132" s="75" t="s">
        <v>207</v>
      </c>
      <c r="D132" s="73">
        <v>6</v>
      </c>
      <c r="E132" s="76">
        <v>18</v>
      </c>
      <c r="F132" s="28">
        <f t="shared" si="10"/>
        <v>56484482</v>
      </c>
      <c r="G132" s="190">
        <v>0</v>
      </c>
      <c r="H132" s="190">
        <v>0</v>
      </c>
      <c r="I132" s="343">
        <f t="shared" ref="I132:I195" si="12">G132+H132</f>
        <v>0</v>
      </c>
      <c r="J132" s="191">
        <v>0</v>
      </c>
      <c r="K132" s="192">
        <v>0</v>
      </c>
      <c r="L132" s="192">
        <v>0</v>
      </c>
      <c r="M132" s="48">
        <f t="shared" ref="M132:M195" si="13">F132+I132-J132</f>
        <v>56484482</v>
      </c>
      <c r="N132" s="193">
        <v>0</v>
      </c>
      <c r="O132" s="49"/>
      <c r="P132" s="50">
        <f t="shared" ref="P132:P195" si="14">M132+N132</f>
        <v>56484482</v>
      </c>
      <c r="Q132" s="13">
        <f t="shared" si="11"/>
        <v>4254897</v>
      </c>
      <c r="R132" s="51">
        <f t="shared" ref="R132:R195" si="15">P132-Q132</f>
        <v>52229585</v>
      </c>
      <c r="S132" s="176">
        <f>BILLETAGE!Y133</f>
        <v>-56484482</v>
      </c>
      <c r="T132" s="77"/>
    </row>
    <row r="133" spans="1:20" ht="15.95" customHeight="1" x14ac:dyDescent="0.25">
      <c r="A133" s="53">
        <v>130</v>
      </c>
      <c r="B133" s="54">
        <v>46204</v>
      </c>
      <c r="C133" s="55" t="s">
        <v>208</v>
      </c>
      <c r="D133" s="53">
        <v>7</v>
      </c>
      <c r="E133" s="56">
        <v>19</v>
      </c>
      <c r="F133" s="12">
        <f t="shared" ref="F133:F196" si="16">P132</f>
        <v>56484482</v>
      </c>
      <c r="G133" s="190">
        <v>0</v>
      </c>
      <c r="H133" s="190">
        <v>0</v>
      </c>
      <c r="I133" s="343">
        <f t="shared" si="12"/>
        <v>0</v>
      </c>
      <c r="J133" s="191">
        <v>0</v>
      </c>
      <c r="K133" s="192">
        <v>0</v>
      </c>
      <c r="L133" s="192">
        <v>0</v>
      </c>
      <c r="M133" s="48">
        <f t="shared" si="13"/>
        <v>56484482</v>
      </c>
      <c r="N133" s="193">
        <v>0</v>
      </c>
      <c r="O133" s="49"/>
      <c r="P133" s="50">
        <f t="shared" si="14"/>
        <v>56484482</v>
      </c>
      <c r="Q133" s="13">
        <f t="shared" ref="Q133:Q196" si="17">Q132+K133-L133</f>
        <v>4254897</v>
      </c>
      <c r="R133" s="51">
        <f t="shared" si="15"/>
        <v>52229585</v>
      </c>
      <c r="S133" s="176">
        <f>BILLETAGE!Y134</f>
        <v>-56484482</v>
      </c>
      <c r="T133" s="57"/>
    </row>
    <row r="134" spans="1:20" ht="15.95" customHeight="1" x14ac:dyDescent="0.25">
      <c r="A134" s="53">
        <v>131</v>
      </c>
      <c r="B134" s="54">
        <v>46205</v>
      </c>
      <c r="C134" s="55" t="s">
        <v>204</v>
      </c>
      <c r="D134" s="53">
        <v>7</v>
      </c>
      <c r="E134" s="56">
        <v>19</v>
      </c>
      <c r="F134" s="12">
        <f t="shared" si="16"/>
        <v>56484482</v>
      </c>
      <c r="G134" s="190">
        <v>0</v>
      </c>
      <c r="H134" s="190">
        <v>0</v>
      </c>
      <c r="I134" s="343">
        <f t="shared" si="12"/>
        <v>0</v>
      </c>
      <c r="J134" s="191">
        <v>0</v>
      </c>
      <c r="K134" s="192">
        <v>0</v>
      </c>
      <c r="L134" s="192">
        <v>0</v>
      </c>
      <c r="M134" s="48">
        <f t="shared" si="13"/>
        <v>56484482</v>
      </c>
      <c r="N134" s="193">
        <v>0</v>
      </c>
      <c r="O134" s="49"/>
      <c r="P134" s="50">
        <f t="shared" si="14"/>
        <v>56484482</v>
      </c>
      <c r="Q134" s="13">
        <f t="shared" si="17"/>
        <v>4254897</v>
      </c>
      <c r="R134" s="51">
        <f t="shared" si="15"/>
        <v>52229585</v>
      </c>
      <c r="S134" s="176">
        <f>BILLETAGE!Y135</f>
        <v>-56484482</v>
      </c>
      <c r="T134" s="57"/>
    </row>
    <row r="135" spans="1:20" ht="15.95" customHeight="1" x14ac:dyDescent="0.25">
      <c r="A135" s="53">
        <v>132</v>
      </c>
      <c r="B135" s="54">
        <v>46206</v>
      </c>
      <c r="C135" s="55" t="s">
        <v>205</v>
      </c>
      <c r="D135" s="53">
        <v>7</v>
      </c>
      <c r="E135" s="56">
        <v>19</v>
      </c>
      <c r="F135" s="12">
        <f t="shared" si="16"/>
        <v>56484482</v>
      </c>
      <c r="G135" s="190">
        <v>0</v>
      </c>
      <c r="H135" s="190">
        <v>0</v>
      </c>
      <c r="I135" s="343">
        <f t="shared" si="12"/>
        <v>0</v>
      </c>
      <c r="J135" s="191">
        <v>0</v>
      </c>
      <c r="K135" s="192">
        <v>0</v>
      </c>
      <c r="L135" s="192">
        <v>0</v>
      </c>
      <c r="M135" s="48">
        <f t="shared" si="13"/>
        <v>56484482</v>
      </c>
      <c r="N135" s="193">
        <v>0</v>
      </c>
      <c r="O135" s="49"/>
      <c r="P135" s="50">
        <f t="shared" si="14"/>
        <v>56484482</v>
      </c>
      <c r="Q135" s="13">
        <f t="shared" si="17"/>
        <v>4254897</v>
      </c>
      <c r="R135" s="51">
        <f t="shared" si="15"/>
        <v>52229585</v>
      </c>
      <c r="S135" s="176">
        <f>BILLETAGE!Y136</f>
        <v>-56484482</v>
      </c>
      <c r="T135" s="57"/>
    </row>
    <row r="136" spans="1:20" ht="15.95" customHeight="1" x14ac:dyDescent="0.25">
      <c r="A136" s="53">
        <v>133</v>
      </c>
      <c r="B136" s="54">
        <v>46209</v>
      </c>
      <c r="C136" s="55" t="s">
        <v>206</v>
      </c>
      <c r="D136" s="53">
        <v>7</v>
      </c>
      <c r="E136" s="56">
        <v>19</v>
      </c>
      <c r="F136" s="12">
        <f t="shared" si="16"/>
        <v>56484482</v>
      </c>
      <c r="G136" s="190">
        <v>0</v>
      </c>
      <c r="H136" s="190">
        <v>0</v>
      </c>
      <c r="I136" s="343">
        <f t="shared" si="12"/>
        <v>0</v>
      </c>
      <c r="J136" s="191">
        <v>0</v>
      </c>
      <c r="K136" s="192">
        <v>0</v>
      </c>
      <c r="L136" s="192">
        <v>0</v>
      </c>
      <c r="M136" s="48">
        <f t="shared" si="13"/>
        <v>56484482</v>
      </c>
      <c r="N136" s="193">
        <v>0</v>
      </c>
      <c r="O136" s="49"/>
      <c r="P136" s="50">
        <f t="shared" si="14"/>
        <v>56484482</v>
      </c>
      <c r="Q136" s="13">
        <f t="shared" si="17"/>
        <v>4254897</v>
      </c>
      <c r="R136" s="51">
        <f t="shared" si="15"/>
        <v>52229585</v>
      </c>
      <c r="S136" s="176">
        <f>BILLETAGE!Y137</f>
        <v>-56484482</v>
      </c>
      <c r="T136" s="57"/>
    </row>
    <row r="137" spans="1:20" ht="15.95" customHeight="1" x14ac:dyDescent="0.25">
      <c r="A137" s="53">
        <v>134</v>
      </c>
      <c r="B137" s="54">
        <v>46210</v>
      </c>
      <c r="C137" s="55" t="s">
        <v>207</v>
      </c>
      <c r="D137" s="53">
        <v>7</v>
      </c>
      <c r="E137" s="56">
        <v>19</v>
      </c>
      <c r="F137" s="12">
        <f t="shared" si="16"/>
        <v>56484482</v>
      </c>
      <c r="G137" s="190">
        <v>0</v>
      </c>
      <c r="H137" s="190">
        <v>0</v>
      </c>
      <c r="I137" s="343">
        <f t="shared" si="12"/>
        <v>0</v>
      </c>
      <c r="J137" s="191">
        <v>0</v>
      </c>
      <c r="K137" s="192">
        <v>0</v>
      </c>
      <c r="L137" s="192">
        <v>0</v>
      </c>
      <c r="M137" s="48">
        <f t="shared" si="13"/>
        <v>56484482</v>
      </c>
      <c r="N137" s="193">
        <v>0</v>
      </c>
      <c r="O137" s="49"/>
      <c r="P137" s="50">
        <f t="shared" si="14"/>
        <v>56484482</v>
      </c>
      <c r="Q137" s="13">
        <f t="shared" si="17"/>
        <v>4254897</v>
      </c>
      <c r="R137" s="51">
        <f t="shared" si="15"/>
        <v>52229585</v>
      </c>
      <c r="S137" s="176">
        <f>BILLETAGE!Y138</f>
        <v>-56484482</v>
      </c>
      <c r="T137" s="57"/>
    </row>
    <row r="138" spans="1:20" ht="15.95" customHeight="1" x14ac:dyDescent="0.25">
      <c r="A138" s="53">
        <v>135</v>
      </c>
      <c r="B138" s="54">
        <v>46211</v>
      </c>
      <c r="C138" s="55" t="s">
        <v>208</v>
      </c>
      <c r="D138" s="53">
        <v>7</v>
      </c>
      <c r="E138" s="56">
        <v>19</v>
      </c>
      <c r="F138" s="12">
        <f t="shared" si="16"/>
        <v>56484482</v>
      </c>
      <c r="G138" s="190">
        <v>0</v>
      </c>
      <c r="H138" s="190">
        <v>0</v>
      </c>
      <c r="I138" s="343">
        <f t="shared" si="12"/>
        <v>0</v>
      </c>
      <c r="J138" s="191">
        <v>0</v>
      </c>
      <c r="K138" s="192">
        <v>0</v>
      </c>
      <c r="L138" s="192">
        <v>0</v>
      </c>
      <c r="M138" s="48">
        <f t="shared" si="13"/>
        <v>56484482</v>
      </c>
      <c r="N138" s="193">
        <v>0</v>
      </c>
      <c r="O138" s="49"/>
      <c r="P138" s="50">
        <f t="shared" si="14"/>
        <v>56484482</v>
      </c>
      <c r="Q138" s="13">
        <f t="shared" si="17"/>
        <v>4254897</v>
      </c>
      <c r="R138" s="51">
        <f t="shared" si="15"/>
        <v>52229585</v>
      </c>
      <c r="S138" s="176">
        <f>BILLETAGE!Y139</f>
        <v>-56484482</v>
      </c>
      <c r="T138" s="57"/>
    </row>
    <row r="139" spans="1:20" ht="15.95" customHeight="1" x14ac:dyDescent="0.25">
      <c r="A139" s="53">
        <v>136</v>
      </c>
      <c r="B139" s="54">
        <v>46212</v>
      </c>
      <c r="C139" s="55" t="s">
        <v>204</v>
      </c>
      <c r="D139" s="53">
        <v>7</v>
      </c>
      <c r="E139" s="56">
        <v>19</v>
      </c>
      <c r="F139" s="12">
        <f t="shared" si="16"/>
        <v>56484482</v>
      </c>
      <c r="G139" s="190">
        <v>0</v>
      </c>
      <c r="H139" s="190">
        <v>0</v>
      </c>
      <c r="I139" s="343">
        <f t="shared" si="12"/>
        <v>0</v>
      </c>
      <c r="J139" s="191">
        <v>0</v>
      </c>
      <c r="K139" s="192">
        <v>0</v>
      </c>
      <c r="L139" s="192">
        <v>0</v>
      </c>
      <c r="M139" s="48">
        <f t="shared" si="13"/>
        <v>56484482</v>
      </c>
      <c r="N139" s="193">
        <v>0</v>
      </c>
      <c r="O139" s="49"/>
      <c r="P139" s="50">
        <f t="shared" si="14"/>
        <v>56484482</v>
      </c>
      <c r="Q139" s="13">
        <f t="shared" si="17"/>
        <v>4254897</v>
      </c>
      <c r="R139" s="51">
        <f t="shared" si="15"/>
        <v>52229585</v>
      </c>
      <c r="S139" s="176">
        <f>BILLETAGE!Y140</f>
        <v>-56484482</v>
      </c>
      <c r="T139" s="57"/>
    </row>
    <row r="140" spans="1:20" ht="15.95" customHeight="1" x14ac:dyDescent="0.25">
      <c r="A140" s="53">
        <v>137</v>
      </c>
      <c r="B140" s="54">
        <v>46213</v>
      </c>
      <c r="C140" s="55" t="s">
        <v>205</v>
      </c>
      <c r="D140" s="53">
        <v>7</v>
      </c>
      <c r="E140" s="56">
        <v>19</v>
      </c>
      <c r="F140" s="12">
        <f t="shared" si="16"/>
        <v>56484482</v>
      </c>
      <c r="G140" s="190">
        <v>0</v>
      </c>
      <c r="H140" s="190">
        <v>0</v>
      </c>
      <c r="I140" s="343">
        <f t="shared" si="12"/>
        <v>0</v>
      </c>
      <c r="J140" s="191">
        <v>0</v>
      </c>
      <c r="K140" s="192">
        <v>0</v>
      </c>
      <c r="L140" s="192">
        <v>0</v>
      </c>
      <c r="M140" s="48">
        <f t="shared" si="13"/>
        <v>56484482</v>
      </c>
      <c r="N140" s="193">
        <v>0</v>
      </c>
      <c r="O140" s="49"/>
      <c r="P140" s="50">
        <f t="shared" si="14"/>
        <v>56484482</v>
      </c>
      <c r="Q140" s="13">
        <f t="shared" si="17"/>
        <v>4254897</v>
      </c>
      <c r="R140" s="51">
        <f t="shared" si="15"/>
        <v>52229585</v>
      </c>
      <c r="S140" s="176">
        <f>BILLETAGE!Y141</f>
        <v>-56484482</v>
      </c>
      <c r="T140" s="57"/>
    </row>
    <row r="141" spans="1:20" ht="15.95" customHeight="1" x14ac:dyDescent="0.25">
      <c r="A141" s="53">
        <v>138</v>
      </c>
      <c r="B141" s="54">
        <v>46216</v>
      </c>
      <c r="C141" s="55" t="s">
        <v>206</v>
      </c>
      <c r="D141" s="53">
        <v>7</v>
      </c>
      <c r="E141" s="56">
        <v>20</v>
      </c>
      <c r="F141" s="12">
        <f t="shared" si="16"/>
        <v>56484482</v>
      </c>
      <c r="G141" s="190">
        <v>0</v>
      </c>
      <c r="H141" s="190">
        <v>0</v>
      </c>
      <c r="I141" s="343">
        <f t="shared" si="12"/>
        <v>0</v>
      </c>
      <c r="J141" s="191">
        <v>0</v>
      </c>
      <c r="K141" s="192">
        <v>0</v>
      </c>
      <c r="L141" s="192">
        <v>0</v>
      </c>
      <c r="M141" s="48">
        <f t="shared" si="13"/>
        <v>56484482</v>
      </c>
      <c r="N141" s="193">
        <v>0</v>
      </c>
      <c r="O141" s="49"/>
      <c r="P141" s="50">
        <f t="shared" si="14"/>
        <v>56484482</v>
      </c>
      <c r="Q141" s="13">
        <f t="shared" si="17"/>
        <v>4254897</v>
      </c>
      <c r="R141" s="51">
        <f t="shared" si="15"/>
        <v>52229585</v>
      </c>
      <c r="S141" s="176">
        <f>BILLETAGE!Y142</f>
        <v>-56484482</v>
      </c>
      <c r="T141" s="57"/>
    </row>
    <row r="142" spans="1:20" ht="15.95" customHeight="1" x14ac:dyDescent="0.25">
      <c r="A142" s="53">
        <v>139</v>
      </c>
      <c r="B142" s="54">
        <v>46217</v>
      </c>
      <c r="C142" s="55" t="s">
        <v>207</v>
      </c>
      <c r="D142" s="53">
        <v>7</v>
      </c>
      <c r="E142" s="56">
        <v>20</v>
      </c>
      <c r="F142" s="12">
        <f t="shared" si="16"/>
        <v>56484482</v>
      </c>
      <c r="G142" s="190">
        <v>0</v>
      </c>
      <c r="H142" s="190">
        <v>0</v>
      </c>
      <c r="I142" s="343">
        <f t="shared" si="12"/>
        <v>0</v>
      </c>
      <c r="J142" s="191">
        <v>0</v>
      </c>
      <c r="K142" s="192">
        <v>0</v>
      </c>
      <c r="L142" s="192">
        <v>0</v>
      </c>
      <c r="M142" s="48">
        <f t="shared" si="13"/>
        <v>56484482</v>
      </c>
      <c r="N142" s="193">
        <v>0</v>
      </c>
      <c r="O142" s="49"/>
      <c r="P142" s="50">
        <f t="shared" si="14"/>
        <v>56484482</v>
      </c>
      <c r="Q142" s="13">
        <f t="shared" si="17"/>
        <v>4254897</v>
      </c>
      <c r="R142" s="51">
        <f t="shared" si="15"/>
        <v>52229585</v>
      </c>
      <c r="S142" s="176">
        <f>BILLETAGE!Y143</f>
        <v>-56484482</v>
      </c>
      <c r="T142" s="57"/>
    </row>
    <row r="143" spans="1:20" ht="15.95" customHeight="1" x14ac:dyDescent="0.25">
      <c r="A143" s="53">
        <v>140</v>
      </c>
      <c r="B143" s="54">
        <v>46218</v>
      </c>
      <c r="C143" s="55" t="s">
        <v>208</v>
      </c>
      <c r="D143" s="53">
        <v>7</v>
      </c>
      <c r="E143" s="56">
        <v>20</v>
      </c>
      <c r="F143" s="12">
        <f t="shared" si="16"/>
        <v>56484482</v>
      </c>
      <c r="G143" s="190">
        <v>0</v>
      </c>
      <c r="H143" s="190">
        <v>0</v>
      </c>
      <c r="I143" s="343">
        <f t="shared" si="12"/>
        <v>0</v>
      </c>
      <c r="J143" s="191">
        <v>0</v>
      </c>
      <c r="K143" s="192">
        <v>0</v>
      </c>
      <c r="L143" s="192">
        <v>0</v>
      </c>
      <c r="M143" s="48">
        <f t="shared" si="13"/>
        <v>56484482</v>
      </c>
      <c r="N143" s="193">
        <v>0</v>
      </c>
      <c r="O143" s="49"/>
      <c r="P143" s="50">
        <f t="shared" si="14"/>
        <v>56484482</v>
      </c>
      <c r="Q143" s="13">
        <f t="shared" si="17"/>
        <v>4254897</v>
      </c>
      <c r="R143" s="51">
        <f t="shared" si="15"/>
        <v>52229585</v>
      </c>
      <c r="S143" s="176">
        <f>BILLETAGE!Y144</f>
        <v>-56484482</v>
      </c>
      <c r="T143" s="57"/>
    </row>
    <row r="144" spans="1:20" ht="15.95" customHeight="1" x14ac:dyDescent="0.25">
      <c r="A144" s="53">
        <v>141</v>
      </c>
      <c r="B144" s="54">
        <v>46219</v>
      </c>
      <c r="C144" s="55" t="s">
        <v>204</v>
      </c>
      <c r="D144" s="53">
        <v>7</v>
      </c>
      <c r="E144" s="56">
        <v>20</v>
      </c>
      <c r="F144" s="12">
        <f t="shared" si="16"/>
        <v>56484482</v>
      </c>
      <c r="G144" s="190">
        <v>0</v>
      </c>
      <c r="H144" s="190">
        <v>0</v>
      </c>
      <c r="I144" s="343">
        <f t="shared" si="12"/>
        <v>0</v>
      </c>
      <c r="J144" s="191">
        <v>0</v>
      </c>
      <c r="K144" s="192">
        <v>0</v>
      </c>
      <c r="L144" s="192">
        <v>0</v>
      </c>
      <c r="M144" s="48">
        <f t="shared" si="13"/>
        <v>56484482</v>
      </c>
      <c r="N144" s="193">
        <v>0</v>
      </c>
      <c r="O144" s="49"/>
      <c r="P144" s="50">
        <f t="shared" si="14"/>
        <v>56484482</v>
      </c>
      <c r="Q144" s="13">
        <f t="shared" si="17"/>
        <v>4254897</v>
      </c>
      <c r="R144" s="51">
        <f t="shared" si="15"/>
        <v>52229585</v>
      </c>
      <c r="S144" s="176">
        <f>BILLETAGE!Y145</f>
        <v>-56484482</v>
      </c>
      <c r="T144" s="57"/>
    </row>
    <row r="145" spans="1:20" ht="15.95" customHeight="1" x14ac:dyDescent="0.25">
      <c r="A145" s="53">
        <v>142</v>
      </c>
      <c r="B145" s="54">
        <v>46220</v>
      </c>
      <c r="C145" s="55" t="s">
        <v>205</v>
      </c>
      <c r="D145" s="53">
        <v>7</v>
      </c>
      <c r="E145" s="56">
        <v>20</v>
      </c>
      <c r="F145" s="12">
        <f t="shared" si="16"/>
        <v>56484482</v>
      </c>
      <c r="G145" s="190">
        <v>0</v>
      </c>
      <c r="H145" s="190">
        <v>0</v>
      </c>
      <c r="I145" s="343">
        <f t="shared" si="12"/>
        <v>0</v>
      </c>
      <c r="J145" s="191">
        <v>0</v>
      </c>
      <c r="K145" s="192">
        <v>0</v>
      </c>
      <c r="L145" s="192">
        <v>0</v>
      </c>
      <c r="M145" s="48">
        <f t="shared" si="13"/>
        <v>56484482</v>
      </c>
      <c r="N145" s="193">
        <v>0</v>
      </c>
      <c r="O145" s="49"/>
      <c r="P145" s="50">
        <f t="shared" si="14"/>
        <v>56484482</v>
      </c>
      <c r="Q145" s="13">
        <f t="shared" si="17"/>
        <v>4254897</v>
      </c>
      <c r="R145" s="51">
        <f t="shared" si="15"/>
        <v>52229585</v>
      </c>
      <c r="S145" s="176">
        <f>BILLETAGE!Y146</f>
        <v>-56484482</v>
      </c>
      <c r="T145" s="57"/>
    </row>
    <row r="146" spans="1:20" ht="15.95" customHeight="1" x14ac:dyDescent="0.25">
      <c r="A146" s="53">
        <v>143</v>
      </c>
      <c r="B146" s="54">
        <v>46223</v>
      </c>
      <c r="C146" s="55" t="s">
        <v>206</v>
      </c>
      <c r="D146" s="53">
        <v>7</v>
      </c>
      <c r="E146" s="56">
        <v>20</v>
      </c>
      <c r="F146" s="12">
        <f t="shared" si="16"/>
        <v>56484482</v>
      </c>
      <c r="G146" s="190">
        <v>0</v>
      </c>
      <c r="H146" s="190">
        <v>0</v>
      </c>
      <c r="I146" s="343">
        <f t="shared" si="12"/>
        <v>0</v>
      </c>
      <c r="J146" s="191">
        <v>0</v>
      </c>
      <c r="K146" s="192">
        <v>0</v>
      </c>
      <c r="L146" s="192">
        <v>0</v>
      </c>
      <c r="M146" s="48">
        <f t="shared" si="13"/>
        <v>56484482</v>
      </c>
      <c r="N146" s="193">
        <v>0</v>
      </c>
      <c r="O146" s="49"/>
      <c r="P146" s="50">
        <f t="shared" si="14"/>
        <v>56484482</v>
      </c>
      <c r="Q146" s="13">
        <f t="shared" si="17"/>
        <v>4254897</v>
      </c>
      <c r="R146" s="51">
        <f t="shared" si="15"/>
        <v>52229585</v>
      </c>
      <c r="S146" s="176">
        <f>BILLETAGE!Y147</f>
        <v>-56484482</v>
      </c>
      <c r="T146" s="57"/>
    </row>
    <row r="147" spans="1:20" ht="15.95" customHeight="1" x14ac:dyDescent="0.25">
      <c r="A147" s="53">
        <v>144</v>
      </c>
      <c r="B147" s="54">
        <v>46224</v>
      </c>
      <c r="C147" s="55" t="s">
        <v>207</v>
      </c>
      <c r="D147" s="53">
        <v>7</v>
      </c>
      <c r="E147" s="56">
        <v>21</v>
      </c>
      <c r="F147" s="12">
        <f t="shared" si="16"/>
        <v>56484482</v>
      </c>
      <c r="G147" s="190">
        <v>0</v>
      </c>
      <c r="H147" s="190">
        <v>0</v>
      </c>
      <c r="I147" s="343">
        <f t="shared" si="12"/>
        <v>0</v>
      </c>
      <c r="J147" s="191">
        <v>0</v>
      </c>
      <c r="K147" s="192">
        <v>0</v>
      </c>
      <c r="L147" s="192">
        <v>0</v>
      </c>
      <c r="M147" s="48">
        <f t="shared" si="13"/>
        <v>56484482</v>
      </c>
      <c r="N147" s="193">
        <v>0</v>
      </c>
      <c r="O147" s="49"/>
      <c r="P147" s="50">
        <f t="shared" si="14"/>
        <v>56484482</v>
      </c>
      <c r="Q147" s="13">
        <f t="shared" si="17"/>
        <v>4254897</v>
      </c>
      <c r="R147" s="51">
        <f t="shared" si="15"/>
        <v>52229585</v>
      </c>
      <c r="S147" s="176">
        <f>BILLETAGE!Y148</f>
        <v>-56484482</v>
      </c>
      <c r="T147" s="57"/>
    </row>
    <row r="148" spans="1:20" ht="15.95" customHeight="1" x14ac:dyDescent="0.25">
      <c r="A148" s="53">
        <v>145</v>
      </c>
      <c r="B148" s="54">
        <v>46225</v>
      </c>
      <c r="C148" s="55" t="s">
        <v>208</v>
      </c>
      <c r="D148" s="53">
        <v>7</v>
      </c>
      <c r="E148" s="56">
        <v>21</v>
      </c>
      <c r="F148" s="12">
        <f t="shared" si="16"/>
        <v>56484482</v>
      </c>
      <c r="G148" s="190">
        <v>0</v>
      </c>
      <c r="H148" s="190">
        <v>0</v>
      </c>
      <c r="I148" s="343">
        <f t="shared" si="12"/>
        <v>0</v>
      </c>
      <c r="J148" s="191">
        <v>0</v>
      </c>
      <c r="K148" s="192">
        <v>0</v>
      </c>
      <c r="L148" s="192">
        <v>0</v>
      </c>
      <c r="M148" s="48">
        <f t="shared" si="13"/>
        <v>56484482</v>
      </c>
      <c r="N148" s="193">
        <v>0</v>
      </c>
      <c r="O148" s="49"/>
      <c r="P148" s="50">
        <f t="shared" si="14"/>
        <v>56484482</v>
      </c>
      <c r="Q148" s="13">
        <f t="shared" si="17"/>
        <v>4254897</v>
      </c>
      <c r="R148" s="51">
        <f t="shared" si="15"/>
        <v>52229585</v>
      </c>
      <c r="S148" s="176">
        <f>BILLETAGE!Y149</f>
        <v>-56484482</v>
      </c>
      <c r="T148" s="57"/>
    </row>
    <row r="149" spans="1:20" ht="15.95" customHeight="1" x14ac:dyDescent="0.25">
      <c r="A149" s="53">
        <v>146</v>
      </c>
      <c r="B149" s="54">
        <v>46226</v>
      </c>
      <c r="C149" s="55" t="s">
        <v>204</v>
      </c>
      <c r="D149" s="53">
        <v>7</v>
      </c>
      <c r="E149" s="56">
        <v>21</v>
      </c>
      <c r="F149" s="12">
        <f t="shared" si="16"/>
        <v>56484482</v>
      </c>
      <c r="G149" s="190">
        <v>0</v>
      </c>
      <c r="H149" s="190">
        <v>0</v>
      </c>
      <c r="I149" s="343">
        <f t="shared" si="12"/>
        <v>0</v>
      </c>
      <c r="J149" s="191">
        <v>0</v>
      </c>
      <c r="K149" s="192">
        <v>0</v>
      </c>
      <c r="L149" s="192">
        <v>0</v>
      </c>
      <c r="M149" s="48">
        <f t="shared" si="13"/>
        <v>56484482</v>
      </c>
      <c r="N149" s="193">
        <v>0</v>
      </c>
      <c r="O149" s="49"/>
      <c r="P149" s="50">
        <f t="shared" si="14"/>
        <v>56484482</v>
      </c>
      <c r="Q149" s="13">
        <f t="shared" si="17"/>
        <v>4254897</v>
      </c>
      <c r="R149" s="51">
        <f t="shared" si="15"/>
        <v>52229585</v>
      </c>
      <c r="S149" s="176">
        <f>BILLETAGE!Y150</f>
        <v>-56484482</v>
      </c>
      <c r="T149" s="57"/>
    </row>
    <row r="150" spans="1:20" ht="15.95" customHeight="1" x14ac:dyDescent="0.25">
      <c r="A150" s="53">
        <v>147</v>
      </c>
      <c r="B150" s="54">
        <v>46227</v>
      </c>
      <c r="C150" s="55" t="s">
        <v>205</v>
      </c>
      <c r="D150" s="53">
        <v>7</v>
      </c>
      <c r="E150" s="56">
        <v>21</v>
      </c>
      <c r="F150" s="12">
        <f t="shared" si="16"/>
        <v>56484482</v>
      </c>
      <c r="G150" s="190">
        <v>0</v>
      </c>
      <c r="H150" s="190">
        <v>0</v>
      </c>
      <c r="I150" s="343">
        <f t="shared" si="12"/>
        <v>0</v>
      </c>
      <c r="J150" s="191">
        <v>0</v>
      </c>
      <c r="K150" s="192">
        <v>0</v>
      </c>
      <c r="L150" s="192">
        <v>0</v>
      </c>
      <c r="M150" s="48">
        <f t="shared" si="13"/>
        <v>56484482</v>
      </c>
      <c r="N150" s="193">
        <v>0</v>
      </c>
      <c r="O150" s="49"/>
      <c r="P150" s="50">
        <f t="shared" si="14"/>
        <v>56484482</v>
      </c>
      <c r="Q150" s="13">
        <f t="shared" si="17"/>
        <v>4254897</v>
      </c>
      <c r="R150" s="51">
        <f t="shared" si="15"/>
        <v>52229585</v>
      </c>
      <c r="S150" s="176">
        <f>BILLETAGE!Y151</f>
        <v>-56484482</v>
      </c>
      <c r="T150" s="57"/>
    </row>
    <row r="151" spans="1:20" ht="15.95" customHeight="1" x14ac:dyDescent="0.25">
      <c r="A151" s="53">
        <v>148</v>
      </c>
      <c r="B151" s="54">
        <v>46230</v>
      </c>
      <c r="C151" s="55" t="s">
        <v>206</v>
      </c>
      <c r="D151" s="53">
        <v>7</v>
      </c>
      <c r="E151" s="56">
        <v>21</v>
      </c>
      <c r="F151" s="12">
        <f t="shared" si="16"/>
        <v>56484482</v>
      </c>
      <c r="G151" s="190">
        <v>0</v>
      </c>
      <c r="H151" s="190">
        <v>0</v>
      </c>
      <c r="I151" s="343">
        <f t="shared" si="12"/>
        <v>0</v>
      </c>
      <c r="J151" s="191">
        <v>0</v>
      </c>
      <c r="K151" s="192">
        <v>0</v>
      </c>
      <c r="L151" s="192">
        <v>0</v>
      </c>
      <c r="M151" s="48">
        <f t="shared" si="13"/>
        <v>56484482</v>
      </c>
      <c r="N151" s="193">
        <v>0</v>
      </c>
      <c r="O151" s="49"/>
      <c r="P151" s="50">
        <f t="shared" si="14"/>
        <v>56484482</v>
      </c>
      <c r="Q151" s="13">
        <f t="shared" si="17"/>
        <v>4254897</v>
      </c>
      <c r="R151" s="51">
        <f t="shared" si="15"/>
        <v>52229585</v>
      </c>
      <c r="S151" s="176">
        <f>BILLETAGE!Y152</f>
        <v>-56484482</v>
      </c>
      <c r="T151" s="57"/>
    </row>
    <row r="152" spans="1:20" ht="15.95" customHeight="1" x14ac:dyDescent="0.25">
      <c r="A152" s="53">
        <v>149</v>
      </c>
      <c r="B152" s="54">
        <v>46231</v>
      </c>
      <c r="C152" s="55" t="s">
        <v>207</v>
      </c>
      <c r="D152" s="53">
        <v>7</v>
      </c>
      <c r="E152" s="56">
        <v>21</v>
      </c>
      <c r="F152" s="12">
        <f t="shared" si="16"/>
        <v>56484482</v>
      </c>
      <c r="G152" s="190">
        <v>0</v>
      </c>
      <c r="H152" s="190">
        <v>0</v>
      </c>
      <c r="I152" s="343">
        <f t="shared" si="12"/>
        <v>0</v>
      </c>
      <c r="J152" s="191">
        <v>0</v>
      </c>
      <c r="K152" s="192">
        <v>0</v>
      </c>
      <c r="L152" s="192">
        <v>0</v>
      </c>
      <c r="M152" s="48">
        <f t="shared" si="13"/>
        <v>56484482</v>
      </c>
      <c r="N152" s="193">
        <v>0</v>
      </c>
      <c r="O152" s="49"/>
      <c r="P152" s="50">
        <f t="shared" si="14"/>
        <v>56484482</v>
      </c>
      <c r="Q152" s="13">
        <f t="shared" si="17"/>
        <v>4254897</v>
      </c>
      <c r="R152" s="51">
        <f t="shared" si="15"/>
        <v>52229585</v>
      </c>
      <c r="S152" s="176">
        <f>BILLETAGE!Y153</f>
        <v>-56484482</v>
      </c>
      <c r="T152" s="57"/>
    </row>
    <row r="153" spans="1:20" ht="15.95" customHeight="1" x14ac:dyDescent="0.25">
      <c r="A153" s="53">
        <v>150</v>
      </c>
      <c r="B153" s="54">
        <v>46232</v>
      </c>
      <c r="C153" s="55" t="s">
        <v>208</v>
      </c>
      <c r="D153" s="53">
        <v>7</v>
      </c>
      <c r="E153" s="56">
        <v>21</v>
      </c>
      <c r="F153" s="12">
        <f t="shared" si="16"/>
        <v>56484482</v>
      </c>
      <c r="G153" s="190">
        <v>0</v>
      </c>
      <c r="H153" s="190">
        <v>0</v>
      </c>
      <c r="I153" s="343">
        <f t="shared" si="12"/>
        <v>0</v>
      </c>
      <c r="J153" s="191">
        <v>0</v>
      </c>
      <c r="K153" s="192">
        <v>0</v>
      </c>
      <c r="L153" s="192">
        <v>0</v>
      </c>
      <c r="M153" s="48">
        <f t="shared" si="13"/>
        <v>56484482</v>
      </c>
      <c r="N153" s="193">
        <v>0</v>
      </c>
      <c r="O153" s="49"/>
      <c r="P153" s="50">
        <f t="shared" si="14"/>
        <v>56484482</v>
      </c>
      <c r="Q153" s="13">
        <f t="shared" si="17"/>
        <v>4254897</v>
      </c>
      <c r="R153" s="51">
        <f t="shared" si="15"/>
        <v>52229585</v>
      </c>
      <c r="S153" s="176">
        <f>BILLETAGE!Y154</f>
        <v>-56484482</v>
      </c>
      <c r="T153" s="57"/>
    </row>
    <row r="154" spans="1:20" ht="15.95" customHeight="1" x14ac:dyDescent="0.25">
      <c r="A154" s="53">
        <v>151</v>
      </c>
      <c r="B154" s="54">
        <v>46233</v>
      </c>
      <c r="C154" s="55" t="s">
        <v>204</v>
      </c>
      <c r="D154" s="53">
        <v>7</v>
      </c>
      <c r="E154" s="56">
        <v>21</v>
      </c>
      <c r="F154" s="12">
        <f t="shared" si="16"/>
        <v>56484482</v>
      </c>
      <c r="G154" s="190">
        <v>0</v>
      </c>
      <c r="H154" s="190">
        <v>0</v>
      </c>
      <c r="I154" s="343">
        <f t="shared" si="12"/>
        <v>0</v>
      </c>
      <c r="J154" s="191">
        <v>0</v>
      </c>
      <c r="K154" s="192">
        <v>0</v>
      </c>
      <c r="L154" s="192">
        <v>0</v>
      </c>
      <c r="M154" s="48">
        <f t="shared" si="13"/>
        <v>56484482</v>
      </c>
      <c r="N154" s="193">
        <v>0</v>
      </c>
      <c r="O154" s="49"/>
      <c r="P154" s="50">
        <f t="shared" si="14"/>
        <v>56484482</v>
      </c>
      <c r="Q154" s="13">
        <f t="shared" si="17"/>
        <v>4254897</v>
      </c>
      <c r="R154" s="51">
        <f t="shared" si="15"/>
        <v>52229585</v>
      </c>
      <c r="S154" s="176">
        <f>BILLETAGE!Y155</f>
        <v>-56484482</v>
      </c>
      <c r="T154" s="57"/>
    </row>
    <row r="155" spans="1:20" ht="15.95" customHeight="1" x14ac:dyDescent="0.25">
      <c r="A155" s="53">
        <v>152</v>
      </c>
      <c r="B155" s="54">
        <v>46234</v>
      </c>
      <c r="C155" s="55" t="s">
        <v>205</v>
      </c>
      <c r="D155" s="53">
        <v>7</v>
      </c>
      <c r="E155" s="56">
        <v>21</v>
      </c>
      <c r="F155" s="12">
        <f t="shared" si="16"/>
        <v>56484482</v>
      </c>
      <c r="G155" s="190">
        <v>0</v>
      </c>
      <c r="H155" s="190">
        <v>0</v>
      </c>
      <c r="I155" s="343">
        <f t="shared" si="12"/>
        <v>0</v>
      </c>
      <c r="J155" s="191">
        <v>0</v>
      </c>
      <c r="K155" s="192">
        <v>0</v>
      </c>
      <c r="L155" s="192">
        <v>0</v>
      </c>
      <c r="M155" s="48">
        <f t="shared" si="13"/>
        <v>56484482</v>
      </c>
      <c r="N155" s="193">
        <v>0</v>
      </c>
      <c r="O155" s="49"/>
      <c r="P155" s="50">
        <f t="shared" si="14"/>
        <v>56484482</v>
      </c>
      <c r="Q155" s="13">
        <f t="shared" si="17"/>
        <v>4254897</v>
      </c>
      <c r="R155" s="51">
        <f t="shared" si="15"/>
        <v>52229585</v>
      </c>
      <c r="S155" s="176">
        <f>BILLETAGE!Y156</f>
        <v>-56484482</v>
      </c>
      <c r="T155" s="57"/>
    </row>
    <row r="156" spans="1:20" ht="15.95" customHeight="1" x14ac:dyDescent="0.25">
      <c r="A156" s="58">
        <v>153</v>
      </c>
      <c r="B156" s="59">
        <v>46237</v>
      </c>
      <c r="C156" s="60" t="s">
        <v>206</v>
      </c>
      <c r="D156" s="58">
        <v>8</v>
      </c>
      <c r="E156" s="61">
        <v>22</v>
      </c>
      <c r="F156" s="16">
        <f t="shared" si="16"/>
        <v>56484482</v>
      </c>
      <c r="G156" s="190">
        <v>0</v>
      </c>
      <c r="H156" s="190">
        <v>0</v>
      </c>
      <c r="I156" s="343">
        <f t="shared" si="12"/>
        <v>0</v>
      </c>
      <c r="J156" s="191">
        <v>0</v>
      </c>
      <c r="K156" s="192">
        <v>0</v>
      </c>
      <c r="L156" s="192">
        <v>0</v>
      </c>
      <c r="M156" s="48">
        <f t="shared" si="13"/>
        <v>56484482</v>
      </c>
      <c r="N156" s="193">
        <v>0</v>
      </c>
      <c r="O156" s="49"/>
      <c r="P156" s="50">
        <f t="shared" si="14"/>
        <v>56484482</v>
      </c>
      <c r="Q156" s="13">
        <f t="shared" si="17"/>
        <v>4254897</v>
      </c>
      <c r="R156" s="51">
        <f t="shared" si="15"/>
        <v>52229585</v>
      </c>
      <c r="S156" s="176">
        <f>BILLETAGE!Y157</f>
        <v>-56484482</v>
      </c>
      <c r="T156" s="62"/>
    </row>
    <row r="157" spans="1:20" ht="15.95" customHeight="1" x14ac:dyDescent="0.25">
      <c r="A157" s="58">
        <v>154</v>
      </c>
      <c r="B157" s="59">
        <v>46238</v>
      </c>
      <c r="C157" s="60" t="s">
        <v>207</v>
      </c>
      <c r="D157" s="58">
        <v>8</v>
      </c>
      <c r="E157" s="61">
        <v>22</v>
      </c>
      <c r="F157" s="16">
        <f t="shared" si="16"/>
        <v>56484482</v>
      </c>
      <c r="G157" s="190">
        <v>0</v>
      </c>
      <c r="H157" s="190">
        <v>0</v>
      </c>
      <c r="I157" s="343">
        <f t="shared" si="12"/>
        <v>0</v>
      </c>
      <c r="J157" s="191">
        <v>0</v>
      </c>
      <c r="K157" s="192">
        <v>0</v>
      </c>
      <c r="L157" s="192">
        <v>0</v>
      </c>
      <c r="M157" s="48">
        <f t="shared" si="13"/>
        <v>56484482</v>
      </c>
      <c r="N157" s="193">
        <v>0</v>
      </c>
      <c r="O157" s="49"/>
      <c r="P157" s="50">
        <f t="shared" si="14"/>
        <v>56484482</v>
      </c>
      <c r="Q157" s="13">
        <f t="shared" si="17"/>
        <v>4254897</v>
      </c>
      <c r="R157" s="51">
        <f t="shared" si="15"/>
        <v>52229585</v>
      </c>
      <c r="S157" s="176">
        <f>BILLETAGE!Y158</f>
        <v>-56484482</v>
      </c>
      <c r="T157" s="62"/>
    </row>
    <row r="158" spans="1:20" ht="15.95" customHeight="1" x14ac:dyDescent="0.25">
      <c r="A158" s="58">
        <v>155</v>
      </c>
      <c r="B158" s="59">
        <v>46239</v>
      </c>
      <c r="C158" s="60" t="s">
        <v>208</v>
      </c>
      <c r="D158" s="58">
        <v>8</v>
      </c>
      <c r="E158" s="61">
        <v>22</v>
      </c>
      <c r="F158" s="16">
        <f t="shared" si="16"/>
        <v>56484482</v>
      </c>
      <c r="G158" s="190">
        <v>0</v>
      </c>
      <c r="H158" s="190">
        <v>0</v>
      </c>
      <c r="I158" s="343">
        <f t="shared" si="12"/>
        <v>0</v>
      </c>
      <c r="J158" s="191">
        <v>0</v>
      </c>
      <c r="K158" s="192">
        <v>0</v>
      </c>
      <c r="L158" s="192">
        <v>0</v>
      </c>
      <c r="M158" s="48">
        <f t="shared" si="13"/>
        <v>56484482</v>
      </c>
      <c r="N158" s="193">
        <v>0</v>
      </c>
      <c r="O158" s="49"/>
      <c r="P158" s="50">
        <f t="shared" si="14"/>
        <v>56484482</v>
      </c>
      <c r="Q158" s="13">
        <f t="shared" si="17"/>
        <v>4254897</v>
      </c>
      <c r="R158" s="51">
        <f t="shared" si="15"/>
        <v>52229585</v>
      </c>
      <c r="S158" s="176">
        <f>BILLETAGE!Y159</f>
        <v>-56484482</v>
      </c>
      <c r="T158" s="62"/>
    </row>
    <row r="159" spans="1:20" ht="15.95" customHeight="1" x14ac:dyDescent="0.25">
      <c r="A159" s="58">
        <v>156</v>
      </c>
      <c r="B159" s="59">
        <v>46240</v>
      </c>
      <c r="C159" s="60" t="s">
        <v>204</v>
      </c>
      <c r="D159" s="58">
        <v>8</v>
      </c>
      <c r="E159" s="61">
        <v>22</v>
      </c>
      <c r="F159" s="16">
        <f t="shared" si="16"/>
        <v>56484482</v>
      </c>
      <c r="G159" s="190">
        <v>0</v>
      </c>
      <c r="H159" s="190">
        <v>0</v>
      </c>
      <c r="I159" s="343">
        <f t="shared" si="12"/>
        <v>0</v>
      </c>
      <c r="J159" s="191">
        <v>0</v>
      </c>
      <c r="K159" s="192">
        <v>0</v>
      </c>
      <c r="L159" s="192">
        <v>0</v>
      </c>
      <c r="M159" s="48">
        <f t="shared" si="13"/>
        <v>56484482</v>
      </c>
      <c r="N159" s="193">
        <v>0</v>
      </c>
      <c r="O159" s="49"/>
      <c r="P159" s="50">
        <f t="shared" si="14"/>
        <v>56484482</v>
      </c>
      <c r="Q159" s="13">
        <f t="shared" si="17"/>
        <v>4254897</v>
      </c>
      <c r="R159" s="51">
        <f t="shared" si="15"/>
        <v>52229585</v>
      </c>
      <c r="S159" s="176">
        <f>BILLETAGE!Y160</f>
        <v>-56484482</v>
      </c>
      <c r="T159" s="62"/>
    </row>
    <row r="160" spans="1:20" ht="15.95" customHeight="1" x14ac:dyDescent="0.25">
      <c r="A160" s="58">
        <v>157</v>
      </c>
      <c r="B160" s="59">
        <v>46241</v>
      </c>
      <c r="C160" s="60" t="s">
        <v>205</v>
      </c>
      <c r="D160" s="58">
        <v>8</v>
      </c>
      <c r="E160" s="61">
        <v>22</v>
      </c>
      <c r="F160" s="16">
        <f t="shared" si="16"/>
        <v>56484482</v>
      </c>
      <c r="G160" s="190">
        <v>0</v>
      </c>
      <c r="H160" s="190">
        <v>0</v>
      </c>
      <c r="I160" s="343">
        <f t="shared" si="12"/>
        <v>0</v>
      </c>
      <c r="J160" s="191">
        <v>0</v>
      </c>
      <c r="K160" s="192">
        <v>0</v>
      </c>
      <c r="L160" s="192">
        <v>0</v>
      </c>
      <c r="M160" s="48">
        <f t="shared" si="13"/>
        <v>56484482</v>
      </c>
      <c r="N160" s="193">
        <v>0</v>
      </c>
      <c r="O160" s="49"/>
      <c r="P160" s="50">
        <f t="shared" si="14"/>
        <v>56484482</v>
      </c>
      <c r="Q160" s="13">
        <f t="shared" si="17"/>
        <v>4254897</v>
      </c>
      <c r="R160" s="51">
        <f t="shared" si="15"/>
        <v>52229585</v>
      </c>
      <c r="S160" s="176">
        <f>BILLETAGE!Y161</f>
        <v>-56484482</v>
      </c>
      <c r="T160" s="62"/>
    </row>
    <row r="161" spans="1:20" ht="15.95" customHeight="1" x14ac:dyDescent="0.25">
      <c r="A161" s="58">
        <v>158</v>
      </c>
      <c r="B161" s="59">
        <v>46244</v>
      </c>
      <c r="C161" s="60" t="s">
        <v>206</v>
      </c>
      <c r="D161" s="58">
        <v>8</v>
      </c>
      <c r="E161" s="61">
        <v>22</v>
      </c>
      <c r="F161" s="16">
        <f t="shared" si="16"/>
        <v>56484482</v>
      </c>
      <c r="G161" s="190">
        <v>0</v>
      </c>
      <c r="H161" s="190">
        <v>0</v>
      </c>
      <c r="I161" s="343">
        <f t="shared" si="12"/>
        <v>0</v>
      </c>
      <c r="J161" s="191">
        <v>0</v>
      </c>
      <c r="K161" s="192">
        <v>0</v>
      </c>
      <c r="L161" s="192">
        <v>0</v>
      </c>
      <c r="M161" s="48">
        <f t="shared" si="13"/>
        <v>56484482</v>
      </c>
      <c r="N161" s="193">
        <v>0</v>
      </c>
      <c r="O161" s="49"/>
      <c r="P161" s="50">
        <f t="shared" si="14"/>
        <v>56484482</v>
      </c>
      <c r="Q161" s="13">
        <f t="shared" si="17"/>
        <v>4254897</v>
      </c>
      <c r="R161" s="51">
        <f t="shared" si="15"/>
        <v>52229585</v>
      </c>
      <c r="S161" s="176">
        <f>BILLETAGE!Y162</f>
        <v>-56484482</v>
      </c>
      <c r="T161" s="62"/>
    </row>
    <row r="162" spans="1:20" ht="15.95" customHeight="1" x14ac:dyDescent="0.25">
      <c r="A162" s="58">
        <v>159</v>
      </c>
      <c r="B162" s="59">
        <v>46245</v>
      </c>
      <c r="C162" s="60" t="s">
        <v>207</v>
      </c>
      <c r="D162" s="58">
        <v>8</v>
      </c>
      <c r="E162" s="61">
        <v>23</v>
      </c>
      <c r="F162" s="16">
        <f t="shared" si="16"/>
        <v>56484482</v>
      </c>
      <c r="G162" s="190">
        <v>0</v>
      </c>
      <c r="H162" s="190">
        <v>0</v>
      </c>
      <c r="I162" s="343">
        <f t="shared" si="12"/>
        <v>0</v>
      </c>
      <c r="J162" s="191">
        <v>0</v>
      </c>
      <c r="K162" s="192">
        <v>0</v>
      </c>
      <c r="L162" s="192">
        <v>0</v>
      </c>
      <c r="M162" s="48">
        <f t="shared" si="13"/>
        <v>56484482</v>
      </c>
      <c r="N162" s="193">
        <v>0</v>
      </c>
      <c r="O162" s="49"/>
      <c r="P162" s="50">
        <f t="shared" si="14"/>
        <v>56484482</v>
      </c>
      <c r="Q162" s="13">
        <f t="shared" si="17"/>
        <v>4254897</v>
      </c>
      <c r="R162" s="51">
        <f t="shared" si="15"/>
        <v>52229585</v>
      </c>
      <c r="S162" s="176">
        <f>BILLETAGE!Y163</f>
        <v>-56484482</v>
      </c>
      <c r="T162" s="62"/>
    </row>
    <row r="163" spans="1:20" ht="15.95" customHeight="1" x14ac:dyDescent="0.25">
      <c r="A163" s="58">
        <v>160</v>
      </c>
      <c r="B163" s="59">
        <v>46246</v>
      </c>
      <c r="C163" s="60" t="s">
        <v>208</v>
      </c>
      <c r="D163" s="58">
        <v>8</v>
      </c>
      <c r="E163" s="61">
        <v>23</v>
      </c>
      <c r="F163" s="16">
        <f t="shared" si="16"/>
        <v>56484482</v>
      </c>
      <c r="G163" s="190">
        <v>0</v>
      </c>
      <c r="H163" s="190">
        <v>0</v>
      </c>
      <c r="I163" s="343">
        <f t="shared" si="12"/>
        <v>0</v>
      </c>
      <c r="J163" s="191">
        <v>0</v>
      </c>
      <c r="K163" s="192">
        <v>0</v>
      </c>
      <c r="L163" s="192">
        <v>0</v>
      </c>
      <c r="M163" s="48">
        <f t="shared" si="13"/>
        <v>56484482</v>
      </c>
      <c r="N163" s="193">
        <v>0</v>
      </c>
      <c r="O163" s="49"/>
      <c r="P163" s="50">
        <f t="shared" si="14"/>
        <v>56484482</v>
      </c>
      <c r="Q163" s="13">
        <f t="shared" si="17"/>
        <v>4254897</v>
      </c>
      <c r="R163" s="51">
        <f t="shared" si="15"/>
        <v>52229585</v>
      </c>
      <c r="S163" s="176">
        <f>BILLETAGE!Y164</f>
        <v>-56484482</v>
      </c>
      <c r="T163" s="62"/>
    </row>
    <row r="164" spans="1:20" ht="15.95" customHeight="1" x14ac:dyDescent="0.25">
      <c r="A164" s="58">
        <v>161</v>
      </c>
      <c r="B164" s="59">
        <v>46247</v>
      </c>
      <c r="C164" s="60" t="s">
        <v>204</v>
      </c>
      <c r="D164" s="58">
        <v>8</v>
      </c>
      <c r="E164" s="61">
        <v>23</v>
      </c>
      <c r="F164" s="16">
        <f t="shared" si="16"/>
        <v>56484482</v>
      </c>
      <c r="G164" s="190">
        <v>0</v>
      </c>
      <c r="H164" s="190">
        <v>0</v>
      </c>
      <c r="I164" s="343">
        <f t="shared" si="12"/>
        <v>0</v>
      </c>
      <c r="J164" s="191">
        <v>0</v>
      </c>
      <c r="K164" s="192">
        <v>0</v>
      </c>
      <c r="L164" s="192">
        <v>0</v>
      </c>
      <c r="M164" s="48">
        <f t="shared" si="13"/>
        <v>56484482</v>
      </c>
      <c r="N164" s="193">
        <v>0</v>
      </c>
      <c r="O164" s="49"/>
      <c r="P164" s="50">
        <f t="shared" si="14"/>
        <v>56484482</v>
      </c>
      <c r="Q164" s="13">
        <f t="shared" si="17"/>
        <v>4254897</v>
      </c>
      <c r="R164" s="51">
        <f t="shared" si="15"/>
        <v>52229585</v>
      </c>
      <c r="S164" s="176">
        <f>BILLETAGE!Y165</f>
        <v>-56484482</v>
      </c>
      <c r="T164" s="62"/>
    </row>
    <row r="165" spans="1:20" ht="15.95" customHeight="1" x14ac:dyDescent="0.25">
      <c r="A165" s="58">
        <v>162</v>
      </c>
      <c r="B165" s="59">
        <v>46248</v>
      </c>
      <c r="C165" s="60" t="s">
        <v>205</v>
      </c>
      <c r="D165" s="58">
        <v>8</v>
      </c>
      <c r="E165" s="61">
        <v>23</v>
      </c>
      <c r="F165" s="16">
        <f t="shared" si="16"/>
        <v>56484482</v>
      </c>
      <c r="G165" s="190">
        <v>0</v>
      </c>
      <c r="H165" s="190">
        <v>0</v>
      </c>
      <c r="I165" s="343">
        <f t="shared" si="12"/>
        <v>0</v>
      </c>
      <c r="J165" s="191">
        <v>0</v>
      </c>
      <c r="K165" s="192">
        <v>0</v>
      </c>
      <c r="L165" s="192">
        <v>0</v>
      </c>
      <c r="M165" s="48">
        <f t="shared" si="13"/>
        <v>56484482</v>
      </c>
      <c r="N165" s="193">
        <v>0</v>
      </c>
      <c r="O165" s="49"/>
      <c r="P165" s="50">
        <f t="shared" si="14"/>
        <v>56484482</v>
      </c>
      <c r="Q165" s="13">
        <f t="shared" si="17"/>
        <v>4254897</v>
      </c>
      <c r="R165" s="51">
        <f t="shared" si="15"/>
        <v>52229585</v>
      </c>
      <c r="S165" s="176">
        <f>BILLETAGE!Y166</f>
        <v>-56484482</v>
      </c>
      <c r="T165" s="62"/>
    </row>
    <row r="166" spans="1:20" ht="15.95" customHeight="1" x14ac:dyDescent="0.25">
      <c r="A166" s="58">
        <v>163</v>
      </c>
      <c r="B166" s="59">
        <v>46251</v>
      </c>
      <c r="C166" s="60" t="s">
        <v>206</v>
      </c>
      <c r="D166" s="58">
        <v>8</v>
      </c>
      <c r="E166" s="61">
        <v>23</v>
      </c>
      <c r="F166" s="16">
        <f t="shared" si="16"/>
        <v>56484482</v>
      </c>
      <c r="G166" s="190">
        <v>0</v>
      </c>
      <c r="H166" s="190">
        <v>0</v>
      </c>
      <c r="I166" s="343">
        <f t="shared" si="12"/>
        <v>0</v>
      </c>
      <c r="J166" s="191">
        <v>0</v>
      </c>
      <c r="K166" s="192">
        <v>0</v>
      </c>
      <c r="L166" s="192">
        <v>0</v>
      </c>
      <c r="M166" s="48">
        <f t="shared" si="13"/>
        <v>56484482</v>
      </c>
      <c r="N166" s="193">
        <v>0</v>
      </c>
      <c r="O166" s="49"/>
      <c r="P166" s="50">
        <f t="shared" si="14"/>
        <v>56484482</v>
      </c>
      <c r="Q166" s="13">
        <f t="shared" si="17"/>
        <v>4254897</v>
      </c>
      <c r="R166" s="51">
        <f t="shared" si="15"/>
        <v>52229585</v>
      </c>
      <c r="S166" s="176">
        <f>BILLETAGE!Y167</f>
        <v>-56484482</v>
      </c>
      <c r="T166" s="62"/>
    </row>
    <row r="167" spans="1:20" ht="15.95" customHeight="1" x14ac:dyDescent="0.25">
      <c r="A167" s="58">
        <v>164</v>
      </c>
      <c r="B167" s="59">
        <v>46252</v>
      </c>
      <c r="C167" s="60" t="s">
        <v>207</v>
      </c>
      <c r="D167" s="58">
        <v>8</v>
      </c>
      <c r="E167" s="61">
        <v>23</v>
      </c>
      <c r="F167" s="16">
        <f t="shared" si="16"/>
        <v>56484482</v>
      </c>
      <c r="G167" s="190">
        <v>0</v>
      </c>
      <c r="H167" s="190">
        <v>0</v>
      </c>
      <c r="I167" s="343">
        <f t="shared" si="12"/>
        <v>0</v>
      </c>
      <c r="J167" s="191">
        <v>0</v>
      </c>
      <c r="K167" s="192">
        <v>0</v>
      </c>
      <c r="L167" s="192">
        <v>0</v>
      </c>
      <c r="M167" s="48">
        <f t="shared" si="13"/>
        <v>56484482</v>
      </c>
      <c r="N167" s="193">
        <v>0</v>
      </c>
      <c r="O167" s="49"/>
      <c r="P167" s="50">
        <f t="shared" si="14"/>
        <v>56484482</v>
      </c>
      <c r="Q167" s="13">
        <f t="shared" si="17"/>
        <v>4254897</v>
      </c>
      <c r="R167" s="51">
        <f t="shared" si="15"/>
        <v>52229585</v>
      </c>
      <c r="S167" s="176">
        <f>BILLETAGE!Y168</f>
        <v>-56484482</v>
      </c>
      <c r="T167" s="62"/>
    </row>
    <row r="168" spans="1:20" ht="15.95" customHeight="1" x14ac:dyDescent="0.25">
      <c r="A168" s="58">
        <v>165</v>
      </c>
      <c r="B168" s="59">
        <v>46253</v>
      </c>
      <c r="C168" s="60" t="s">
        <v>208</v>
      </c>
      <c r="D168" s="58">
        <v>8</v>
      </c>
      <c r="E168" s="61">
        <v>23</v>
      </c>
      <c r="F168" s="16">
        <f t="shared" si="16"/>
        <v>56484482</v>
      </c>
      <c r="G168" s="190">
        <v>0</v>
      </c>
      <c r="H168" s="190">
        <v>0</v>
      </c>
      <c r="I168" s="343">
        <f t="shared" si="12"/>
        <v>0</v>
      </c>
      <c r="J168" s="191">
        <v>0</v>
      </c>
      <c r="K168" s="192">
        <v>0</v>
      </c>
      <c r="L168" s="192">
        <v>0</v>
      </c>
      <c r="M168" s="48">
        <f t="shared" si="13"/>
        <v>56484482</v>
      </c>
      <c r="N168" s="193">
        <v>0</v>
      </c>
      <c r="O168" s="49"/>
      <c r="P168" s="50">
        <f t="shared" si="14"/>
        <v>56484482</v>
      </c>
      <c r="Q168" s="13">
        <f t="shared" si="17"/>
        <v>4254897</v>
      </c>
      <c r="R168" s="51">
        <f t="shared" si="15"/>
        <v>52229585</v>
      </c>
      <c r="S168" s="176">
        <f>BILLETAGE!Y169</f>
        <v>-56484482</v>
      </c>
      <c r="T168" s="62"/>
    </row>
    <row r="169" spans="1:20" ht="15.95" customHeight="1" x14ac:dyDescent="0.25">
      <c r="A169" s="58">
        <v>166</v>
      </c>
      <c r="B169" s="59">
        <v>46254</v>
      </c>
      <c r="C169" s="60" t="s">
        <v>204</v>
      </c>
      <c r="D169" s="58">
        <v>8</v>
      </c>
      <c r="E169" s="61">
        <v>23</v>
      </c>
      <c r="F169" s="16">
        <f t="shared" si="16"/>
        <v>56484482</v>
      </c>
      <c r="G169" s="190">
        <v>0</v>
      </c>
      <c r="H169" s="190">
        <v>0</v>
      </c>
      <c r="I169" s="343">
        <f t="shared" si="12"/>
        <v>0</v>
      </c>
      <c r="J169" s="191">
        <v>0</v>
      </c>
      <c r="K169" s="192">
        <v>0</v>
      </c>
      <c r="L169" s="192">
        <v>0</v>
      </c>
      <c r="M169" s="48">
        <f t="shared" si="13"/>
        <v>56484482</v>
      </c>
      <c r="N169" s="193">
        <v>0</v>
      </c>
      <c r="O169" s="49"/>
      <c r="P169" s="50">
        <f t="shared" si="14"/>
        <v>56484482</v>
      </c>
      <c r="Q169" s="13">
        <f t="shared" si="17"/>
        <v>4254897</v>
      </c>
      <c r="R169" s="51">
        <f t="shared" si="15"/>
        <v>52229585</v>
      </c>
      <c r="S169" s="176">
        <f>BILLETAGE!Y170</f>
        <v>-56484482</v>
      </c>
      <c r="T169" s="62"/>
    </row>
    <row r="170" spans="1:20" ht="15.95" customHeight="1" x14ac:dyDescent="0.25">
      <c r="A170" s="58">
        <v>167</v>
      </c>
      <c r="B170" s="59">
        <v>46255</v>
      </c>
      <c r="C170" s="60" t="s">
        <v>205</v>
      </c>
      <c r="D170" s="58">
        <v>8</v>
      </c>
      <c r="E170" s="61">
        <v>24</v>
      </c>
      <c r="F170" s="16">
        <f t="shared" si="16"/>
        <v>56484482</v>
      </c>
      <c r="G170" s="190">
        <v>0</v>
      </c>
      <c r="H170" s="190">
        <v>0</v>
      </c>
      <c r="I170" s="343">
        <f t="shared" si="12"/>
        <v>0</v>
      </c>
      <c r="J170" s="191">
        <v>0</v>
      </c>
      <c r="K170" s="192">
        <v>0</v>
      </c>
      <c r="L170" s="192">
        <v>0</v>
      </c>
      <c r="M170" s="48">
        <f t="shared" si="13"/>
        <v>56484482</v>
      </c>
      <c r="N170" s="193">
        <v>0</v>
      </c>
      <c r="O170" s="49"/>
      <c r="P170" s="50">
        <f t="shared" si="14"/>
        <v>56484482</v>
      </c>
      <c r="Q170" s="13">
        <f t="shared" si="17"/>
        <v>4254897</v>
      </c>
      <c r="R170" s="51">
        <f t="shared" si="15"/>
        <v>52229585</v>
      </c>
      <c r="S170" s="176">
        <f>BILLETAGE!Y171</f>
        <v>-56484482</v>
      </c>
      <c r="T170" s="62"/>
    </row>
    <row r="171" spans="1:20" ht="15.95" customHeight="1" x14ac:dyDescent="0.25">
      <c r="A171" s="58">
        <v>168</v>
      </c>
      <c r="B171" s="59">
        <v>46258</v>
      </c>
      <c r="C171" s="60" t="s">
        <v>206</v>
      </c>
      <c r="D171" s="58">
        <v>8</v>
      </c>
      <c r="E171" s="61">
        <v>24</v>
      </c>
      <c r="F171" s="16">
        <f t="shared" si="16"/>
        <v>56484482</v>
      </c>
      <c r="G171" s="190">
        <v>0</v>
      </c>
      <c r="H171" s="190">
        <v>0</v>
      </c>
      <c r="I171" s="343">
        <f t="shared" si="12"/>
        <v>0</v>
      </c>
      <c r="J171" s="191">
        <v>0</v>
      </c>
      <c r="K171" s="192">
        <v>0</v>
      </c>
      <c r="L171" s="192">
        <v>0</v>
      </c>
      <c r="M171" s="48">
        <f t="shared" si="13"/>
        <v>56484482</v>
      </c>
      <c r="N171" s="193">
        <v>0</v>
      </c>
      <c r="O171" s="49"/>
      <c r="P171" s="50">
        <f t="shared" si="14"/>
        <v>56484482</v>
      </c>
      <c r="Q171" s="13">
        <f t="shared" si="17"/>
        <v>4254897</v>
      </c>
      <c r="R171" s="51">
        <f t="shared" si="15"/>
        <v>52229585</v>
      </c>
      <c r="S171" s="176">
        <f>BILLETAGE!Y172</f>
        <v>-56484482</v>
      </c>
      <c r="T171" s="62"/>
    </row>
    <row r="172" spans="1:20" ht="15.95" customHeight="1" x14ac:dyDescent="0.25">
      <c r="A172" s="58">
        <v>169</v>
      </c>
      <c r="B172" s="59">
        <v>46259</v>
      </c>
      <c r="C172" s="60" t="s">
        <v>207</v>
      </c>
      <c r="D172" s="58">
        <v>8</v>
      </c>
      <c r="E172" s="61">
        <v>24</v>
      </c>
      <c r="F172" s="16">
        <f t="shared" si="16"/>
        <v>56484482</v>
      </c>
      <c r="G172" s="190">
        <v>0</v>
      </c>
      <c r="H172" s="190">
        <v>0</v>
      </c>
      <c r="I172" s="343">
        <f t="shared" si="12"/>
        <v>0</v>
      </c>
      <c r="J172" s="191">
        <v>0</v>
      </c>
      <c r="K172" s="192">
        <v>0</v>
      </c>
      <c r="L172" s="192">
        <v>0</v>
      </c>
      <c r="M172" s="48">
        <f t="shared" si="13"/>
        <v>56484482</v>
      </c>
      <c r="N172" s="193">
        <v>0</v>
      </c>
      <c r="O172" s="49"/>
      <c r="P172" s="50">
        <f t="shared" si="14"/>
        <v>56484482</v>
      </c>
      <c r="Q172" s="13">
        <f t="shared" si="17"/>
        <v>4254897</v>
      </c>
      <c r="R172" s="51">
        <f t="shared" si="15"/>
        <v>52229585</v>
      </c>
      <c r="S172" s="176">
        <f>BILLETAGE!Y173</f>
        <v>-56484482</v>
      </c>
      <c r="T172" s="62"/>
    </row>
    <row r="173" spans="1:20" ht="15.95" customHeight="1" x14ac:dyDescent="0.25">
      <c r="A173" s="58">
        <v>170</v>
      </c>
      <c r="B173" s="59">
        <v>46260</v>
      </c>
      <c r="C173" s="60" t="s">
        <v>208</v>
      </c>
      <c r="D173" s="58">
        <v>8</v>
      </c>
      <c r="E173" s="61">
        <v>24</v>
      </c>
      <c r="F173" s="16">
        <f t="shared" si="16"/>
        <v>56484482</v>
      </c>
      <c r="G173" s="190">
        <v>0</v>
      </c>
      <c r="H173" s="190">
        <v>0</v>
      </c>
      <c r="I173" s="343">
        <f t="shared" si="12"/>
        <v>0</v>
      </c>
      <c r="J173" s="191">
        <v>0</v>
      </c>
      <c r="K173" s="192">
        <v>0</v>
      </c>
      <c r="L173" s="192">
        <v>0</v>
      </c>
      <c r="M173" s="48">
        <f t="shared" si="13"/>
        <v>56484482</v>
      </c>
      <c r="N173" s="193">
        <v>0</v>
      </c>
      <c r="O173" s="49"/>
      <c r="P173" s="50">
        <f t="shared" si="14"/>
        <v>56484482</v>
      </c>
      <c r="Q173" s="13">
        <f t="shared" si="17"/>
        <v>4254897</v>
      </c>
      <c r="R173" s="51">
        <f t="shared" si="15"/>
        <v>52229585</v>
      </c>
      <c r="S173" s="176">
        <f>BILLETAGE!Y174</f>
        <v>-56484482</v>
      </c>
      <c r="T173" s="62"/>
    </row>
    <row r="174" spans="1:20" ht="15.95" customHeight="1" x14ac:dyDescent="0.25">
      <c r="A174" s="58">
        <v>171</v>
      </c>
      <c r="B174" s="59">
        <v>46261</v>
      </c>
      <c r="C174" s="60" t="s">
        <v>204</v>
      </c>
      <c r="D174" s="58">
        <v>8</v>
      </c>
      <c r="E174" s="61">
        <v>24</v>
      </c>
      <c r="F174" s="16">
        <f t="shared" si="16"/>
        <v>56484482</v>
      </c>
      <c r="G174" s="190">
        <v>0</v>
      </c>
      <c r="H174" s="190">
        <v>0</v>
      </c>
      <c r="I174" s="343">
        <f t="shared" si="12"/>
        <v>0</v>
      </c>
      <c r="J174" s="191">
        <v>0</v>
      </c>
      <c r="K174" s="192">
        <v>0</v>
      </c>
      <c r="L174" s="192">
        <v>0</v>
      </c>
      <c r="M174" s="48">
        <f t="shared" si="13"/>
        <v>56484482</v>
      </c>
      <c r="N174" s="193">
        <v>0</v>
      </c>
      <c r="O174" s="49"/>
      <c r="P174" s="50">
        <f t="shared" si="14"/>
        <v>56484482</v>
      </c>
      <c r="Q174" s="13">
        <f t="shared" si="17"/>
        <v>4254897</v>
      </c>
      <c r="R174" s="51">
        <f t="shared" si="15"/>
        <v>52229585</v>
      </c>
      <c r="S174" s="176">
        <f>BILLETAGE!Y175</f>
        <v>-56484482</v>
      </c>
      <c r="T174" s="62"/>
    </row>
    <row r="175" spans="1:20" ht="15.95" customHeight="1" x14ac:dyDescent="0.25">
      <c r="A175" s="58">
        <v>172</v>
      </c>
      <c r="B175" s="59">
        <v>46262</v>
      </c>
      <c r="C175" s="60" t="s">
        <v>205</v>
      </c>
      <c r="D175" s="58">
        <v>8</v>
      </c>
      <c r="E175" s="61">
        <v>24</v>
      </c>
      <c r="F175" s="16">
        <f t="shared" si="16"/>
        <v>56484482</v>
      </c>
      <c r="G175" s="190">
        <v>0</v>
      </c>
      <c r="H175" s="190">
        <v>0</v>
      </c>
      <c r="I175" s="343">
        <f t="shared" si="12"/>
        <v>0</v>
      </c>
      <c r="J175" s="191">
        <v>0</v>
      </c>
      <c r="K175" s="192">
        <v>0</v>
      </c>
      <c r="L175" s="192">
        <v>0</v>
      </c>
      <c r="M175" s="48">
        <f t="shared" si="13"/>
        <v>56484482</v>
      </c>
      <c r="N175" s="193">
        <v>0</v>
      </c>
      <c r="O175" s="49"/>
      <c r="P175" s="50">
        <f t="shared" si="14"/>
        <v>56484482</v>
      </c>
      <c r="Q175" s="13">
        <f t="shared" si="17"/>
        <v>4254897</v>
      </c>
      <c r="R175" s="51">
        <f t="shared" si="15"/>
        <v>52229585</v>
      </c>
      <c r="S175" s="176">
        <f>BILLETAGE!Y176</f>
        <v>-56484482</v>
      </c>
      <c r="T175" s="62"/>
    </row>
    <row r="176" spans="1:20" ht="15.95" customHeight="1" x14ac:dyDescent="0.25">
      <c r="A176" s="58">
        <v>173</v>
      </c>
      <c r="B176" s="59">
        <v>46265</v>
      </c>
      <c r="C176" s="60" t="s">
        <v>206</v>
      </c>
      <c r="D176" s="58">
        <v>8</v>
      </c>
      <c r="E176" s="61">
        <v>24</v>
      </c>
      <c r="F176" s="16">
        <f t="shared" si="16"/>
        <v>56484482</v>
      </c>
      <c r="G176" s="190">
        <v>0</v>
      </c>
      <c r="H176" s="190">
        <v>0</v>
      </c>
      <c r="I176" s="343">
        <f t="shared" si="12"/>
        <v>0</v>
      </c>
      <c r="J176" s="191">
        <v>0</v>
      </c>
      <c r="K176" s="192">
        <v>0</v>
      </c>
      <c r="L176" s="192">
        <v>0</v>
      </c>
      <c r="M176" s="48">
        <f t="shared" si="13"/>
        <v>56484482</v>
      </c>
      <c r="N176" s="193">
        <v>0</v>
      </c>
      <c r="O176" s="49"/>
      <c r="P176" s="50">
        <f t="shared" si="14"/>
        <v>56484482</v>
      </c>
      <c r="Q176" s="13">
        <f t="shared" si="17"/>
        <v>4254897</v>
      </c>
      <c r="R176" s="51">
        <f t="shared" si="15"/>
        <v>52229585</v>
      </c>
      <c r="S176" s="176">
        <f>BILLETAGE!Y177</f>
        <v>-56484482</v>
      </c>
      <c r="T176" s="62"/>
    </row>
    <row r="177" spans="1:20" ht="15.95" customHeight="1" x14ac:dyDescent="0.25">
      <c r="A177" s="63">
        <v>174</v>
      </c>
      <c r="B177" s="64">
        <v>46266</v>
      </c>
      <c r="C177" s="65" t="s">
        <v>207</v>
      </c>
      <c r="D177" s="63">
        <v>9</v>
      </c>
      <c r="E177" s="66">
        <v>25</v>
      </c>
      <c r="F177" s="20">
        <f t="shared" si="16"/>
        <v>56484482</v>
      </c>
      <c r="G177" s="190">
        <v>0</v>
      </c>
      <c r="H177" s="190">
        <v>0</v>
      </c>
      <c r="I177" s="343">
        <f t="shared" si="12"/>
        <v>0</v>
      </c>
      <c r="J177" s="191">
        <v>0</v>
      </c>
      <c r="K177" s="192">
        <v>0</v>
      </c>
      <c r="L177" s="192">
        <v>0</v>
      </c>
      <c r="M177" s="48">
        <f t="shared" si="13"/>
        <v>56484482</v>
      </c>
      <c r="N177" s="193">
        <v>0</v>
      </c>
      <c r="O177" s="49"/>
      <c r="P177" s="50">
        <f t="shared" si="14"/>
        <v>56484482</v>
      </c>
      <c r="Q177" s="13">
        <f t="shared" si="17"/>
        <v>4254897</v>
      </c>
      <c r="R177" s="51">
        <f t="shared" si="15"/>
        <v>52229585</v>
      </c>
      <c r="S177" s="176">
        <f>BILLETAGE!Y178</f>
        <v>-56484482</v>
      </c>
      <c r="T177" s="67"/>
    </row>
    <row r="178" spans="1:20" ht="15.95" customHeight="1" x14ac:dyDescent="0.25">
      <c r="A178" s="63">
        <v>175</v>
      </c>
      <c r="B178" s="64">
        <v>46267</v>
      </c>
      <c r="C178" s="65" t="s">
        <v>208</v>
      </c>
      <c r="D178" s="63">
        <v>9</v>
      </c>
      <c r="E178" s="66">
        <v>25</v>
      </c>
      <c r="F178" s="20">
        <f t="shared" si="16"/>
        <v>56484482</v>
      </c>
      <c r="G178" s="190">
        <v>0</v>
      </c>
      <c r="H178" s="190">
        <v>0</v>
      </c>
      <c r="I178" s="343">
        <f t="shared" si="12"/>
        <v>0</v>
      </c>
      <c r="J178" s="191">
        <v>0</v>
      </c>
      <c r="K178" s="192">
        <v>0</v>
      </c>
      <c r="L178" s="192">
        <v>0</v>
      </c>
      <c r="M178" s="48">
        <f t="shared" si="13"/>
        <v>56484482</v>
      </c>
      <c r="N178" s="193">
        <v>0</v>
      </c>
      <c r="O178" s="49"/>
      <c r="P178" s="50">
        <f t="shared" si="14"/>
        <v>56484482</v>
      </c>
      <c r="Q178" s="13">
        <f t="shared" si="17"/>
        <v>4254897</v>
      </c>
      <c r="R178" s="51">
        <f t="shared" si="15"/>
        <v>52229585</v>
      </c>
      <c r="S178" s="176">
        <f>BILLETAGE!Y179</f>
        <v>-56484482</v>
      </c>
      <c r="T178" s="67"/>
    </row>
    <row r="179" spans="1:20" ht="15.95" customHeight="1" x14ac:dyDescent="0.25">
      <c r="A179" s="63">
        <v>176</v>
      </c>
      <c r="B179" s="64">
        <v>46268</v>
      </c>
      <c r="C179" s="65" t="s">
        <v>204</v>
      </c>
      <c r="D179" s="63">
        <v>9</v>
      </c>
      <c r="E179" s="66">
        <v>25</v>
      </c>
      <c r="F179" s="20">
        <f t="shared" si="16"/>
        <v>56484482</v>
      </c>
      <c r="G179" s="190">
        <v>0</v>
      </c>
      <c r="H179" s="190">
        <v>0</v>
      </c>
      <c r="I179" s="343">
        <f t="shared" si="12"/>
        <v>0</v>
      </c>
      <c r="J179" s="191">
        <v>0</v>
      </c>
      <c r="K179" s="192">
        <v>0</v>
      </c>
      <c r="L179" s="192">
        <v>0</v>
      </c>
      <c r="M179" s="48">
        <f t="shared" si="13"/>
        <v>56484482</v>
      </c>
      <c r="N179" s="193">
        <v>0</v>
      </c>
      <c r="O179" s="49"/>
      <c r="P179" s="50">
        <f t="shared" si="14"/>
        <v>56484482</v>
      </c>
      <c r="Q179" s="13">
        <f t="shared" si="17"/>
        <v>4254897</v>
      </c>
      <c r="R179" s="51">
        <f t="shared" si="15"/>
        <v>52229585</v>
      </c>
      <c r="S179" s="176">
        <f>BILLETAGE!Y180</f>
        <v>-56484482</v>
      </c>
      <c r="T179" s="67"/>
    </row>
    <row r="180" spans="1:20" ht="15.95" customHeight="1" x14ac:dyDescent="0.25">
      <c r="A180" s="63">
        <v>177</v>
      </c>
      <c r="B180" s="64">
        <v>46269</v>
      </c>
      <c r="C180" s="65" t="s">
        <v>205</v>
      </c>
      <c r="D180" s="63">
        <v>9</v>
      </c>
      <c r="E180" s="66">
        <v>25</v>
      </c>
      <c r="F180" s="20">
        <f t="shared" si="16"/>
        <v>56484482</v>
      </c>
      <c r="G180" s="190">
        <v>0</v>
      </c>
      <c r="H180" s="190">
        <v>0</v>
      </c>
      <c r="I180" s="343">
        <f t="shared" si="12"/>
        <v>0</v>
      </c>
      <c r="J180" s="191">
        <v>0</v>
      </c>
      <c r="K180" s="192">
        <v>0</v>
      </c>
      <c r="L180" s="192">
        <v>0</v>
      </c>
      <c r="M180" s="48">
        <f t="shared" si="13"/>
        <v>56484482</v>
      </c>
      <c r="N180" s="193">
        <v>0</v>
      </c>
      <c r="O180" s="49"/>
      <c r="P180" s="50">
        <f t="shared" si="14"/>
        <v>56484482</v>
      </c>
      <c r="Q180" s="13">
        <f t="shared" si="17"/>
        <v>4254897</v>
      </c>
      <c r="R180" s="51">
        <f t="shared" si="15"/>
        <v>52229585</v>
      </c>
      <c r="S180" s="176">
        <f>BILLETAGE!Y181</f>
        <v>-56484482</v>
      </c>
      <c r="T180" s="67"/>
    </row>
    <row r="181" spans="1:20" ht="15.95" customHeight="1" x14ac:dyDescent="0.25">
      <c r="A181" s="63">
        <v>178</v>
      </c>
      <c r="B181" s="64">
        <v>46272</v>
      </c>
      <c r="C181" s="65" t="s">
        <v>206</v>
      </c>
      <c r="D181" s="63">
        <v>9</v>
      </c>
      <c r="E181" s="66">
        <v>25</v>
      </c>
      <c r="F181" s="20">
        <f t="shared" si="16"/>
        <v>56484482</v>
      </c>
      <c r="G181" s="190">
        <v>0</v>
      </c>
      <c r="H181" s="190">
        <v>0</v>
      </c>
      <c r="I181" s="343">
        <f t="shared" si="12"/>
        <v>0</v>
      </c>
      <c r="J181" s="191">
        <v>0</v>
      </c>
      <c r="K181" s="192">
        <v>0</v>
      </c>
      <c r="L181" s="192">
        <v>0</v>
      </c>
      <c r="M181" s="48">
        <f t="shared" si="13"/>
        <v>56484482</v>
      </c>
      <c r="N181" s="193">
        <v>0</v>
      </c>
      <c r="O181" s="49"/>
      <c r="P181" s="50">
        <f t="shared" si="14"/>
        <v>56484482</v>
      </c>
      <c r="Q181" s="13">
        <f t="shared" si="17"/>
        <v>4254897</v>
      </c>
      <c r="R181" s="51">
        <f t="shared" si="15"/>
        <v>52229585</v>
      </c>
      <c r="S181" s="176">
        <f>BILLETAGE!Y182</f>
        <v>-56484482</v>
      </c>
      <c r="T181" s="67"/>
    </row>
    <row r="182" spans="1:20" ht="15.95" customHeight="1" x14ac:dyDescent="0.25">
      <c r="A182" s="63">
        <v>179</v>
      </c>
      <c r="B182" s="64">
        <v>46273</v>
      </c>
      <c r="C182" s="65" t="s">
        <v>207</v>
      </c>
      <c r="D182" s="63">
        <v>9</v>
      </c>
      <c r="E182" s="66">
        <v>25</v>
      </c>
      <c r="F182" s="20">
        <f t="shared" si="16"/>
        <v>56484482</v>
      </c>
      <c r="G182" s="190">
        <v>0</v>
      </c>
      <c r="H182" s="190">
        <v>0</v>
      </c>
      <c r="I182" s="343">
        <f t="shared" si="12"/>
        <v>0</v>
      </c>
      <c r="J182" s="191">
        <v>0</v>
      </c>
      <c r="K182" s="192">
        <v>0</v>
      </c>
      <c r="L182" s="192">
        <v>0</v>
      </c>
      <c r="M182" s="48">
        <f t="shared" si="13"/>
        <v>56484482</v>
      </c>
      <c r="N182" s="193">
        <v>0</v>
      </c>
      <c r="O182" s="49"/>
      <c r="P182" s="50">
        <f t="shared" si="14"/>
        <v>56484482</v>
      </c>
      <c r="Q182" s="13">
        <f t="shared" si="17"/>
        <v>4254897</v>
      </c>
      <c r="R182" s="51">
        <f t="shared" si="15"/>
        <v>52229585</v>
      </c>
      <c r="S182" s="176">
        <f>BILLETAGE!Y183</f>
        <v>-56484482</v>
      </c>
      <c r="T182" s="67"/>
    </row>
    <row r="183" spans="1:20" ht="15.95" customHeight="1" x14ac:dyDescent="0.25">
      <c r="A183" s="63">
        <v>180</v>
      </c>
      <c r="B183" s="64">
        <v>46274</v>
      </c>
      <c r="C183" s="65" t="s">
        <v>208</v>
      </c>
      <c r="D183" s="63">
        <v>9</v>
      </c>
      <c r="E183" s="66">
        <v>25</v>
      </c>
      <c r="F183" s="20">
        <f t="shared" si="16"/>
        <v>56484482</v>
      </c>
      <c r="G183" s="190">
        <v>0</v>
      </c>
      <c r="H183" s="190">
        <v>0</v>
      </c>
      <c r="I183" s="343">
        <f t="shared" si="12"/>
        <v>0</v>
      </c>
      <c r="J183" s="191">
        <v>0</v>
      </c>
      <c r="K183" s="192">
        <v>0</v>
      </c>
      <c r="L183" s="192">
        <v>0</v>
      </c>
      <c r="M183" s="48">
        <f t="shared" si="13"/>
        <v>56484482</v>
      </c>
      <c r="N183" s="193">
        <v>0</v>
      </c>
      <c r="O183" s="49"/>
      <c r="P183" s="50">
        <f t="shared" si="14"/>
        <v>56484482</v>
      </c>
      <c r="Q183" s="13">
        <f t="shared" si="17"/>
        <v>4254897</v>
      </c>
      <c r="R183" s="51">
        <f t="shared" si="15"/>
        <v>52229585</v>
      </c>
      <c r="S183" s="176">
        <f>BILLETAGE!Y184</f>
        <v>-56484482</v>
      </c>
      <c r="T183" s="67"/>
    </row>
    <row r="184" spans="1:20" ht="15.95" customHeight="1" x14ac:dyDescent="0.25">
      <c r="A184" s="63">
        <v>181</v>
      </c>
      <c r="B184" s="64">
        <v>46275</v>
      </c>
      <c r="C184" s="65" t="s">
        <v>204</v>
      </c>
      <c r="D184" s="63">
        <v>9</v>
      </c>
      <c r="E184" s="66">
        <v>25</v>
      </c>
      <c r="F184" s="20">
        <f t="shared" si="16"/>
        <v>56484482</v>
      </c>
      <c r="G184" s="190">
        <v>0</v>
      </c>
      <c r="H184" s="190">
        <v>0</v>
      </c>
      <c r="I184" s="343">
        <f t="shared" si="12"/>
        <v>0</v>
      </c>
      <c r="J184" s="191">
        <v>0</v>
      </c>
      <c r="K184" s="192">
        <v>0</v>
      </c>
      <c r="L184" s="192">
        <v>0</v>
      </c>
      <c r="M184" s="48">
        <f t="shared" si="13"/>
        <v>56484482</v>
      </c>
      <c r="N184" s="193">
        <v>0</v>
      </c>
      <c r="O184" s="49"/>
      <c r="P184" s="50">
        <f t="shared" si="14"/>
        <v>56484482</v>
      </c>
      <c r="Q184" s="13">
        <f t="shared" si="17"/>
        <v>4254897</v>
      </c>
      <c r="R184" s="51">
        <f t="shared" si="15"/>
        <v>52229585</v>
      </c>
      <c r="S184" s="176">
        <f>BILLETAGE!Y185</f>
        <v>-56484482</v>
      </c>
      <c r="T184" s="67"/>
    </row>
    <row r="185" spans="1:20" ht="15.95" customHeight="1" x14ac:dyDescent="0.25">
      <c r="A185" s="63">
        <v>182</v>
      </c>
      <c r="B185" s="64">
        <v>46276</v>
      </c>
      <c r="C185" s="65" t="s">
        <v>205</v>
      </c>
      <c r="D185" s="63">
        <v>9</v>
      </c>
      <c r="E185" s="66">
        <v>26</v>
      </c>
      <c r="F185" s="20">
        <f t="shared" si="16"/>
        <v>56484482</v>
      </c>
      <c r="G185" s="190">
        <v>0</v>
      </c>
      <c r="H185" s="190">
        <v>0</v>
      </c>
      <c r="I185" s="343">
        <f t="shared" si="12"/>
        <v>0</v>
      </c>
      <c r="J185" s="191">
        <v>0</v>
      </c>
      <c r="K185" s="192">
        <v>0</v>
      </c>
      <c r="L185" s="192">
        <v>0</v>
      </c>
      <c r="M185" s="48">
        <f t="shared" si="13"/>
        <v>56484482</v>
      </c>
      <c r="N185" s="193">
        <v>0</v>
      </c>
      <c r="O185" s="49"/>
      <c r="P185" s="50">
        <f t="shared" si="14"/>
        <v>56484482</v>
      </c>
      <c r="Q185" s="13">
        <f t="shared" si="17"/>
        <v>4254897</v>
      </c>
      <c r="R185" s="51">
        <f t="shared" si="15"/>
        <v>52229585</v>
      </c>
      <c r="S185" s="176">
        <f>BILLETAGE!Y186</f>
        <v>-56484482</v>
      </c>
      <c r="T185" s="67"/>
    </row>
    <row r="186" spans="1:20" ht="15.95" customHeight="1" x14ac:dyDescent="0.25">
      <c r="A186" s="63">
        <v>183</v>
      </c>
      <c r="B186" s="64">
        <v>46279</v>
      </c>
      <c r="C186" s="65" t="s">
        <v>206</v>
      </c>
      <c r="D186" s="63">
        <v>9</v>
      </c>
      <c r="E186" s="66">
        <v>26</v>
      </c>
      <c r="F186" s="20">
        <f t="shared" si="16"/>
        <v>56484482</v>
      </c>
      <c r="G186" s="190">
        <v>0</v>
      </c>
      <c r="H186" s="190">
        <v>0</v>
      </c>
      <c r="I186" s="343">
        <f t="shared" si="12"/>
        <v>0</v>
      </c>
      <c r="J186" s="191">
        <v>0</v>
      </c>
      <c r="K186" s="192">
        <v>0</v>
      </c>
      <c r="L186" s="192">
        <v>0</v>
      </c>
      <c r="M186" s="48">
        <f t="shared" si="13"/>
        <v>56484482</v>
      </c>
      <c r="N186" s="193">
        <v>0</v>
      </c>
      <c r="O186" s="49"/>
      <c r="P186" s="50">
        <f t="shared" si="14"/>
        <v>56484482</v>
      </c>
      <c r="Q186" s="13">
        <f t="shared" si="17"/>
        <v>4254897</v>
      </c>
      <c r="R186" s="51">
        <f t="shared" si="15"/>
        <v>52229585</v>
      </c>
      <c r="S186" s="176">
        <f>BILLETAGE!Y187</f>
        <v>-56484482</v>
      </c>
      <c r="T186" s="67"/>
    </row>
    <row r="187" spans="1:20" ht="15.95" customHeight="1" x14ac:dyDescent="0.25">
      <c r="A187" s="63">
        <v>184</v>
      </c>
      <c r="B187" s="64">
        <v>46280</v>
      </c>
      <c r="C187" s="65" t="s">
        <v>207</v>
      </c>
      <c r="D187" s="63">
        <v>9</v>
      </c>
      <c r="E187" s="66">
        <v>26</v>
      </c>
      <c r="F187" s="20">
        <f t="shared" si="16"/>
        <v>56484482</v>
      </c>
      <c r="G187" s="190">
        <v>0</v>
      </c>
      <c r="H187" s="190">
        <v>0</v>
      </c>
      <c r="I187" s="343">
        <f t="shared" si="12"/>
        <v>0</v>
      </c>
      <c r="J187" s="191">
        <v>0</v>
      </c>
      <c r="K187" s="192">
        <v>0</v>
      </c>
      <c r="L187" s="192">
        <v>0</v>
      </c>
      <c r="M187" s="48">
        <f t="shared" si="13"/>
        <v>56484482</v>
      </c>
      <c r="N187" s="193">
        <v>0</v>
      </c>
      <c r="O187" s="49"/>
      <c r="P187" s="50">
        <f t="shared" si="14"/>
        <v>56484482</v>
      </c>
      <c r="Q187" s="13">
        <f t="shared" si="17"/>
        <v>4254897</v>
      </c>
      <c r="R187" s="51">
        <f t="shared" si="15"/>
        <v>52229585</v>
      </c>
      <c r="S187" s="176">
        <f>BILLETAGE!Y188</f>
        <v>-56484482</v>
      </c>
      <c r="T187" s="67"/>
    </row>
    <row r="188" spans="1:20" ht="15.95" customHeight="1" x14ac:dyDescent="0.25">
      <c r="A188" s="63">
        <v>185</v>
      </c>
      <c r="B188" s="64">
        <v>46281</v>
      </c>
      <c r="C188" s="65" t="s">
        <v>208</v>
      </c>
      <c r="D188" s="63">
        <v>9</v>
      </c>
      <c r="E188" s="66">
        <v>26</v>
      </c>
      <c r="F188" s="20">
        <f t="shared" si="16"/>
        <v>56484482</v>
      </c>
      <c r="G188" s="190">
        <v>0</v>
      </c>
      <c r="H188" s="190">
        <v>0</v>
      </c>
      <c r="I188" s="343">
        <f t="shared" si="12"/>
        <v>0</v>
      </c>
      <c r="J188" s="191">
        <v>0</v>
      </c>
      <c r="K188" s="192">
        <v>0</v>
      </c>
      <c r="L188" s="192">
        <v>0</v>
      </c>
      <c r="M188" s="48">
        <f t="shared" si="13"/>
        <v>56484482</v>
      </c>
      <c r="N188" s="193">
        <v>0</v>
      </c>
      <c r="O188" s="49"/>
      <c r="P188" s="50">
        <f t="shared" si="14"/>
        <v>56484482</v>
      </c>
      <c r="Q188" s="13">
        <f t="shared" si="17"/>
        <v>4254897</v>
      </c>
      <c r="R188" s="51">
        <f t="shared" si="15"/>
        <v>52229585</v>
      </c>
      <c r="S188" s="176">
        <f>BILLETAGE!Y189</f>
        <v>-56484482</v>
      </c>
      <c r="T188" s="67"/>
    </row>
    <row r="189" spans="1:20" ht="15.95" customHeight="1" x14ac:dyDescent="0.25">
      <c r="A189" s="63">
        <v>186</v>
      </c>
      <c r="B189" s="64">
        <v>46282</v>
      </c>
      <c r="C189" s="65" t="s">
        <v>204</v>
      </c>
      <c r="D189" s="63">
        <v>9</v>
      </c>
      <c r="E189" s="66">
        <v>26</v>
      </c>
      <c r="F189" s="20">
        <f t="shared" si="16"/>
        <v>56484482</v>
      </c>
      <c r="G189" s="190">
        <v>0</v>
      </c>
      <c r="H189" s="190">
        <v>0</v>
      </c>
      <c r="I189" s="343">
        <f t="shared" si="12"/>
        <v>0</v>
      </c>
      <c r="J189" s="191">
        <v>0</v>
      </c>
      <c r="K189" s="192">
        <v>0</v>
      </c>
      <c r="L189" s="192">
        <v>0</v>
      </c>
      <c r="M189" s="48">
        <f t="shared" si="13"/>
        <v>56484482</v>
      </c>
      <c r="N189" s="193">
        <v>0</v>
      </c>
      <c r="O189" s="49"/>
      <c r="P189" s="50">
        <f t="shared" si="14"/>
        <v>56484482</v>
      </c>
      <c r="Q189" s="13">
        <f t="shared" si="17"/>
        <v>4254897</v>
      </c>
      <c r="R189" s="51">
        <f t="shared" si="15"/>
        <v>52229585</v>
      </c>
      <c r="S189" s="176">
        <f>BILLETAGE!Y190</f>
        <v>-56484482</v>
      </c>
      <c r="T189" s="67"/>
    </row>
    <row r="190" spans="1:20" ht="15.95" customHeight="1" x14ac:dyDescent="0.25">
      <c r="A190" s="63">
        <v>187</v>
      </c>
      <c r="B190" s="64">
        <v>46283</v>
      </c>
      <c r="C190" s="65" t="s">
        <v>205</v>
      </c>
      <c r="D190" s="63">
        <v>9</v>
      </c>
      <c r="E190" s="66">
        <v>26</v>
      </c>
      <c r="F190" s="20">
        <f t="shared" si="16"/>
        <v>56484482</v>
      </c>
      <c r="G190" s="190">
        <v>0</v>
      </c>
      <c r="H190" s="190">
        <v>0</v>
      </c>
      <c r="I190" s="343">
        <f t="shared" si="12"/>
        <v>0</v>
      </c>
      <c r="J190" s="191">
        <v>0</v>
      </c>
      <c r="K190" s="192">
        <v>0</v>
      </c>
      <c r="L190" s="192">
        <v>0</v>
      </c>
      <c r="M190" s="48">
        <f t="shared" si="13"/>
        <v>56484482</v>
      </c>
      <c r="N190" s="193">
        <v>0</v>
      </c>
      <c r="O190" s="49"/>
      <c r="P190" s="50">
        <f t="shared" si="14"/>
        <v>56484482</v>
      </c>
      <c r="Q190" s="13">
        <f t="shared" si="17"/>
        <v>4254897</v>
      </c>
      <c r="R190" s="51">
        <f t="shared" si="15"/>
        <v>52229585</v>
      </c>
      <c r="S190" s="176">
        <f>BILLETAGE!Y191</f>
        <v>-56484482</v>
      </c>
      <c r="T190" s="67"/>
    </row>
    <row r="191" spans="1:20" ht="15.95" customHeight="1" x14ac:dyDescent="0.25">
      <c r="A191" s="63">
        <v>188</v>
      </c>
      <c r="B191" s="64">
        <v>46286</v>
      </c>
      <c r="C191" s="65" t="s">
        <v>206</v>
      </c>
      <c r="D191" s="63">
        <v>9</v>
      </c>
      <c r="E191" s="66">
        <v>27</v>
      </c>
      <c r="F191" s="20">
        <f t="shared" si="16"/>
        <v>56484482</v>
      </c>
      <c r="G191" s="190">
        <v>0</v>
      </c>
      <c r="H191" s="190">
        <v>0</v>
      </c>
      <c r="I191" s="343">
        <f t="shared" si="12"/>
        <v>0</v>
      </c>
      <c r="J191" s="191">
        <v>0</v>
      </c>
      <c r="K191" s="192">
        <v>0</v>
      </c>
      <c r="L191" s="192">
        <v>0</v>
      </c>
      <c r="M191" s="48">
        <f t="shared" si="13"/>
        <v>56484482</v>
      </c>
      <c r="N191" s="193">
        <v>0</v>
      </c>
      <c r="O191" s="49"/>
      <c r="P191" s="50">
        <f t="shared" si="14"/>
        <v>56484482</v>
      </c>
      <c r="Q191" s="13">
        <f t="shared" si="17"/>
        <v>4254897</v>
      </c>
      <c r="R191" s="51">
        <f t="shared" si="15"/>
        <v>52229585</v>
      </c>
      <c r="S191" s="176">
        <f>BILLETAGE!Y192</f>
        <v>-56484482</v>
      </c>
      <c r="T191" s="67"/>
    </row>
    <row r="192" spans="1:20" ht="15.95" customHeight="1" x14ac:dyDescent="0.25">
      <c r="A192" s="63">
        <v>189</v>
      </c>
      <c r="B192" s="64">
        <v>46287</v>
      </c>
      <c r="C192" s="65" t="s">
        <v>207</v>
      </c>
      <c r="D192" s="63">
        <v>9</v>
      </c>
      <c r="E192" s="66">
        <v>27</v>
      </c>
      <c r="F192" s="20">
        <f t="shared" si="16"/>
        <v>56484482</v>
      </c>
      <c r="G192" s="190">
        <v>0</v>
      </c>
      <c r="H192" s="190">
        <v>0</v>
      </c>
      <c r="I192" s="343">
        <f t="shared" si="12"/>
        <v>0</v>
      </c>
      <c r="J192" s="191">
        <v>0</v>
      </c>
      <c r="K192" s="192">
        <v>0</v>
      </c>
      <c r="L192" s="192">
        <v>0</v>
      </c>
      <c r="M192" s="48">
        <f t="shared" si="13"/>
        <v>56484482</v>
      </c>
      <c r="N192" s="193">
        <v>0</v>
      </c>
      <c r="O192" s="49"/>
      <c r="P192" s="50">
        <f t="shared" si="14"/>
        <v>56484482</v>
      </c>
      <c r="Q192" s="13">
        <f t="shared" si="17"/>
        <v>4254897</v>
      </c>
      <c r="R192" s="51">
        <f t="shared" si="15"/>
        <v>52229585</v>
      </c>
      <c r="S192" s="176">
        <f>BILLETAGE!Y193</f>
        <v>-56484482</v>
      </c>
      <c r="T192" s="67"/>
    </row>
    <row r="193" spans="1:20" ht="15.95" customHeight="1" x14ac:dyDescent="0.25">
      <c r="A193" s="63">
        <v>190</v>
      </c>
      <c r="B193" s="64">
        <v>46288</v>
      </c>
      <c r="C193" s="65" t="s">
        <v>208</v>
      </c>
      <c r="D193" s="63">
        <v>9</v>
      </c>
      <c r="E193" s="66">
        <v>27</v>
      </c>
      <c r="F193" s="20">
        <f t="shared" si="16"/>
        <v>56484482</v>
      </c>
      <c r="G193" s="190">
        <v>0</v>
      </c>
      <c r="H193" s="190">
        <v>0</v>
      </c>
      <c r="I193" s="343">
        <f t="shared" si="12"/>
        <v>0</v>
      </c>
      <c r="J193" s="191">
        <v>0</v>
      </c>
      <c r="K193" s="192">
        <v>0</v>
      </c>
      <c r="L193" s="192">
        <v>0</v>
      </c>
      <c r="M193" s="48">
        <f t="shared" si="13"/>
        <v>56484482</v>
      </c>
      <c r="N193" s="193">
        <v>0</v>
      </c>
      <c r="O193" s="49"/>
      <c r="P193" s="50">
        <f t="shared" si="14"/>
        <v>56484482</v>
      </c>
      <c r="Q193" s="13">
        <f t="shared" si="17"/>
        <v>4254897</v>
      </c>
      <c r="R193" s="51">
        <f t="shared" si="15"/>
        <v>52229585</v>
      </c>
      <c r="S193" s="176">
        <f>BILLETAGE!Y194</f>
        <v>-56484482</v>
      </c>
      <c r="T193" s="67"/>
    </row>
    <row r="194" spans="1:20" ht="15.95" customHeight="1" x14ac:dyDescent="0.25">
      <c r="A194" s="63">
        <v>191</v>
      </c>
      <c r="B194" s="64">
        <v>46289</v>
      </c>
      <c r="C194" s="65" t="s">
        <v>204</v>
      </c>
      <c r="D194" s="63">
        <v>9</v>
      </c>
      <c r="E194" s="66">
        <v>27</v>
      </c>
      <c r="F194" s="20">
        <f t="shared" si="16"/>
        <v>56484482</v>
      </c>
      <c r="G194" s="190">
        <v>0</v>
      </c>
      <c r="H194" s="190">
        <v>0</v>
      </c>
      <c r="I194" s="343">
        <f t="shared" si="12"/>
        <v>0</v>
      </c>
      <c r="J194" s="191">
        <v>0</v>
      </c>
      <c r="K194" s="192">
        <v>0</v>
      </c>
      <c r="L194" s="192">
        <v>0</v>
      </c>
      <c r="M194" s="48">
        <f t="shared" si="13"/>
        <v>56484482</v>
      </c>
      <c r="N194" s="193">
        <v>0</v>
      </c>
      <c r="O194" s="49"/>
      <c r="P194" s="50">
        <f t="shared" si="14"/>
        <v>56484482</v>
      </c>
      <c r="Q194" s="13">
        <f t="shared" si="17"/>
        <v>4254897</v>
      </c>
      <c r="R194" s="51">
        <f t="shared" si="15"/>
        <v>52229585</v>
      </c>
      <c r="S194" s="176">
        <f>BILLETAGE!Y195</f>
        <v>-56484482</v>
      </c>
      <c r="T194" s="67"/>
    </row>
    <row r="195" spans="1:20" ht="15.95" customHeight="1" x14ac:dyDescent="0.25">
      <c r="A195" s="63">
        <v>192</v>
      </c>
      <c r="B195" s="64">
        <v>46290</v>
      </c>
      <c r="C195" s="65" t="s">
        <v>205</v>
      </c>
      <c r="D195" s="63">
        <v>9</v>
      </c>
      <c r="E195" s="66">
        <v>27</v>
      </c>
      <c r="F195" s="20">
        <f t="shared" si="16"/>
        <v>56484482</v>
      </c>
      <c r="G195" s="190">
        <v>0</v>
      </c>
      <c r="H195" s="190">
        <v>0</v>
      </c>
      <c r="I195" s="343">
        <f t="shared" si="12"/>
        <v>0</v>
      </c>
      <c r="J195" s="191">
        <v>0</v>
      </c>
      <c r="K195" s="192">
        <v>0</v>
      </c>
      <c r="L195" s="192">
        <v>0</v>
      </c>
      <c r="M195" s="48">
        <f t="shared" si="13"/>
        <v>56484482</v>
      </c>
      <c r="N195" s="193">
        <v>0</v>
      </c>
      <c r="O195" s="49"/>
      <c r="P195" s="50">
        <f t="shared" si="14"/>
        <v>56484482</v>
      </c>
      <c r="Q195" s="13">
        <f t="shared" si="17"/>
        <v>4254897</v>
      </c>
      <c r="R195" s="51">
        <f t="shared" si="15"/>
        <v>52229585</v>
      </c>
      <c r="S195" s="176">
        <f>BILLETAGE!Y196</f>
        <v>-56484482</v>
      </c>
      <c r="T195" s="67"/>
    </row>
    <row r="196" spans="1:20" ht="15.95" customHeight="1" x14ac:dyDescent="0.25">
      <c r="A196" s="63">
        <v>193</v>
      </c>
      <c r="B196" s="64">
        <v>46293</v>
      </c>
      <c r="C196" s="65" t="s">
        <v>206</v>
      </c>
      <c r="D196" s="63">
        <v>9</v>
      </c>
      <c r="E196" s="66">
        <v>27</v>
      </c>
      <c r="F196" s="20">
        <f t="shared" si="16"/>
        <v>56484482</v>
      </c>
      <c r="G196" s="190">
        <v>0</v>
      </c>
      <c r="H196" s="190">
        <v>0</v>
      </c>
      <c r="I196" s="343">
        <f t="shared" ref="I196:I260" si="18">G196+H196</f>
        <v>0</v>
      </c>
      <c r="J196" s="191">
        <v>0</v>
      </c>
      <c r="K196" s="192">
        <v>0</v>
      </c>
      <c r="L196" s="192">
        <v>0</v>
      </c>
      <c r="M196" s="48">
        <f t="shared" ref="M196:M264" si="19">F196+I196-J196</f>
        <v>56484482</v>
      </c>
      <c r="N196" s="193">
        <v>0</v>
      </c>
      <c r="O196" s="49"/>
      <c r="P196" s="50">
        <f t="shared" ref="P196:P264" si="20">M196+N196</f>
        <v>56484482</v>
      </c>
      <c r="Q196" s="13">
        <f t="shared" si="17"/>
        <v>4254897</v>
      </c>
      <c r="R196" s="51">
        <f t="shared" ref="R196:R259" si="21">P196-Q196</f>
        <v>52229585</v>
      </c>
      <c r="S196" s="176">
        <f>BILLETAGE!Y197</f>
        <v>-56484482</v>
      </c>
      <c r="T196" s="67"/>
    </row>
    <row r="197" spans="1:20" ht="15.95" customHeight="1" x14ac:dyDescent="0.25">
      <c r="A197" s="63">
        <v>194</v>
      </c>
      <c r="B197" s="64">
        <v>46294</v>
      </c>
      <c r="C197" s="65" t="s">
        <v>207</v>
      </c>
      <c r="D197" s="63">
        <v>9</v>
      </c>
      <c r="E197" s="66">
        <v>27</v>
      </c>
      <c r="F197" s="20">
        <f t="shared" ref="F197:F264" si="22">P196</f>
        <v>56484482</v>
      </c>
      <c r="G197" s="190">
        <v>0</v>
      </c>
      <c r="H197" s="190">
        <v>0</v>
      </c>
      <c r="I197" s="343">
        <f t="shared" si="18"/>
        <v>0</v>
      </c>
      <c r="J197" s="191">
        <v>0</v>
      </c>
      <c r="K197" s="192">
        <v>0</v>
      </c>
      <c r="L197" s="192">
        <v>0</v>
      </c>
      <c r="M197" s="48">
        <f t="shared" si="19"/>
        <v>56484482</v>
      </c>
      <c r="N197" s="193">
        <v>0</v>
      </c>
      <c r="O197" s="49"/>
      <c r="P197" s="50">
        <f t="shared" si="20"/>
        <v>56484482</v>
      </c>
      <c r="Q197" s="13">
        <f t="shared" ref="Q197:Q264" si="23">Q196+K197-L197</f>
        <v>4254897</v>
      </c>
      <c r="R197" s="51">
        <f t="shared" si="21"/>
        <v>52229585</v>
      </c>
      <c r="S197" s="176">
        <f>BILLETAGE!Y198</f>
        <v>-56484482</v>
      </c>
      <c r="T197" s="67"/>
    </row>
    <row r="198" spans="1:20" ht="15.95" customHeight="1" x14ac:dyDescent="0.25">
      <c r="A198" s="63">
        <v>195</v>
      </c>
      <c r="B198" s="64">
        <v>46295</v>
      </c>
      <c r="C198" s="65" t="s">
        <v>208</v>
      </c>
      <c r="D198" s="63">
        <v>9</v>
      </c>
      <c r="E198" s="66">
        <v>27</v>
      </c>
      <c r="F198" s="20">
        <f t="shared" si="22"/>
        <v>56484482</v>
      </c>
      <c r="G198" s="190">
        <v>0</v>
      </c>
      <c r="H198" s="190">
        <v>0</v>
      </c>
      <c r="I198" s="343">
        <f t="shared" si="18"/>
        <v>0</v>
      </c>
      <c r="J198" s="191">
        <v>0</v>
      </c>
      <c r="K198" s="192">
        <v>0</v>
      </c>
      <c r="L198" s="192">
        <v>0</v>
      </c>
      <c r="M198" s="48">
        <f t="shared" si="19"/>
        <v>56484482</v>
      </c>
      <c r="N198" s="193">
        <v>0</v>
      </c>
      <c r="O198" s="49"/>
      <c r="P198" s="50">
        <f t="shared" si="20"/>
        <v>56484482</v>
      </c>
      <c r="Q198" s="13">
        <f t="shared" si="23"/>
        <v>4254897</v>
      </c>
      <c r="R198" s="51">
        <f t="shared" si="21"/>
        <v>52229585</v>
      </c>
      <c r="S198" s="176">
        <f>BILLETAGE!Y199</f>
        <v>-56484482</v>
      </c>
      <c r="T198" s="67"/>
    </row>
    <row r="199" spans="1:20" ht="15.95" customHeight="1" x14ac:dyDescent="0.25">
      <c r="A199" s="68">
        <v>196</v>
      </c>
      <c r="B199" s="69">
        <v>46296</v>
      </c>
      <c r="C199" s="70" t="s">
        <v>204</v>
      </c>
      <c r="D199" s="68">
        <v>10</v>
      </c>
      <c r="E199" s="71">
        <v>28</v>
      </c>
      <c r="F199" s="24">
        <f t="shared" si="22"/>
        <v>56484482</v>
      </c>
      <c r="G199" s="190">
        <v>0</v>
      </c>
      <c r="H199" s="190">
        <v>0</v>
      </c>
      <c r="I199" s="343">
        <f t="shared" si="18"/>
        <v>0</v>
      </c>
      <c r="J199" s="191">
        <v>0</v>
      </c>
      <c r="K199" s="192">
        <v>0</v>
      </c>
      <c r="L199" s="192">
        <v>0</v>
      </c>
      <c r="M199" s="48">
        <f t="shared" si="19"/>
        <v>56484482</v>
      </c>
      <c r="N199" s="193">
        <v>0</v>
      </c>
      <c r="O199" s="49"/>
      <c r="P199" s="50">
        <f t="shared" si="20"/>
        <v>56484482</v>
      </c>
      <c r="Q199" s="13">
        <f t="shared" si="23"/>
        <v>4254897</v>
      </c>
      <c r="R199" s="51">
        <f t="shared" si="21"/>
        <v>52229585</v>
      </c>
      <c r="S199" s="176">
        <f>BILLETAGE!Y200</f>
        <v>-56484482</v>
      </c>
      <c r="T199" s="72"/>
    </row>
    <row r="200" spans="1:20" ht="15.95" customHeight="1" x14ac:dyDescent="0.25">
      <c r="A200" s="68">
        <v>197</v>
      </c>
      <c r="B200" s="69">
        <v>46297</v>
      </c>
      <c r="C200" s="70" t="s">
        <v>205</v>
      </c>
      <c r="D200" s="68">
        <v>10</v>
      </c>
      <c r="E200" s="71">
        <v>28</v>
      </c>
      <c r="F200" s="24">
        <f t="shared" si="22"/>
        <v>56484482</v>
      </c>
      <c r="G200" s="190">
        <v>0</v>
      </c>
      <c r="H200" s="190">
        <v>0</v>
      </c>
      <c r="I200" s="343">
        <f t="shared" si="18"/>
        <v>0</v>
      </c>
      <c r="J200" s="191">
        <v>0</v>
      </c>
      <c r="K200" s="192">
        <v>0</v>
      </c>
      <c r="L200" s="192">
        <v>0</v>
      </c>
      <c r="M200" s="48">
        <f t="shared" si="19"/>
        <v>56484482</v>
      </c>
      <c r="N200" s="193">
        <v>0</v>
      </c>
      <c r="O200" s="49"/>
      <c r="P200" s="50">
        <f t="shared" si="20"/>
        <v>56484482</v>
      </c>
      <c r="Q200" s="13">
        <f t="shared" si="23"/>
        <v>4254897</v>
      </c>
      <c r="R200" s="51">
        <f t="shared" si="21"/>
        <v>52229585</v>
      </c>
      <c r="S200" s="176">
        <f>BILLETAGE!Y201</f>
        <v>-56484482</v>
      </c>
      <c r="T200" s="72"/>
    </row>
    <row r="201" spans="1:20" ht="15.95" customHeight="1" x14ac:dyDescent="0.25">
      <c r="A201" s="68">
        <v>198</v>
      </c>
      <c r="B201" s="69">
        <v>46300</v>
      </c>
      <c r="C201" s="70" t="s">
        <v>206</v>
      </c>
      <c r="D201" s="68">
        <v>10</v>
      </c>
      <c r="E201" s="71">
        <v>28</v>
      </c>
      <c r="F201" s="24">
        <f t="shared" si="22"/>
        <v>56484482</v>
      </c>
      <c r="G201" s="190">
        <v>0</v>
      </c>
      <c r="H201" s="190">
        <v>0</v>
      </c>
      <c r="I201" s="343">
        <f t="shared" si="18"/>
        <v>0</v>
      </c>
      <c r="J201" s="191">
        <v>0</v>
      </c>
      <c r="K201" s="192">
        <v>0</v>
      </c>
      <c r="L201" s="192">
        <v>0</v>
      </c>
      <c r="M201" s="48">
        <f t="shared" si="19"/>
        <v>56484482</v>
      </c>
      <c r="N201" s="193">
        <v>0</v>
      </c>
      <c r="O201" s="49"/>
      <c r="P201" s="50">
        <f t="shared" si="20"/>
        <v>56484482</v>
      </c>
      <c r="Q201" s="13">
        <f t="shared" si="23"/>
        <v>4254897</v>
      </c>
      <c r="R201" s="51">
        <f t="shared" si="21"/>
        <v>52229585</v>
      </c>
      <c r="S201" s="176">
        <f>BILLETAGE!Y202</f>
        <v>-56484482</v>
      </c>
      <c r="T201" s="72"/>
    </row>
    <row r="202" spans="1:20" ht="15.95" customHeight="1" x14ac:dyDescent="0.25">
      <c r="A202" s="68">
        <v>199</v>
      </c>
      <c r="B202" s="69">
        <v>46301</v>
      </c>
      <c r="C202" s="70" t="s">
        <v>207</v>
      </c>
      <c r="D202" s="68">
        <v>10</v>
      </c>
      <c r="E202" s="71">
        <v>28</v>
      </c>
      <c r="F202" s="24">
        <f t="shared" si="22"/>
        <v>56484482</v>
      </c>
      <c r="G202" s="190">
        <v>0</v>
      </c>
      <c r="H202" s="190">
        <v>0</v>
      </c>
      <c r="I202" s="343">
        <f t="shared" si="18"/>
        <v>0</v>
      </c>
      <c r="J202" s="191">
        <v>0</v>
      </c>
      <c r="K202" s="192">
        <v>0</v>
      </c>
      <c r="L202" s="192">
        <v>0</v>
      </c>
      <c r="M202" s="48">
        <f t="shared" si="19"/>
        <v>56484482</v>
      </c>
      <c r="N202" s="193">
        <v>0</v>
      </c>
      <c r="O202" s="49"/>
      <c r="P202" s="50">
        <f t="shared" si="20"/>
        <v>56484482</v>
      </c>
      <c r="Q202" s="13">
        <f t="shared" si="23"/>
        <v>4254897</v>
      </c>
      <c r="R202" s="51">
        <f t="shared" si="21"/>
        <v>52229585</v>
      </c>
      <c r="S202" s="176">
        <f>BILLETAGE!Y203</f>
        <v>-56484482</v>
      </c>
      <c r="T202" s="72"/>
    </row>
    <row r="203" spans="1:20" ht="15.95" customHeight="1" x14ac:dyDescent="0.25">
      <c r="A203" s="68">
        <v>200</v>
      </c>
      <c r="B203" s="69">
        <v>46302</v>
      </c>
      <c r="C203" s="70" t="s">
        <v>208</v>
      </c>
      <c r="D203" s="68">
        <v>10</v>
      </c>
      <c r="E203" s="71">
        <v>28</v>
      </c>
      <c r="F203" s="24">
        <f t="shared" si="22"/>
        <v>56484482</v>
      </c>
      <c r="G203" s="190">
        <v>0</v>
      </c>
      <c r="H203" s="190">
        <v>0</v>
      </c>
      <c r="I203" s="343">
        <f t="shared" si="18"/>
        <v>0</v>
      </c>
      <c r="J203" s="191">
        <v>0</v>
      </c>
      <c r="K203" s="192">
        <v>0</v>
      </c>
      <c r="L203" s="192">
        <v>0</v>
      </c>
      <c r="M203" s="48">
        <f t="shared" si="19"/>
        <v>56484482</v>
      </c>
      <c r="N203" s="193">
        <v>0</v>
      </c>
      <c r="O203" s="49"/>
      <c r="P203" s="50">
        <f t="shared" si="20"/>
        <v>56484482</v>
      </c>
      <c r="Q203" s="13">
        <f t="shared" si="23"/>
        <v>4254897</v>
      </c>
      <c r="R203" s="51">
        <f t="shared" si="21"/>
        <v>52229585</v>
      </c>
      <c r="S203" s="176">
        <f>BILLETAGE!Y204</f>
        <v>-56484482</v>
      </c>
      <c r="T203" s="72"/>
    </row>
    <row r="204" spans="1:20" ht="15.95" customHeight="1" x14ac:dyDescent="0.25">
      <c r="A204" s="68">
        <v>201</v>
      </c>
      <c r="B204" s="69">
        <v>46303</v>
      </c>
      <c r="C204" s="70" t="s">
        <v>204</v>
      </c>
      <c r="D204" s="68">
        <v>10</v>
      </c>
      <c r="E204" s="71">
        <v>28</v>
      </c>
      <c r="F204" s="24">
        <f t="shared" si="22"/>
        <v>56484482</v>
      </c>
      <c r="G204" s="190">
        <v>0</v>
      </c>
      <c r="H204" s="190">
        <v>0</v>
      </c>
      <c r="I204" s="343">
        <f t="shared" si="18"/>
        <v>0</v>
      </c>
      <c r="J204" s="191">
        <v>0</v>
      </c>
      <c r="K204" s="192">
        <v>0</v>
      </c>
      <c r="L204" s="192">
        <v>0</v>
      </c>
      <c r="M204" s="48">
        <f t="shared" si="19"/>
        <v>56484482</v>
      </c>
      <c r="N204" s="193">
        <v>0</v>
      </c>
      <c r="O204" s="49"/>
      <c r="P204" s="50">
        <f t="shared" si="20"/>
        <v>56484482</v>
      </c>
      <c r="Q204" s="13">
        <f t="shared" si="23"/>
        <v>4254897</v>
      </c>
      <c r="R204" s="51">
        <f t="shared" si="21"/>
        <v>52229585</v>
      </c>
      <c r="S204" s="176">
        <f>BILLETAGE!Y205</f>
        <v>-56484482</v>
      </c>
      <c r="T204" s="72"/>
    </row>
    <row r="205" spans="1:20" ht="15.95" customHeight="1" x14ac:dyDescent="0.25">
      <c r="A205" s="68">
        <v>202</v>
      </c>
      <c r="B205" s="69">
        <v>46304</v>
      </c>
      <c r="C205" s="70" t="s">
        <v>205</v>
      </c>
      <c r="D205" s="68">
        <v>10</v>
      </c>
      <c r="E205" s="71">
        <v>28</v>
      </c>
      <c r="F205" s="24">
        <f t="shared" si="22"/>
        <v>56484482</v>
      </c>
      <c r="G205" s="190">
        <v>0</v>
      </c>
      <c r="H205" s="190">
        <v>0</v>
      </c>
      <c r="I205" s="343">
        <f t="shared" si="18"/>
        <v>0</v>
      </c>
      <c r="J205" s="191">
        <v>0</v>
      </c>
      <c r="K205" s="192">
        <v>0</v>
      </c>
      <c r="L205" s="192">
        <v>0</v>
      </c>
      <c r="M205" s="48">
        <f t="shared" si="19"/>
        <v>56484482</v>
      </c>
      <c r="N205" s="193">
        <v>0</v>
      </c>
      <c r="O205" s="49"/>
      <c r="P205" s="50">
        <f t="shared" si="20"/>
        <v>56484482</v>
      </c>
      <c r="Q205" s="13">
        <f t="shared" si="23"/>
        <v>4254897</v>
      </c>
      <c r="R205" s="51">
        <f t="shared" si="21"/>
        <v>52229585</v>
      </c>
      <c r="S205" s="176">
        <f>BILLETAGE!Y206</f>
        <v>-56484482</v>
      </c>
      <c r="T205" s="72"/>
    </row>
    <row r="206" spans="1:20" ht="15.95" customHeight="1" x14ac:dyDescent="0.25">
      <c r="A206" s="68">
        <v>203</v>
      </c>
      <c r="B206" s="69">
        <v>46307</v>
      </c>
      <c r="C206" s="70" t="s">
        <v>206</v>
      </c>
      <c r="D206" s="68">
        <v>10</v>
      </c>
      <c r="E206" s="71">
        <v>29</v>
      </c>
      <c r="F206" s="24">
        <f t="shared" si="22"/>
        <v>56484482</v>
      </c>
      <c r="G206" s="190">
        <v>0</v>
      </c>
      <c r="H206" s="190">
        <v>0</v>
      </c>
      <c r="I206" s="343">
        <f t="shared" si="18"/>
        <v>0</v>
      </c>
      <c r="J206" s="191">
        <v>0</v>
      </c>
      <c r="K206" s="192">
        <v>0</v>
      </c>
      <c r="L206" s="192">
        <v>0</v>
      </c>
      <c r="M206" s="48">
        <f t="shared" si="19"/>
        <v>56484482</v>
      </c>
      <c r="N206" s="193">
        <v>0</v>
      </c>
      <c r="O206" s="49"/>
      <c r="P206" s="50">
        <f t="shared" si="20"/>
        <v>56484482</v>
      </c>
      <c r="Q206" s="13">
        <f t="shared" si="23"/>
        <v>4254897</v>
      </c>
      <c r="R206" s="51">
        <f t="shared" si="21"/>
        <v>52229585</v>
      </c>
      <c r="S206" s="176">
        <f>BILLETAGE!Y207</f>
        <v>-56484482</v>
      </c>
      <c r="T206" s="72"/>
    </row>
    <row r="207" spans="1:20" ht="15.95" customHeight="1" x14ac:dyDescent="0.25">
      <c r="A207" s="68">
        <v>204</v>
      </c>
      <c r="B207" s="69">
        <v>46308</v>
      </c>
      <c r="C207" s="70" t="s">
        <v>207</v>
      </c>
      <c r="D207" s="68">
        <v>10</v>
      </c>
      <c r="E207" s="71">
        <v>29</v>
      </c>
      <c r="F207" s="24">
        <f t="shared" si="22"/>
        <v>56484482</v>
      </c>
      <c r="G207" s="190">
        <v>0</v>
      </c>
      <c r="H207" s="190">
        <v>0</v>
      </c>
      <c r="I207" s="343">
        <f t="shared" si="18"/>
        <v>0</v>
      </c>
      <c r="J207" s="191">
        <v>0</v>
      </c>
      <c r="K207" s="192">
        <v>0</v>
      </c>
      <c r="L207" s="192">
        <v>0</v>
      </c>
      <c r="M207" s="48">
        <f t="shared" si="19"/>
        <v>56484482</v>
      </c>
      <c r="N207" s="193">
        <v>0</v>
      </c>
      <c r="O207" s="49"/>
      <c r="P207" s="50">
        <f t="shared" si="20"/>
        <v>56484482</v>
      </c>
      <c r="Q207" s="13">
        <f t="shared" si="23"/>
        <v>4254897</v>
      </c>
      <c r="R207" s="51">
        <f t="shared" si="21"/>
        <v>52229585</v>
      </c>
      <c r="S207" s="176">
        <f>BILLETAGE!Y208</f>
        <v>-56484482</v>
      </c>
      <c r="T207" s="72"/>
    </row>
    <row r="208" spans="1:20" ht="15.95" customHeight="1" x14ac:dyDescent="0.25">
      <c r="A208" s="68">
        <v>205</v>
      </c>
      <c r="B208" s="69">
        <v>46309</v>
      </c>
      <c r="C208" s="70" t="s">
        <v>208</v>
      </c>
      <c r="D208" s="68">
        <v>10</v>
      </c>
      <c r="E208" s="71">
        <v>29</v>
      </c>
      <c r="F208" s="24">
        <f t="shared" si="22"/>
        <v>56484482</v>
      </c>
      <c r="G208" s="190">
        <v>0</v>
      </c>
      <c r="H208" s="190">
        <v>0</v>
      </c>
      <c r="I208" s="343">
        <f t="shared" si="18"/>
        <v>0</v>
      </c>
      <c r="J208" s="191">
        <v>0</v>
      </c>
      <c r="K208" s="192">
        <v>0</v>
      </c>
      <c r="L208" s="192">
        <v>0</v>
      </c>
      <c r="M208" s="48">
        <f t="shared" si="19"/>
        <v>56484482</v>
      </c>
      <c r="N208" s="193">
        <v>0</v>
      </c>
      <c r="O208" s="49"/>
      <c r="P208" s="50">
        <f t="shared" si="20"/>
        <v>56484482</v>
      </c>
      <c r="Q208" s="13">
        <f t="shared" si="23"/>
        <v>4254897</v>
      </c>
      <c r="R208" s="51">
        <f t="shared" si="21"/>
        <v>52229585</v>
      </c>
      <c r="S208" s="176">
        <f>BILLETAGE!Y209</f>
        <v>-56484482</v>
      </c>
      <c r="T208" s="72"/>
    </row>
    <row r="209" spans="1:20" ht="15.95" customHeight="1" x14ac:dyDescent="0.25">
      <c r="A209" s="68">
        <v>206</v>
      </c>
      <c r="B209" s="69">
        <v>46310</v>
      </c>
      <c r="C209" s="70" t="s">
        <v>204</v>
      </c>
      <c r="D209" s="68">
        <v>10</v>
      </c>
      <c r="E209" s="71">
        <v>29</v>
      </c>
      <c r="F209" s="24">
        <f t="shared" si="22"/>
        <v>56484482</v>
      </c>
      <c r="G209" s="190">
        <v>0</v>
      </c>
      <c r="H209" s="190">
        <v>0</v>
      </c>
      <c r="I209" s="343">
        <f t="shared" si="18"/>
        <v>0</v>
      </c>
      <c r="J209" s="191">
        <v>0</v>
      </c>
      <c r="K209" s="192">
        <v>0</v>
      </c>
      <c r="L209" s="192">
        <v>0</v>
      </c>
      <c r="M209" s="48">
        <f t="shared" si="19"/>
        <v>56484482</v>
      </c>
      <c r="N209" s="193">
        <v>0</v>
      </c>
      <c r="O209" s="49"/>
      <c r="P209" s="50">
        <f t="shared" si="20"/>
        <v>56484482</v>
      </c>
      <c r="Q209" s="13">
        <f t="shared" si="23"/>
        <v>4254897</v>
      </c>
      <c r="R209" s="51">
        <f t="shared" si="21"/>
        <v>52229585</v>
      </c>
      <c r="S209" s="176">
        <f>BILLETAGE!Y210</f>
        <v>-56484482</v>
      </c>
      <c r="T209" s="72"/>
    </row>
    <row r="210" spans="1:20" ht="15.95" customHeight="1" x14ac:dyDescent="0.25">
      <c r="A210" s="68">
        <v>207</v>
      </c>
      <c r="B210" s="69">
        <v>46311</v>
      </c>
      <c r="C210" s="70" t="s">
        <v>205</v>
      </c>
      <c r="D210" s="68">
        <v>10</v>
      </c>
      <c r="E210" s="71">
        <v>29</v>
      </c>
      <c r="F210" s="24">
        <f t="shared" si="22"/>
        <v>56484482</v>
      </c>
      <c r="G210" s="190">
        <v>0</v>
      </c>
      <c r="H210" s="190">
        <v>0</v>
      </c>
      <c r="I210" s="343">
        <f t="shared" si="18"/>
        <v>0</v>
      </c>
      <c r="J210" s="191">
        <v>0</v>
      </c>
      <c r="K210" s="192">
        <v>0</v>
      </c>
      <c r="L210" s="192">
        <v>0</v>
      </c>
      <c r="M210" s="48">
        <f t="shared" si="19"/>
        <v>56484482</v>
      </c>
      <c r="N210" s="193">
        <v>0</v>
      </c>
      <c r="O210" s="49"/>
      <c r="P210" s="50">
        <f t="shared" si="20"/>
        <v>56484482</v>
      </c>
      <c r="Q210" s="13">
        <f t="shared" si="23"/>
        <v>4254897</v>
      </c>
      <c r="R210" s="51">
        <f t="shared" si="21"/>
        <v>52229585</v>
      </c>
      <c r="S210" s="176">
        <f>BILLETAGE!Y211</f>
        <v>-56484482</v>
      </c>
      <c r="T210" s="72"/>
    </row>
    <row r="211" spans="1:20" ht="15.95" customHeight="1" x14ac:dyDescent="0.25">
      <c r="A211" s="68">
        <v>208</v>
      </c>
      <c r="B211" s="69">
        <v>46314</v>
      </c>
      <c r="C211" s="70" t="s">
        <v>206</v>
      </c>
      <c r="D211" s="68">
        <v>10</v>
      </c>
      <c r="E211" s="71">
        <v>29</v>
      </c>
      <c r="F211" s="24">
        <f t="shared" si="22"/>
        <v>56484482</v>
      </c>
      <c r="G211" s="190">
        <v>0</v>
      </c>
      <c r="H211" s="190">
        <v>0</v>
      </c>
      <c r="I211" s="343">
        <f t="shared" si="18"/>
        <v>0</v>
      </c>
      <c r="J211" s="191">
        <v>0</v>
      </c>
      <c r="K211" s="192">
        <v>0</v>
      </c>
      <c r="L211" s="192">
        <v>0</v>
      </c>
      <c r="M211" s="48">
        <f t="shared" si="19"/>
        <v>56484482</v>
      </c>
      <c r="N211" s="193">
        <v>0</v>
      </c>
      <c r="O211" s="49"/>
      <c r="P211" s="50">
        <f t="shared" si="20"/>
        <v>56484482</v>
      </c>
      <c r="Q211" s="13">
        <f t="shared" si="23"/>
        <v>4254897</v>
      </c>
      <c r="R211" s="51">
        <f t="shared" si="21"/>
        <v>52229585</v>
      </c>
      <c r="S211" s="176">
        <f>BILLETAGE!Y212</f>
        <v>-56484482</v>
      </c>
      <c r="T211" s="72"/>
    </row>
    <row r="212" spans="1:20" ht="15.95" customHeight="1" x14ac:dyDescent="0.25">
      <c r="A212" s="68">
        <v>209</v>
      </c>
      <c r="B212" s="69">
        <v>46315</v>
      </c>
      <c r="C212" s="70" t="s">
        <v>207</v>
      </c>
      <c r="D212" s="68">
        <v>10</v>
      </c>
      <c r="E212" s="71">
        <v>29</v>
      </c>
      <c r="F212" s="24">
        <f t="shared" si="22"/>
        <v>56484482</v>
      </c>
      <c r="G212" s="190">
        <v>0</v>
      </c>
      <c r="H212" s="190">
        <v>0</v>
      </c>
      <c r="I212" s="343">
        <f t="shared" si="18"/>
        <v>0</v>
      </c>
      <c r="J212" s="191">
        <v>0</v>
      </c>
      <c r="K212" s="192">
        <v>0</v>
      </c>
      <c r="L212" s="192">
        <v>0</v>
      </c>
      <c r="M212" s="48">
        <f t="shared" si="19"/>
        <v>56484482</v>
      </c>
      <c r="N212" s="193">
        <v>0</v>
      </c>
      <c r="O212" s="49"/>
      <c r="P212" s="50">
        <f t="shared" si="20"/>
        <v>56484482</v>
      </c>
      <c r="Q212" s="13">
        <f t="shared" si="23"/>
        <v>4254897</v>
      </c>
      <c r="R212" s="51">
        <f t="shared" si="21"/>
        <v>52229585</v>
      </c>
      <c r="S212" s="176">
        <f>BILLETAGE!Y213</f>
        <v>-56484482</v>
      </c>
      <c r="T212" s="72"/>
    </row>
    <row r="213" spans="1:20" ht="15.95" customHeight="1" x14ac:dyDescent="0.25">
      <c r="A213" s="68">
        <v>210</v>
      </c>
      <c r="B213" s="69">
        <v>46316</v>
      </c>
      <c r="C213" s="70" t="s">
        <v>208</v>
      </c>
      <c r="D213" s="68">
        <v>10</v>
      </c>
      <c r="E213" s="71">
        <v>30</v>
      </c>
      <c r="F213" s="24">
        <f t="shared" si="22"/>
        <v>56484482</v>
      </c>
      <c r="G213" s="190">
        <v>0</v>
      </c>
      <c r="H213" s="190">
        <v>0</v>
      </c>
      <c r="I213" s="343">
        <f t="shared" si="18"/>
        <v>0</v>
      </c>
      <c r="J213" s="191">
        <v>0</v>
      </c>
      <c r="K213" s="192">
        <v>0</v>
      </c>
      <c r="L213" s="192">
        <v>0</v>
      </c>
      <c r="M213" s="48">
        <f t="shared" si="19"/>
        <v>56484482</v>
      </c>
      <c r="N213" s="193">
        <v>0</v>
      </c>
      <c r="O213" s="49"/>
      <c r="P213" s="50">
        <f t="shared" si="20"/>
        <v>56484482</v>
      </c>
      <c r="Q213" s="13">
        <f t="shared" si="23"/>
        <v>4254897</v>
      </c>
      <c r="R213" s="51">
        <f t="shared" si="21"/>
        <v>52229585</v>
      </c>
      <c r="S213" s="176">
        <f>BILLETAGE!Y214</f>
        <v>-56484482</v>
      </c>
      <c r="T213" s="72"/>
    </row>
    <row r="214" spans="1:20" ht="15.95" customHeight="1" x14ac:dyDescent="0.25">
      <c r="A214" s="68">
        <v>211</v>
      </c>
      <c r="B214" s="69">
        <v>46317</v>
      </c>
      <c r="C214" s="70" t="s">
        <v>204</v>
      </c>
      <c r="D214" s="68">
        <v>10</v>
      </c>
      <c r="E214" s="71">
        <v>30</v>
      </c>
      <c r="F214" s="24">
        <f t="shared" si="22"/>
        <v>56484482</v>
      </c>
      <c r="G214" s="190">
        <v>0</v>
      </c>
      <c r="H214" s="190">
        <v>0</v>
      </c>
      <c r="I214" s="343">
        <f t="shared" si="18"/>
        <v>0</v>
      </c>
      <c r="J214" s="191">
        <v>0</v>
      </c>
      <c r="K214" s="192">
        <v>0</v>
      </c>
      <c r="L214" s="192">
        <v>0</v>
      </c>
      <c r="M214" s="48">
        <f t="shared" si="19"/>
        <v>56484482</v>
      </c>
      <c r="N214" s="193">
        <v>0</v>
      </c>
      <c r="O214" s="49"/>
      <c r="P214" s="50">
        <f t="shared" si="20"/>
        <v>56484482</v>
      </c>
      <c r="Q214" s="13">
        <f t="shared" si="23"/>
        <v>4254897</v>
      </c>
      <c r="R214" s="51">
        <f t="shared" si="21"/>
        <v>52229585</v>
      </c>
      <c r="S214" s="176">
        <f>BILLETAGE!Y215</f>
        <v>-56484482</v>
      </c>
      <c r="T214" s="72"/>
    </row>
    <row r="215" spans="1:20" ht="15.95" customHeight="1" x14ac:dyDescent="0.25">
      <c r="A215" s="68">
        <v>212</v>
      </c>
      <c r="B215" s="69">
        <v>46318</v>
      </c>
      <c r="C215" s="70" t="s">
        <v>205</v>
      </c>
      <c r="D215" s="68">
        <v>10</v>
      </c>
      <c r="E215" s="71">
        <v>30</v>
      </c>
      <c r="F215" s="24">
        <f t="shared" si="22"/>
        <v>56484482</v>
      </c>
      <c r="G215" s="190">
        <v>0</v>
      </c>
      <c r="H215" s="190">
        <v>0</v>
      </c>
      <c r="I215" s="343">
        <f t="shared" si="18"/>
        <v>0</v>
      </c>
      <c r="J215" s="191">
        <v>0</v>
      </c>
      <c r="K215" s="192">
        <v>0</v>
      </c>
      <c r="L215" s="192">
        <v>0</v>
      </c>
      <c r="M215" s="48">
        <f t="shared" si="19"/>
        <v>56484482</v>
      </c>
      <c r="N215" s="193">
        <v>0</v>
      </c>
      <c r="O215" s="49"/>
      <c r="P215" s="50">
        <f t="shared" si="20"/>
        <v>56484482</v>
      </c>
      <c r="Q215" s="13">
        <f t="shared" si="23"/>
        <v>4254897</v>
      </c>
      <c r="R215" s="51">
        <f t="shared" si="21"/>
        <v>52229585</v>
      </c>
      <c r="S215" s="176">
        <f>BILLETAGE!Y216</f>
        <v>-56484482</v>
      </c>
      <c r="T215" s="72"/>
    </row>
    <row r="216" spans="1:20" ht="15.95" customHeight="1" x14ac:dyDescent="0.25">
      <c r="A216" s="68">
        <v>213</v>
      </c>
      <c r="B216" s="69">
        <v>46321</v>
      </c>
      <c r="C216" s="70" t="s">
        <v>206</v>
      </c>
      <c r="D216" s="68">
        <v>10</v>
      </c>
      <c r="E216" s="71">
        <v>30</v>
      </c>
      <c r="F216" s="24">
        <f t="shared" si="22"/>
        <v>56484482</v>
      </c>
      <c r="G216" s="190">
        <v>0</v>
      </c>
      <c r="H216" s="190">
        <v>0</v>
      </c>
      <c r="I216" s="343">
        <f t="shared" si="18"/>
        <v>0</v>
      </c>
      <c r="J216" s="191">
        <v>0</v>
      </c>
      <c r="K216" s="192">
        <v>0</v>
      </c>
      <c r="L216" s="192">
        <v>0</v>
      </c>
      <c r="M216" s="48">
        <f t="shared" si="19"/>
        <v>56484482</v>
      </c>
      <c r="N216" s="193">
        <v>0</v>
      </c>
      <c r="O216" s="49"/>
      <c r="P216" s="50">
        <f t="shared" si="20"/>
        <v>56484482</v>
      </c>
      <c r="Q216" s="13">
        <f t="shared" si="23"/>
        <v>4254897</v>
      </c>
      <c r="R216" s="51">
        <f t="shared" si="21"/>
        <v>52229585</v>
      </c>
      <c r="S216" s="176">
        <f>BILLETAGE!Y217</f>
        <v>-56484482</v>
      </c>
      <c r="T216" s="72"/>
    </row>
    <row r="217" spans="1:20" ht="15.95" customHeight="1" x14ac:dyDescent="0.25">
      <c r="A217" s="68">
        <v>214</v>
      </c>
      <c r="B217" s="69">
        <v>46322</v>
      </c>
      <c r="C217" s="70" t="s">
        <v>207</v>
      </c>
      <c r="D217" s="68">
        <v>10</v>
      </c>
      <c r="E217" s="71">
        <v>30</v>
      </c>
      <c r="F217" s="24">
        <f t="shared" si="22"/>
        <v>56484482</v>
      </c>
      <c r="G217" s="190">
        <v>0</v>
      </c>
      <c r="H217" s="190">
        <v>0</v>
      </c>
      <c r="I217" s="343">
        <f t="shared" si="18"/>
        <v>0</v>
      </c>
      <c r="J217" s="191">
        <v>0</v>
      </c>
      <c r="K217" s="192">
        <v>0</v>
      </c>
      <c r="L217" s="192">
        <v>0</v>
      </c>
      <c r="M217" s="48">
        <f t="shared" si="19"/>
        <v>56484482</v>
      </c>
      <c r="N217" s="193">
        <v>0</v>
      </c>
      <c r="O217" s="49"/>
      <c r="P217" s="50">
        <f t="shared" si="20"/>
        <v>56484482</v>
      </c>
      <c r="Q217" s="13">
        <f t="shared" si="23"/>
        <v>4254897</v>
      </c>
      <c r="R217" s="51">
        <f t="shared" si="21"/>
        <v>52229585</v>
      </c>
      <c r="S217" s="176">
        <f>BILLETAGE!Y218</f>
        <v>-56484482</v>
      </c>
      <c r="T217" s="72"/>
    </row>
    <row r="218" spans="1:20" ht="15.95" customHeight="1" x14ac:dyDescent="0.25">
      <c r="A218" s="68">
        <v>215</v>
      </c>
      <c r="B218" s="69">
        <v>46323</v>
      </c>
      <c r="C218" s="70" t="s">
        <v>208</v>
      </c>
      <c r="D218" s="68">
        <v>10</v>
      </c>
      <c r="E218" s="71">
        <v>30</v>
      </c>
      <c r="F218" s="24">
        <f t="shared" si="22"/>
        <v>56484482</v>
      </c>
      <c r="G218" s="190">
        <v>0</v>
      </c>
      <c r="H218" s="190">
        <v>0</v>
      </c>
      <c r="I218" s="343">
        <f t="shared" si="18"/>
        <v>0</v>
      </c>
      <c r="J218" s="191">
        <v>0</v>
      </c>
      <c r="K218" s="192">
        <v>0</v>
      </c>
      <c r="L218" s="192">
        <v>0</v>
      </c>
      <c r="M218" s="48">
        <f t="shared" si="19"/>
        <v>56484482</v>
      </c>
      <c r="N218" s="193">
        <v>0</v>
      </c>
      <c r="O218" s="49"/>
      <c r="P218" s="50">
        <f t="shared" si="20"/>
        <v>56484482</v>
      </c>
      <c r="Q218" s="13">
        <f t="shared" si="23"/>
        <v>4254897</v>
      </c>
      <c r="R218" s="51">
        <f t="shared" si="21"/>
        <v>52229585</v>
      </c>
      <c r="S218" s="176">
        <f>BILLETAGE!Y219</f>
        <v>-56484482</v>
      </c>
      <c r="T218" s="72"/>
    </row>
    <row r="219" spans="1:20" ht="15.95" customHeight="1" x14ac:dyDescent="0.25">
      <c r="A219" s="68">
        <v>216</v>
      </c>
      <c r="B219" s="69">
        <v>46324</v>
      </c>
      <c r="C219" s="70" t="s">
        <v>204</v>
      </c>
      <c r="D219" s="68">
        <v>10</v>
      </c>
      <c r="E219" s="71">
        <v>30</v>
      </c>
      <c r="F219" s="24">
        <f t="shared" si="22"/>
        <v>56484482</v>
      </c>
      <c r="G219" s="190">
        <v>0</v>
      </c>
      <c r="H219" s="190">
        <v>0</v>
      </c>
      <c r="I219" s="343">
        <f t="shared" si="18"/>
        <v>0</v>
      </c>
      <c r="J219" s="191">
        <v>0</v>
      </c>
      <c r="K219" s="192">
        <v>0</v>
      </c>
      <c r="L219" s="192">
        <v>0</v>
      </c>
      <c r="M219" s="48">
        <f t="shared" si="19"/>
        <v>56484482</v>
      </c>
      <c r="N219" s="193">
        <v>0</v>
      </c>
      <c r="O219" s="49"/>
      <c r="P219" s="50">
        <f t="shared" si="20"/>
        <v>56484482</v>
      </c>
      <c r="Q219" s="13">
        <f t="shared" si="23"/>
        <v>4254897</v>
      </c>
      <c r="R219" s="51">
        <f t="shared" si="21"/>
        <v>52229585</v>
      </c>
      <c r="S219" s="176">
        <f>BILLETAGE!Y220</f>
        <v>-56484482</v>
      </c>
      <c r="T219" s="72"/>
    </row>
    <row r="220" spans="1:20" ht="15.95" customHeight="1" x14ac:dyDescent="0.25">
      <c r="A220" s="68">
        <v>217</v>
      </c>
      <c r="B220" s="69">
        <v>46325</v>
      </c>
      <c r="C220" s="70" t="s">
        <v>205</v>
      </c>
      <c r="D220" s="68">
        <v>10</v>
      </c>
      <c r="E220" s="71">
        <v>30</v>
      </c>
      <c r="F220" s="24">
        <f t="shared" si="22"/>
        <v>56484482</v>
      </c>
      <c r="G220" s="190">
        <v>0</v>
      </c>
      <c r="H220" s="190">
        <v>0</v>
      </c>
      <c r="I220" s="343">
        <f t="shared" si="18"/>
        <v>0</v>
      </c>
      <c r="J220" s="191">
        <v>0</v>
      </c>
      <c r="K220" s="192">
        <v>0</v>
      </c>
      <c r="L220" s="192">
        <v>0</v>
      </c>
      <c r="M220" s="48">
        <f t="shared" si="19"/>
        <v>56484482</v>
      </c>
      <c r="N220" s="193">
        <v>0</v>
      </c>
      <c r="O220" s="49"/>
      <c r="P220" s="50">
        <f t="shared" si="20"/>
        <v>56484482</v>
      </c>
      <c r="Q220" s="13">
        <f t="shared" si="23"/>
        <v>4254897</v>
      </c>
      <c r="R220" s="51">
        <f t="shared" si="21"/>
        <v>52229585</v>
      </c>
      <c r="S220" s="176">
        <f>BILLETAGE!Y221</f>
        <v>-56484482</v>
      </c>
      <c r="T220" s="72"/>
    </row>
    <row r="221" spans="1:20" ht="15.95" customHeight="1" x14ac:dyDescent="0.25">
      <c r="A221" s="43">
        <v>218</v>
      </c>
      <c r="B221" s="44">
        <v>46328</v>
      </c>
      <c r="C221" s="45" t="s">
        <v>206</v>
      </c>
      <c r="D221" s="43">
        <v>11</v>
      </c>
      <c r="E221" s="46">
        <v>31</v>
      </c>
      <c r="F221" s="8">
        <f t="shared" si="22"/>
        <v>56484482</v>
      </c>
      <c r="G221" s="190">
        <v>0</v>
      </c>
      <c r="H221" s="190">
        <v>0</v>
      </c>
      <c r="I221" s="343">
        <f t="shared" si="18"/>
        <v>0</v>
      </c>
      <c r="J221" s="191">
        <v>0</v>
      </c>
      <c r="K221" s="192">
        <v>0</v>
      </c>
      <c r="L221" s="192">
        <v>0</v>
      </c>
      <c r="M221" s="48">
        <f t="shared" si="19"/>
        <v>56484482</v>
      </c>
      <c r="N221" s="193">
        <v>0</v>
      </c>
      <c r="O221" s="49"/>
      <c r="P221" s="50">
        <f t="shared" si="20"/>
        <v>56484482</v>
      </c>
      <c r="Q221" s="13">
        <f t="shared" si="23"/>
        <v>4254897</v>
      </c>
      <c r="R221" s="51">
        <f t="shared" si="21"/>
        <v>52229585</v>
      </c>
      <c r="S221" s="176">
        <f>BILLETAGE!Y222</f>
        <v>-56484482</v>
      </c>
      <c r="T221" s="52"/>
    </row>
    <row r="222" spans="1:20" ht="15.95" customHeight="1" x14ac:dyDescent="0.25">
      <c r="A222" s="43">
        <v>219</v>
      </c>
      <c r="B222" s="44">
        <v>46329</v>
      </c>
      <c r="C222" s="45" t="s">
        <v>207</v>
      </c>
      <c r="D222" s="43">
        <v>11</v>
      </c>
      <c r="E222" s="46">
        <v>31</v>
      </c>
      <c r="F222" s="8">
        <f t="shared" si="22"/>
        <v>56484482</v>
      </c>
      <c r="G222" s="190">
        <v>0</v>
      </c>
      <c r="H222" s="190">
        <v>0</v>
      </c>
      <c r="I222" s="343">
        <f t="shared" si="18"/>
        <v>0</v>
      </c>
      <c r="J222" s="191">
        <v>0</v>
      </c>
      <c r="K222" s="192">
        <v>0</v>
      </c>
      <c r="L222" s="192">
        <v>0</v>
      </c>
      <c r="M222" s="48">
        <f t="shared" si="19"/>
        <v>56484482</v>
      </c>
      <c r="N222" s="193">
        <v>0</v>
      </c>
      <c r="O222" s="49"/>
      <c r="P222" s="50">
        <f t="shared" si="20"/>
        <v>56484482</v>
      </c>
      <c r="Q222" s="13">
        <f t="shared" si="23"/>
        <v>4254897</v>
      </c>
      <c r="R222" s="51">
        <f t="shared" si="21"/>
        <v>52229585</v>
      </c>
      <c r="S222" s="176">
        <f>BILLETAGE!Y223</f>
        <v>-56484482</v>
      </c>
      <c r="T222" s="52"/>
    </row>
    <row r="223" spans="1:20" ht="15.95" customHeight="1" x14ac:dyDescent="0.25">
      <c r="A223" s="43">
        <v>220</v>
      </c>
      <c r="B223" s="44">
        <v>46330</v>
      </c>
      <c r="C223" s="45" t="s">
        <v>208</v>
      </c>
      <c r="D223" s="43">
        <v>11</v>
      </c>
      <c r="E223" s="46">
        <v>31</v>
      </c>
      <c r="F223" s="8">
        <f t="shared" si="22"/>
        <v>56484482</v>
      </c>
      <c r="G223" s="190">
        <v>0</v>
      </c>
      <c r="H223" s="190">
        <v>0</v>
      </c>
      <c r="I223" s="343">
        <f t="shared" si="18"/>
        <v>0</v>
      </c>
      <c r="J223" s="191">
        <v>0</v>
      </c>
      <c r="K223" s="192">
        <v>0</v>
      </c>
      <c r="L223" s="192">
        <v>0</v>
      </c>
      <c r="M223" s="48">
        <f t="shared" si="19"/>
        <v>56484482</v>
      </c>
      <c r="N223" s="193">
        <v>0</v>
      </c>
      <c r="O223" s="49"/>
      <c r="P223" s="50">
        <f t="shared" si="20"/>
        <v>56484482</v>
      </c>
      <c r="Q223" s="13">
        <f t="shared" si="23"/>
        <v>4254897</v>
      </c>
      <c r="R223" s="51">
        <f t="shared" si="21"/>
        <v>52229585</v>
      </c>
      <c r="S223" s="176">
        <f>BILLETAGE!Y224</f>
        <v>-56484482</v>
      </c>
      <c r="T223" s="52"/>
    </row>
    <row r="224" spans="1:20" ht="15.95" customHeight="1" x14ac:dyDescent="0.25">
      <c r="A224" s="43">
        <v>221</v>
      </c>
      <c r="B224" s="44">
        <v>46331</v>
      </c>
      <c r="C224" s="45" t="s">
        <v>204</v>
      </c>
      <c r="D224" s="43">
        <v>11</v>
      </c>
      <c r="E224" s="46">
        <v>31</v>
      </c>
      <c r="F224" s="8">
        <f t="shared" si="22"/>
        <v>56484482</v>
      </c>
      <c r="G224" s="190">
        <v>0</v>
      </c>
      <c r="H224" s="190">
        <v>0</v>
      </c>
      <c r="I224" s="343">
        <f t="shared" si="18"/>
        <v>0</v>
      </c>
      <c r="J224" s="191">
        <v>0</v>
      </c>
      <c r="K224" s="192">
        <v>0</v>
      </c>
      <c r="L224" s="192">
        <v>0</v>
      </c>
      <c r="M224" s="48">
        <f t="shared" si="19"/>
        <v>56484482</v>
      </c>
      <c r="N224" s="193">
        <v>0</v>
      </c>
      <c r="O224" s="49"/>
      <c r="P224" s="50">
        <f t="shared" si="20"/>
        <v>56484482</v>
      </c>
      <c r="Q224" s="13">
        <f t="shared" si="23"/>
        <v>4254897</v>
      </c>
      <c r="R224" s="51">
        <f t="shared" si="21"/>
        <v>52229585</v>
      </c>
      <c r="S224" s="176">
        <f>BILLETAGE!Y225</f>
        <v>-56484482</v>
      </c>
      <c r="T224" s="52"/>
    </row>
    <row r="225" spans="1:20" ht="15.95" customHeight="1" x14ac:dyDescent="0.25">
      <c r="A225" s="43">
        <v>222</v>
      </c>
      <c r="B225" s="44">
        <v>46332</v>
      </c>
      <c r="C225" s="45" t="s">
        <v>205</v>
      </c>
      <c r="D225" s="43">
        <v>11</v>
      </c>
      <c r="E225" s="46">
        <v>31</v>
      </c>
      <c r="F225" s="8">
        <f t="shared" si="22"/>
        <v>56484482</v>
      </c>
      <c r="G225" s="190">
        <v>0</v>
      </c>
      <c r="H225" s="190">
        <v>0</v>
      </c>
      <c r="I225" s="343">
        <f t="shared" si="18"/>
        <v>0</v>
      </c>
      <c r="J225" s="191">
        <v>0</v>
      </c>
      <c r="K225" s="192">
        <v>0</v>
      </c>
      <c r="L225" s="192">
        <v>0</v>
      </c>
      <c r="M225" s="48">
        <f t="shared" si="19"/>
        <v>56484482</v>
      </c>
      <c r="N225" s="193">
        <v>0</v>
      </c>
      <c r="O225" s="49"/>
      <c r="P225" s="50">
        <f t="shared" si="20"/>
        <v>56484482</v>
      </c>
      <c r="Q225" s="13">
        <f t="shared" si="23"/>
        <v>4254897</v>
      </c>
      <c r="R225" s="51">
        <f t="shared" si="21"/>
        <v>52229585</v>
      </c>
      <c r="S225" s="176">
        <f>BILLETAGE!Y226</f>
        <v>-56484482</v>
      </c>
      <c r="T225" s="52"/>
    </row>
    <row r="226" spans="1:20" ht="15.95" customHeight="1" x14ac:dyDescent="0.25">
      <c r="A226" s="43">
        <v>223</v>
      </c>
      <c r="B226" s="44">
        <v>46335</v>
      </c>
      <c r="C226" s="45" t="s">
        <v>206</v>
      </c>
      <c r="D226" s="43">
        <v>11</v>
      </c>
      <c r="E226" s="46">
        <v>31</v>
      </c>
      <c r="F226" s="8">
        <f t="shared" si="22"/>
        <v>56484482</v>
      </c>
      <c r="G226" s="190">
        <v>0</v>
      </c>
      <c r="H226" s="190">
        <v>0</v>
      </c>
      <c r="I226" s="343">
        <f t="shared" si="18"/>
        <v>0</v>
      </c>
      <c r="J226" s="191">
        <v>0</v>
      </c>
      <c r="K226" s="192">
        <v>0</v>
      </c>
      <c r="L226" s="192">
        <v>0</v>
      </c>
      <c r="M226" s="48">
        <f t="shared" si="19"/>
        <v>56484482</v>
      </c>
      <c r="N226" s="193">
        <v>0</v>
      </c>
      <c r="O226" s="49"/>
      <c r="P226" s="50">
        <f t="shared" si="20"/>
        <v>56484482</v>
      </c>
      <c r="Q226" s="13">
        <f t="shared" si="23"/>
        <v>4254897</v>
      </c>
      <c r="R226" s="51">
        <f t="shared" si="21"/>
        <v>52229585</v>
      </c>
      <c r="S226" s="176">
        <f>BILLETAGE!Y227</f>
        <v>-56484482</v>
      </c>
      <c r="T226" s="52"/>
    </row>
    <row r="227" spans="1:20" ht="15.95" customHeight="1" x14ac:dyDescent="0.25">
      <c r="A227" s="43">
        <v>224</v>
      </c>
      <c r="B227" s="44">
        <v>46336</v>
      </c>
      <c r="C227" s="45" t="s">
        <v>207</v>
      </c>
      <c r="D227" s="43">
        <v>11</v>
      </c>
      <c r="E227" s="46">
        <v>31</v>
      </c>
      <c r="F227" s="8">
        <f t="shared" si="22"/>
        <v>56484482</v>
      </c>
      <c r="G227" s="190">
        <v>0</v>
      </c>
      <c r="H227" s="190">
        <v>0</v>
      </c>
      <c r="I227" s="343">
        <f t="shared" si="18"/>
        <v>0</v>
      </c>
      <c r="J227" s="191">
        <v>0</v>
      </c>
      <c r="K227" s="192">
        <v>0</v>
      </c>
      <c r="L227" s="192">
        <v>0</v>
      </c>
      <c r="M227" s="48">
        <f t="shared" si="19"/>
        <v>56484482</v>
      </c>
      <c r="N227" s="193">
        <v>0</v>
      </c>
      <c r="O227" s="49"/>
      <c r="P227" s="50">
        <f t="shared" si="20"/>
        <v>56484482</v>
      </c>
      <c r="Q227" s="13">
        <f t="shared" si="23"/>
        <v>4254897</v>
      </c>
      <c r="R227" s="51">
        <f t="shared" si="21"/>
        <v>52229585</v>
      </c>
      <c r="S227" s="176">
        <f>BILLETAGE!Y228</f>
        <v>-56484482</v>
      </c>
      <c r="T227" s="52"/>
    </row>
    <row r="228" spans="1:20" ht="15.95" customHeight="1" x14ac:dyDescent="0.25">
      <c r="A228" s="43">
        <v>225</v>
      </c>
      <c r="B228" s="44">
        <v>46337</v>
      </c>
      <c r="C228" s="45" t="s">
        <v>208</v>
      </c>
      <c r="D228" s="43">
        <v>11</v>
      </c>
      <c r="E228" s="46">
        <v>32</v>
      </c>
      <c r="F228" s="8">
        <f t="shared" si="22"/>
        <v>56484482</v>
      </c>
      <c r="G228" s="190">
        <v>0</v>
      </c>
      <c r="H228" s="190">
        <v>0</v>
      </c>
      <c r="I228" s="343">
        <f t="shared" si="18"/>
        <v>0</v>
      </c>
      <c r="J228" s="191">
        <v>0</v>
      </c>
      <c r="K228" s="192">
        <v>0</v>
      </c>
      <c r="L228" s="192">
        <v>0</v>
      </c>
      <c r="M228" s="48">
        <f t="shared" si="19"/>
        <v>56484482</v>
      </c>
      <c r="N228" s="193">
        <v>0</v>
      </c>
      <c r="O228" s="49"/>
      <c r="P228" s="50">
        <f t="shared" si="20"/>
        <v>56484482</v>
      </c>
      <c r="Q228" s="13">
        <f t="shared" si="23"/>
        <v>4254897</v>
      </c>
      <c r="R228" s="51">
        <f t="shared" si="21"/>
        <v>52229585</v>
      </c>
      <c r="S228" s="176">
        <f>BILLETAGE!Y229</f>
        <v>-56484482</v>
      </c>
      <c r="T228" s="52"/>
    </row>
    <row r="229" spans="1:20" ht="15.95" customHeight="1" x14ac:dyDescent="0.25">
      <c r="A229" s="43">
        <v>226</v>
      </c>
      <c r="B229" s="44">
        <v>46338</v>
      </c>
      <c r="C229" s="45" t="s">
        <v>204</v>
      </c>
      <c r="D229" s="43">
        <v>11</v>
      </c>
      <c r="E229" s="46">
        <v>32</v>
      </c>
      <c r="F229" s="8">
        <f t="shared" si="22"/>
        <v>56484482</v>
      </c>
      <c r="G229" s="190">
        <v>0</v>
      </c>
      <c r="H229" s="190">
        <v>0</v>
      </c>
      <c r="I229" s="343">
        <f t="shared" si="18"/>
        <v>0</v>
      </c>
      <c r="J229" s="191">
        <v>0</v>
      </c>
      <c r="K229" s="192">
        <v>0</v>
      </c>
      <c r="L229" s="192">
        <v>0</v>
      </c>
      <c r="M229" s="48">
        <f t="shared" si="19"/>
        <v>56484482</v>
      </c>
      <c r="N229" s="193">
        <v>0</v>
      </c>
      <c r="O229" s="49"/>
      <c r="P229" s="50">
        <f t="shared" si="20"/>
        <v>56484482</v>
      </c>
      <c r="Q229" s="13">
        <f t="shared" si="23"/>
        <v>4254897</v>
      </c>
      <c r="R229" s="51">
        <f t="shared" si="21"/>
        <v>52229585</v>
      </c>
      <c r="S229" s="176">
        <f>BILLETAGE!Y230</f>
        <v>-56484482</v>
      </c>
      <c r="T229" s="52"/>
    </row>
    <row r="230" spans="1:20" ht="15.95" customHeight="1" x14ac:dyDescent="0.25">
      <c r="A230" s="43">
        <v>227</v>
      </c>
      <c r="B230" s="44">
        <v>46339</v>
      </c>
      <c r="C230" s="45" t="s">
        <v>205</v>
      </c>
      <c r="D230" s="43">
        <v>11</v>
      </c>
      <c r="E230" s="46">
        <v>32</v>
      </c>
      <c r="F230" s="8">
        <f t="shared" si="22"/>
        <v>56484482</v>
      </c>
      <c r="G230" s="190">
        <v>0</v>
      </c>
      <c r="H230" s="190">
        <v>0</v>
      </c>
      <c r="I230" s="343">
        <f t="shared" si="18"/>
        <v>0</v>
      </c>
      <c r="J230" s="191">
        <v>0</v>
      </c>
      <c r="K230" s="192">
        <v>0</v>
      </c>
      <c r="L230" s="192">
        <v>0</v>
      </c>
      <c r="M230" s="48">
        <f t="shared" si="19"/>
        <v>56484482</v>
      </c>
      <c r="N230" s="193">
        <v>0</v>
      </c>
      <c r="O230" s="49"/>
      <c r="P230" s="50">
        <f t="shared" si="20"/>
        <v>56484482</v>
      </c>
      <c r="Q230" s="13">
        <f t="shared" si="23"/>
        <v>4254897</v>
      </c>
      <c r="R230" s="51">
        <f t="shared" si="21"/>
        <v>52229585</v>
      </c>
      <c r="S230" s="176">
        <f>BILLETAGE!Y231</f>
        <v>-56484482</v>
      </c>
      <c r="T230" s="52"/>
    </row>
    <row r="231" spans="1:20" ht="15.95" customHeight="1" x14ac:dyDescent="0.25">
      <c r="A231" s="43">
        <v>228</v>
      </c>
      <c r="B231" s="44">
        <v>46342</v>
      </c>
      <c r="C231" s="45" t="s">
        <v>206</v>
      </c>
      <c r="D231" s="43">
        <v>11</v>
      </c>
      <c r="E231" s="46">
        <v>32</v>
      </c>
      <c r="F231" s="8">
        <f t="shared" si="22"/>
        <v>56484482</v>
      </c>
      <c r="G231" s="190">
        <v>0</v>
      </c>
      <c r="H231" s="190">
        <v>0</v>
      </c>
      <c r="I231" s="343">
        <f t="shared" si="18"/>
        <v>0</v>
      </c>
      <c r="J231" s="191">
        <v>0</v>
      </c>
      <c r="K231" s="192">
        <v>0</v>
      </c>
      <c r="L231" s="192">
        <v>0</v>
      </c>
      <c r="M231" s="48">
        <f t="shared" si="19"/>
        <v>56484482</v>
      </c>
      <c r="N231" s="193">
        <v>0</v>
      </c>
      <c r="O231" s="49"/>
      <c r="P231" s="50">
        <f t="shared" si="20"/>
        <v>56484482</v>
      </c>
      <c r="Q231" s="13">
        <f t="shared" si="23"/>
        <v>4254897</v>
      </c>
      <c r="R231" s="51">
        <f t="shared" si="21"/>
        <v>52229585</v>
      </c>
      <c r="S231" s="176">
        <f>BILLETAGE!Y232</f>
        <v>-56484482</v>
      </c>
      <c r="T231" s="52"/>
    </row>
    <row r="232" spans="1:20" ht="15.95" customHeight="1" x14ac:dyDescent="0.25">
      <c r="A232" s="43">
        <v>229</v>
      </c>
      <c r="B232" s="44">
        <v>46343</v>
      </c>
      <c r="C232" s="45" t="s">
        <v>207</v>
      </c>
      <c r="D232" s="43">
        <v>11</v>
      </c>
      <c r="E232" s="46">
        <v>32</v>
      </c>
      <c r="F232" s="8">
        <f t="shared" si="22"/>
        <v>56484482</v>
      </c>
      <c r="G232" s="190">
        <v>0</v>
      </c>
      <c r="H232" s="190">
        <v>0</v>
      </c>
      <c r="I232" s="343">
        <f t="shared" si="18"/>
        <v>0</v>
      </c>
      <c r="J232" s="191">
        <v>0</v>
      </c>
      <c r="K232" s="192">
        <v>0</v>
      </c>
      <c r="L232" s="192">
        <v>0</v>
      </c>
      <c r="M232" s="48">
        <f t="shared" si="19"/>
        <v>56484482</v>
      </c>
      <c r="N232" s="193">
        <v>0</v>
      </c>
      <c r="O232" s="49"/>
      <c r="P232" s="50">
        <f t="shared" si="20"/>
        <v>56484482</v>
      </c>
      <c r="Q232" s="13">
        <f t="shared" si="23"/>
        <v>4254897</v>
      </c>
      <c r="R232" s="51">
        <f t="shared" si="21"/>
        <v>52229585</v>
      </c>
      <c r="S232" s="176">
        <f>BILLETAGE!Y233</f>
        <v>-56484482</v>
      </c>
      <c r="T232" s="52"/>
    </row>
    <row r="233" spans="1:20" ht="15.95" customHeight="1" x14ac:dyDescent="0.25">
      <c r="A233" s="43">
        <v>230</v>
      </c>
      <c r="B233" s="44">
        <v>46344</v>
      </c>
      <c r="C233" s="45" t="s">
        <v>208</v>
      </c>
      <c r="D233" s="43">
        <v>11</v>
      </c>
      <c r="E233" s="46">
        <v>32</v>
      </c>
      <c r="F233" s="8">
        <f t="shared" si="22"/>
        <v>56484482</v>
      </c>
      <c r="G233" s="190">
        <v>0</v>
      </c>
      <c r="H233" s="190">
        <v>0</v>
      </c>
      <c r="I233" s="343">
        <f t="shared" si="18"/>
        <v>0</v>
      </c>
      <c r="J233" s="191">
        <v>0</v>
      </c>
      <c r="K233" s="192">
        <v>0</v>
      </c>
      <c r="L233" s="192">
        <v>0</v>
      </c>
      <c r="M233" s="48">
        <f t="shared" si="19"/>
        <v>56484482</v>
      </c>
      <c r="N233" s="193">
        <v>0</v>
      </c>
      <c r="O233" s="49"/>
      <c r="P233" s="50">
        <f t="shared" si="20"/>
        <v>56484482</v>
      </c>
      <c r="Q233" s="13">
        <f t="shared" si="23"/>
        <v>4254897</v>
      </c>
      <c r="R233" s="51">
        <f t="shared" si="21"/>
        <v>52229585</v>
      </c>
      <c r="S233" s="176">
        <f>BILLETAGE!Y234</f>
        <v>-56484482</v>
      </c>
      <c r="T233" s="52"/>
    </row>
    <row r="234" spans="1:20" ht="15.95" customHeight="1" x14ac:dyDescent="0.25">
      <c r="A234" s="43">
        <v>231</v>
      </c>
      <c r="B234" s="44">
        <v>46345</v>
      </c>
      <c r="C234" s="45" t="s">
        <v>204</v>
      </c>
      <c r="D234" s="43">
        <v>11</v>
      </c>
      <c r="E234" s="46">
        <v>32</v>
      </c>
      <c r="F234" s="8">
        <f t="shared" si="22"/>
        <v>56484482</v>
      </c>
      <c r="G234" s="190">
        <v>0</v>
      </c>
      <c r="H234" s="190">
        <v>0</v>
      </c>
      <c r="I234" s="343">
        <f t="shared" si="18"/>
        <v>0</v>
      </c>
      <c r="J234" s="191">
        <v>0</v>
      </c>
      <c r="K234" s="192">
        <v>0</v>
      </c>
      <c r="L234" s="192">
        <v>0</v>
      </c>
      <c r="M234" s="48">
        <f t="shared" si="19"/>
        <v>56484482</v>
      </c>
      <c r="N234" s="193">
        <v>0</v>
      </c>
      <c r="O234" s="49"/>
      <c r="P234" s="50">
        <f t="shared" si="20"/>
        <v>56484482</v>
      </c>
      <c r="Q234" s="13">
        <f t="shared" si="23"/>
        <v>4254897</v>
      </c>
      <c r="R234" s="51">
        <f t="shared" si="21"/>
        <v>52229585</v>
      </c>
      <c r="S234" s="176">
        <f>BILLETAGE!Y235</f>
        <v>-56484482</v>
      </c>
      <c r="T234" s="52"/>
    </row>
    <row r="235" spans="1:20" ht="15.95" customHeight="1" x14ac:dyDescent="0.25">
      <c r="A235" s="43">
        <v>232</v>
      </c>
      <c r="B235" s="44">
        <v>46346</v>
      </c>
      <c r="C235" s="45" t="s">
        <v>205</v>
      </c>
      <c r="D235" s="43">
        <v>11</v>
      </c>
      <c r="E235" s="46">
        <v>32</v>
      </c>
      <c r="F235" s="8">
        <f t="shared" si="22"/>
        <v>56484482</v>
      </c>
      <c r="G235" s="190">
        <v>0</v>
      </c>
      <c r="H235" s="190">
        <v>0</v>
      </c>
      <c r="I235" s="343">
        <f t="shared" si="18"/>
        <v>0</v>
      </c>
      <c r="J235" s="191">
        <v>0</v>
      </c>
      <c r="K235" s="192">
        <v>0</v>
      </c>
      <c r="L235" s="192">
        <v>0</v>
      </c>
      <c r="M235" s="48">
        <f t="shared" si="19"/>
        <v>56484482</v>
      </c>
      <c r="N235" s="193">
        <v>0</v>
      </c>
      <c r="O235" s="49"/>
      <c r="P235" s="50">
        <f t="shared" si="20"/>
        <v>56484482</v>
      </c>
      <c r="Q235" s="13">
        <f t="shared" si="23"/>
        <v>4254897</v>
      </c>
      <c r="R235" s="51">
        <f t="shared" si="21"/>
        <v>52229585</v>
      </c>
      <c r="S235" s="176">
        <f>BILLETAGE!Y236</f>
        <v>-56484482</v>
      </c>
      <c r="T235" s="52"/>
    </row>
    <row r="236" spans="1:20" ht="15.95" customHeight="1" x14ac:dyDescent="0.25">
      <c r="A236" s="43">
        <v>233</v>
      </c>
      <c r="B236" s="44">
        <v>46349</v>
      </c>
      <c r="C236" s="45" t="s">
        <v>206</v>
      </c>
      <c r="D236" s="43">
        <v>11</v>
      </c>
      <c r="E236" s="46">
        <v>33</v>
      </c>
      <c r="F236" s="8">
        <f t="shared" si="22"/>
        <v>56484482</v>
      </c>
      <c r="G236" s="190">
        <v>0</v>
      </c>
      <c r="H236" s="190">
        <v>0</v>
      </c>
      <c r="I236" s="343">
        <f t="shared" si="18"/>
        <v>0</v>
      </c>
      <c r="J236" s="191">
        <v>0</v>
      </c>
      <c r="K236" s="192">
        <v>0</v>
      </c>
      <c r="L236" s="192">
        <v>0</v>
      </c>
      <c r="M236" s="48">
        <f t="shared" si="19"/>
        <v>56484482</v>
      </c>
      <c r="N236" s="193">
        <v>0</v>
      </c>
      <c r="O236" s="49"/>
      <c r="P236" s="50">
        <f t="shared" si="20"/>
        <v>56484482</v>
      </c>
      <c r="Q236" s="13">
        <f t="shared" si="23"/>
        <v>4254897</v>
      </c>
      <c r="R236" s="51">
        <f t="shared" si="21"/>
        <v>52229585</v>
      </c>
      <c r="S236" s="176">
        <f>BILLETAGE!Y237</f>
        <v>-56484482</v>
      </c>
      <c r="T236" s="52"/>
    </row>
    <row r="237" spans="1:20" ht="15.95" customHeight="1" x14ac:dyDescent="0.25">
      <c r="A237" s="43">
        <v>234</v>
      </c>
      <c r="B237" s="44">
        <v>46350</v>
      </c>
      <c r="C237" s="45" t="s">
        <v>207</v>
      </c>
      <c r="D237" s="43">
        <v>11</v>
      </c>
      <c r="E237" s="46">
        <v>33</v>
      </c>
      <c r="F237" s="8">
        <f t="shared" si="22"/>
        <v>56484482</v>
      </c>
      <c r="G237" s="190">
        <v>0</v>
      </c>
      <c r="H237" s="190">
        <v>0</v>
      </c>
      <c r="I237" s="343">
        <f t="shared" si="18"/>
        <v>0</v>
      </c>
      <c r="J237" s="191">
        <v>0</v>
      </c>
      <c r="K237" s="192">
        <v>0</v>
      </c>
      <c r="L237" s="192">
        <v>0</v>
      </c>
      <c r="M237" s="48">
        <f t="shared" si="19"/>
        <v>56484482</v>
      </c>
      <c r="N237" s="193">
        <v>0</v>
      </c>
      <c r="O237" s="49"/>
      <c r="P237" s="50">
        <f t="shared" si="20"/>
        <v>56484482</v>
      </c>
      <c r="Q237" s="13">
        <f t="shared" si="23"/>
        <v>4254897</v>
      </c>
      <c r="R237" s="51">
        <f t="shared" si="21"/>
        <v>52229585</v>
      </c>
      <c r="S237" s="176">
        <f>BILLETAGE!Y238</f>
        <v>-56484482</v>
      </c>
      <c r="T237" s="52"/>
    </row>
    <row r="238" spans="1:20" ht="15.95" customHeight="1" x14ac:dyDescent="0.25">
      <c r="A238" s="43">
        <v>235</v>
      </c>
      <c r="B238" s="44">
        <v>46351</v>
      </c>
      <c r="C238" s="45" t="s">
        <v>208</v>
      </c>
      <c r="D238" s="43">
        <v>11</v>
      </c>
      <c r="E238" s="46">
        <v>33</v>
      </c>
      <c r="F238" s="8">
        <f t="shared" si="22"/>
        <v>56484482</v>
      </c>
      <c r="G238" s="190">
        <v>0</v>
      </c>
      <c r="H238" s="190">
        <v>0</v>
      </c>
      <c r="I238" s="343">
        <f t="shared" si="18"/>
        <v>0</v>
      </c>
      <c r="J238" s="191">
        <v>0</v>
      </c>
      <c r="K238" s="192">
        <v>0</v>
      </c>
      <c r="L238" s="192">
        <v>0</v>
      </c>
      <c r="M238" s="48">
        <f t="shared" si="19"/>
        <v>56484482</v>
      </c>
      <c r="N238" s="193">
        <v>0</v>
      </c>
      <c r="O238" s="49"/>
      <c r="P238" s="50">
        <f t="shared" si="20"/>
        <v>56484482</v>
      </c>
      <c r="Q238" s="13">
        <f t="shared" si="23"/>
        <v>4254897</v>
      </c>
      <c r="R238" s="51">
        <f t="shared" si="21"/>
        <v>52229585</v>
      </c>
      <c r="S238" s="176">
        <f>BILLETAGE!Y239</f>
        <v>-56484482</v>
      </c>
      <c r="T238" s="52"/>
    </row>
    <row r="239" spans="1:20" ht="15.95" customHeight="1" x14ac:dyDescent="0.25">
      <c r="A239" s="43">
        <v>236</v>
      </c>
      <c r="B239" s="44">
        <v>46352</v>
      </c>
      <c r="C239" s="45" t="s">
        <v>204</v>
      </c>
      <c r="D239" s="43">
        <v>11</v>
      </c>
      <c r="E239" s="46">
        <v>33</v>
      </c>
      <c r="F239" s="8">
        <f t="shared" si="22"/>
        <v>56484482</v>
      </c>
      <c r="G239" s="190">
        <v>0</v>
      </c>
      <c r="H239" s="190">
        <v>0</v>
      </c>
      <c r="I239" s="343">
        <f t="shared" si="18"/>
        <v>0</v>
      </c>
      <c r="J239" s="191">
        <v>0</v>
      </c>
      <c r="K239" s="192">
        <v>0</v>
      </c>
      <c r="L239" s="192">
        <v>0</v>
      </c>
      <c r="M239" s="48">
        <f t="shared" si="19"/>
        <v>56484482</v>
      </c>
      <c r="N239" s="193">
        <v>0</v>
      </c>
      <c r="O239" s="49"/>
      <c r="P239" s="50">
        <f t="shared" si="20"/>
        <v>56484482</v>
      </c>
      <c r="Q239" s="13">
        <f t="shared" si="23"/>
        <v>4254897</v>
      </c>
      <c r="R239" s="51">
        <f t="shared" si="21"/>
        <v>52229585</v>
      </c>
      <c r="S239" s="176">
        <f>BILLETAGE!Y240</f>
        <v>-56484482</v>
      </c>
      <c r="T239" s="52"/>
    </row>
    <row r="240" spans="1:20" ht="15.95" customHeight="1" x14ac:dyDescent="0.25">
      <c r="A240" s="43">
        <v>237</v>
      </c>
      <c r="B240" s="44">
        <v>46353</v>
      </c>
      <c r="C240" s="45" t="s">
        <v>205</v>
      </c>
      <c r="D240" s="43">
        <v>11</v>
      </c>
      <c r="E240" s="46">
        <v>33</v>
      </c>
      <c r="F240" s="8">
        <f t="shared" si="22"/>
        <v>56484482</v>
      </c>
      <c r="G240" s="190">
        <v>0</v>
      </c>
      <c r="H240" s="190">
        <v>0</v>
      </c>
      <c r="I240" s="343">
        <f t="shared" si="18"/>
        <v>0</v>
      </c>
      <c r="J240" s="191">
        <v>0</v>
      </c>
      <c r="K240" s="192">
        <v>0</v>
      </c>
      <c r="L240" s="192">
        <v>0</v>
      </c>
      <c r="M240" s="48">
        <f t="shared" si="19"/>
        <v>56484482</v>
      </c>
      <c r="N240" s="193">
        <v>0</v>
      </c>
      <c r="O240" s="49"/>
      <c r="P240" s="50">
        <f t="shared" si="20"/>
        <v>56484482</v>
      </c>
      <c r="Q240" s="13">
        <f t="shared" si="23"/>
        <v>4254897</v>
      </c>
      <c r="R240" s="51">
        <f t="shared" si="21"/>
        <v>52229585</v>
      </c>
      <c r="S240" s="176">
        <f>BILLETAGE!Y241</f>
        <v>-56484482</v>
      </c>
      <c r="T240" s="52"/>
    </row>
    <row r="241" spans="1:20" ht="15.95" customHeight="1" x14ac:dyDescent="0.25">
      <c r="A241" s="43">
        <v>238</v>
      </c>
      <c r="B241" s="44">
        <v>46356</v>
      </c>
      <c r="C241" s="45" t="s">
        <v>206</v>
      </c>
      <c r="D241" s="43">
        <v>11</v>
      </c>
      <c r="E241" s="46">
        <v>33</v>
      </c>
      <c r="F241" s="8">
        <f t="shared" si="22"/>
        <v>56484482</v>
      </c>
      <c r="G241" s="190">
        <v>0</v>
      </c>
      <c r="H241" s="190">
        <v>0</v>
      </c>
      <c r="I241" s="343">
        <f t="shared" si="18"/>
        <v>0</v>
      </c>
      <c r="J241" s="191">
        <v>0</v>
      </c>
      <c r="K241" s="192">
        <v>0</v>
      </c>
      <c r="L241" s="192">
        <v>0</v>
      </c>
      <c r="M241" s="48">
        <f t="shared" si="19"/>
        <v>56484482</v>
      </c>
      <c r="N241" s="193">
        <v>0</v>
      </c>
      <c r="O241" s="49"/>
      <c r="P241" s="50">
        <f t="shared" si="20"/>
        <v>56484482</v>
      </c>
      <c r="Q241" s="13">
        <f t="shared" si="23"/>
        <v>4254897</v>
      </c>
      <c r="R241" s="51">
        <f t="shared" si="21"/>
        <v>52229585</v>
      </c>
      <c r="S241" s="176">
        <f>BILLETAGE!Y242</f>
        <v>-56484482</v>
      </c>
      <c r="T241" s="52"/>
    </row>
    <row r="242" spans="1:20" ht="15.95" customHeight="1" x14ac:dyDescent="0.25">
      <c r="A242" s="78">
        <v>239</v>
      </c>
      <c r="B242" s="79">
        <v>46357</v>
      </c>
      <c r="C242" s="80" t="s">
        <v>207</v>
      </c>
      <c r="D242" s="78">
        <v>12</v>
      </c>
      <c r="E242" s="81">
        <v>34</v>
      </c>
      <c r="F242" s="32">
        <f t="shared" si="22"/>
        <v>56484482</v>
      </c>
      <c r="G242" s="190">
        <v>0</v>
      </c>
      <c r="H242" s="190">
        <v>0</v>
      </c>
      <c r="I242" s="343">
        <f t="shared" si="18"/>
        <v>0</v>
      </c>
      <c r="J242" s="191">
        <v>0</v>
      </c>
      <c r="K242" s="192">
        <v>0</v>
      </c>
      <c r="L242" s="192">
        <v>0</v>
      </c>
      <c r="M242" s="48">
        <f t="shared" si="19"/>
        <v>56484482</v>
      </c>
      <c r="N242" s="193">
        <v>0</v>
      </c>
      <c r="O242" s="49"/>
      <c r="P242" s="50">
        <f t="shared" si="20"/>
        <v>56484482</v>
      </c>
      <c r="Q242" s="13">
        <f t="shared" si="23"/>
        <v>4254897</v>
      </c>
      <c r="R242" s="51">
        <f t="shared" si="21"/>
        <v>52229585</v>
      </c>
      <c r="S242" s="176">
        <f>BILLETAGE!Y243</f>
        <v>-56484482</v>
      </c>
      <c r="T242" s="82"/>
    </row>
    <row r="243" spans="1:20" ht="15.95" customHeight="1" x14ac:dyDescent="0.25">
      <c r="A243" s="78">
        <v>240</v>
      </c>
      <c r="B243" s="79">
        <v>46358</v>
      </c>
      <c r="C243" s="80" t="s">
        <v>208</v>
      </c>
      <c r="D243" s="78">
        <v>12</v>
      </c>
      <c r="E243" s="81">
        <v>34</v>
      </c>
      <c r="F243" s="32">
        <f t="shared" si="22"/>
        <v>56484482</v>
      </c>
      <c r="G243" s="190">
        <v>0</v>
      </c>
      <c r="H243" s="190">
        <v>0</v>
      </c>
      <c r="I243" s="343">
        <f t="shared" si="18"/>
        <v>0</v>
      </c>
      <c r="J243" s="191">
        <v>0</v>
      </c>
      <c r="K243" s="192">
        <v>0</v>
      </c>
      <c r="L243" s="192">
        <v>0</v>
      </c>
      <c r="M243" s="48">
        <f t="shared" si="19"/>
        <v>56484482</v>
      </c>
      <c r="N243" s="193">
        <v>0</v>
      </c>
      <c r="O243" s="49"/>
      <c r="P243" s="50">
        <f t="shared" si="20"/>
        <v>56484482</v>
      </c>
      <c r="Q243" s="13">
        <f t="shared" si="23"/>
        <v>4254897</v>
      </c>
      <c r="R243" s="51">
        <f t="shared" si="21"/>
        <v>52229585</v>
      </c>
      <c r="S243" s="176">
        <f>BILLETAGE!Y244</f>
        <v>-56484482</v>
      </c>
      <c r="T243" s="82"/>
    </row>
    <row r="244" spans="1:20" ht="15.95" customHeight="1" x14ac:dyDescent="0.25">
      <c r="A244" s="78">
        <v>241</v>
      </c>
      <c r="B244" s="79">
        <v>46359</v>
      </c>
      <c r="C244" s="80" t="s">
        <v>204</v>
      </c>
      <c r="D244" s="78">
        <v>12</v>
      </c>
      <c r="E244" s="81">
        <v>34</v>
      </c>
      <c r="F244" s="32">
        <f t="shared" si="22"/>
        <v>56484482</v>
      </c>
      <c r="G244" s="190">
        <v>0</v>
      </c>
      <c r="H244" s="190">
        <v>0</v>
      </c>
      <c r="I244" s="343">
        <f t="shared" si="18"/>
        <v>0</v>
      </c>
      <c r="J244" s="191">
        <v>0</v>
      </c>
      <c r="K244" s="192">
        <v>0</v>
      </c>
      <c r="L244" s="192">
        <v>0</v>
      </c>
      <c r="M244" s="48">
        <f t="shared" si="19"/>
        <v>56484482</v>
      </c>
      <c r="N244" s="193">
        <v>0</v>
      </c>
      <c r="O244" s="49"/>
      <c r="P244" s="50">
        <f t="shared" si="20"/>
        <v>56484482</v>
      </c>
      <c r="Q244" s="13">
        <f t="shared" si="23"/>
        <v>4254897</v>
      </c>
      <c r="R244" s="51">
        <f t="shared" si="21"/>
        <v>52229585</v>
      </c>
      <c r="S244" s="176">
        <f>BILLETAGE!Y245</f>
        <v>-56484482</v>
      </c>
      <c r="T244" s="82"/>
    </row>
    <row r="245" spans="1:20" ht="15.95" customHeight="1" x14ac:dyDescent="0.25">
      <c r="A245" s="78">
        <v>242</v>
      </c>
      <c r="B245" s="79">
        <v>46360</v>
      </c>
      <c r="C245" s="80" t="s">
        <v>205</v>
      </c>
      <c r="D245" s="78">
        <v>12</v>
      </c>
      <c r="E245" s="81">
        <v>34</v>
      </c>
      <c r="F245" s="32">
        <f t="shared" si="22"/>
        <v>56484482</v>
      </c>
      <c r="G245" s="190">
        <v>0</v>
      </c>
      <c r="H245" s="190">
        <v>0</v>
      </c>
      <c r="I245" s="343">
        <f t="shared" si="18"/>
        <v>0</v>
      </c>
      <c r="J245" s="191">
        <v>0</v>
      </c>
      <c r="K245" s="192">
        <v>0</v>
      </c>
      <c r="L245" s="192">
        <v>0</v>
      </c>
      <c r="M245" s="48">
        <f t="shared" si="19"/>
        <v>56484482</v>
      </c>
      <c r="N245" s="193">
        <v>0</v>
      </c>
      <c r="O245" s="49"/>
      <c r="P245" s="50">
        <f t="shared" si="20"/>
        <v>56484482</v>
      </c>
      <c r="Q245" s="13">
        <f t="shared" si="23"/>
        <v>4254897</v>
      </c>
      <c r="R245" s="51">
        <f t="shared" si="21"/>
        <v>52229585</v>
      </c>
      <c r="S245" s="176">
        <f>BILLETAGE!Y246</f>
        <v>-56484482</v>
      </c>
      <c r="T245" s="82"/>
    </row>
    <row r="246" spans="1:20" ht="15.95" customHeight="1" x14ac:dyDescent="0.25">
      <c r="A246" s="78">
        <v>243</v>
      </c>
      <c r="B246" s="79">
        <v>46363</v>
      </c>
      <c r="C246" s="80" t="s">
        <v>206</v>
      </c>
      <c r="D246" s="78">
        <v>12</v>
      </c>
      <c r="E246" s="81">
        <v>34</v>
      </c>
      <c r="F246" s="32">
        <f t="shared" si="22"/>
        <v>56484482</v>
      </c>
      <c r="G246" s="190">
        <v>0</v>
      </c>
      <c r="H246" s="190">
        <v>0</v>
      </c>
      <c r="I246" s="343">
        <f t="shared" si="18"/>
        <v>0</v>
      </c>
      <c r="J246" s="191">
        <v>0</v>
      </c>
      <c r="K246" s="192">
        <v>0</v>
      </c>
      <c r="L246" s="192">
        <v>0</v>
      </c>
      <c r="M246" s="48">
        <f t="shared" si="19"/>
        <v>56484482</v>
      </c>
      <c r="N246" s="193">
        <v>0</v>
      </c>
      <c r="O246" s="49"/>
      <c r="P246" s="50">
        <f t="shared" si="20"/>
        <v>56484482</v>
      </c>
      <c r="Q246" s="13">
        <f t="shared" si="23"/>
        <v>4254897</v>
      </c>
      <c r="R246" s="51">
        <f t="shared" si="21"/>
        <v>52229585</v>
      </c>
      <c r="S246" s="176">
        <f>BILLETAGE!Y247</f>
        <v>-56484482</v>
      </c>
      <c r="T246" s="82"/>
    </row>
    <row r="247" spans="1:20" ht="15.95" customHeight="1" x14ac:dyDescent="0.25">
      <c r="A247" s="78">
        <v>244</v>
      </c>
      <c r="B247" s="79">
        <v>46364</v>
      </c>
      <c r="C247" s="80" t="s">
        <v>207</v>
      </c>
      <c r="D247" s="78">
        <v>12</v>
      </c>
      <c r="E247" s="81">
        <v>34</v>
      </c>
      <c r="F247" s="32">
        <f t="shared" si="22"/>
        <v>56484482</v>
      </c>
      <c r="G247" s="190">
        <v>0</v>
      </c>
      <c r="H247" s="190">
        <v>0</v>
      </c>
      <c r="I247" s="343">
        <f t="shared" si="18"/>
        <v>0</v>
      </c>
      <c r="J247" s="191">
        <v>0</v>
      </c>
      <c r="K247" s="192">
        <v>0</v>
      </c>
      <c r="L247" s="192">
        <v>0</v>
      </c>
      <c r="M247" s="48">
        <f t="shared" si="19"/>
        <v>56484482</v>
      </c>
      <c r="N247" s="193">
        <v>0</v>
      </c>
      <c r="O247" s="49"/>
      <c r="P247" s="50">
        <f t="shared" si="20"/>
        <v>56484482</v>
      </c>
      <c r="Q247" s="13">
        <f t="shared" si="23"/>
        <v>4254897</v>
      </c>
      <c r="R247" s="51">
        <f t="shared" si="21"/>
        <v>52229585</v>
      </c>
      <c r="S247" s="176">
        <f>BILLETAGE!Y248</f>
        <v>-56484482</v>
      </c>
      <c r="T247" s="82"/>
    </row>
    <row r="248" spans="1:20" ht="15.95" customHeight="1" x14ac:dyDescent="0.25">
      <c r="A248" s="78">
        <v>245</v>
      </c>
      <c r="B248" s="79">
        <v>46365</v>
      </c>
      <c r="C248" s="80" t="s">
        <v>208</v>
      </c>
      <c r="D248" s="78">
        <v>12</v>
      </c>
      <c r="E248" s="81">
        <v>34</v>
      </c>
      <c r="F248" s="32">
        <f t="shared" si="22"/>
        <v>56484482</v>
      </c>
      <c r="G248" s="190">
        <v>0</v>
      </c>
      <c r="H248" s="190">
        <v>0</v>
      </c>
      <c r="I248" s="343">
        <f t="shared" si="18"/>
        <v>0</v>
      </c>
      <c r="J248" s="191">
        <v>0</v>
      </c>
      <c r="K248" s="192">
        <v>0</v>
      </c>
      <c r="L248" s="192">
        <v>0</v>
      </c>
      <c r="M248" s="48">
        <f t="shared" si="19"/>
        <v>56484482</v>
      </c>
      <c r="N248" s="193">
        <v>0</v>
      </c>
      <c r="O248" s="49"/>
      <c r="P248" s="50">
        <f t="shared" si="20"/>
        <v>56484482</v>
      </c>
      <c r="Q248" s="13">
        <f t="shared" si="23"/>
        <v>4254897</v>
      </c>
      <c r="R248" s="51">
        <f t="shared" si="21"/>
        <v>52229585</v>
      </c>
      <c r="S248" s="176">
        <f>BILLETAGE!Y249</f>
        <v>-56484482</v>
      </c>
      <c r="T248" s="82"/>
    </row>
    <row r="249" spans="1:20" ht="15.95" customHeight="1" x14ac:dyDescent="0.25">
      <c r="A249" s="78">
        <v>246</v>
      </c>
      <c r="B249" s="79">
        <v>46366</v>
      </c>
      <c r="C249" s="80" t="s">
        <v>204</v>
      </c>
      <c r="D249" s="78">
        <v>12</v>
      </c>
      <c r="E249" s="81">
        <v>34</v>
      </c>
      <c r="F249" s="32">
        <f t="shared" si="22"/>
        <v>56484482</v>
      </c>
      <c r="G249" s="190">
        <v>0</v>
      </c>
      <c r="H249" s="190">
        <v>0</v>
      </c>
      <c r="I249" s="343">
        <f t="shared" si="18"/>
        <v>0</v>
      </c>
      <c r="J249" s="191">
        <v>0</v>
      </c>
      <c r="K249" s="192">
        <v>0</v>
      </c>
      <c r="L249" s="192">
        <v>0</v>
      </c>
      <c r="M249" s="48">
        <f t="shared" si="19"/>
        <v>56484482</v>
      </c>
      <c r="N249" s="193">
        <v>0</v>
      </c>
      <c r="O249" s="49"/>
      <c r="P249" s="50">
        <f t="shared" si="20"/>
        <v>56484482</v>
      </c>
      <c r="Q249" s="13">
        <f t="shared" si="23"/>
        <v>4254897</v>
      </c>
      <c r="R249" s="51">
        <f t="shared" si="21"/>
        <v>52229585</v>
      </c>
      <c r="S249" s="176">
        <f>BILLETAGE!Y250</f>
        <v>-56484482</v>
      </c>
      <c r="T249" s="82"/>
    </row>
    <row r="250" spans="1:20" ht="15.95" customHeight="1" x14ac:dyDescent="0.25">
      <c r="A250" s="78">
        <v>247</v>
      </c>
      <c r="B250" s="79">
        <v>46367</v>
      </c>
      <c r="C250" s="80" t="s">
        <v>205</v>
      </c>
      <c r="D250" s="78">
        <v>12</v>
      </c>
      <c r="E250" s="81">
        <v>35</v>
      </c>
      <c r="F250" s="32">
        <f t="shared" si="22"/>
        <v>56484482</v>
      </c>
      <c r="G250" s="190">
        <v>0</v>
      </c>
      <c r="H250" s="190">
        <v>0</v>
      </c>
      <c r="I250" s="343">
        <f t="shared" si="18"/>
        <v>0</v>
      </c>
      <c r="J250" s="191">
        <v>0</v>
      </c>
      <c r="K250" s="192">
        <v>0</v>
      </c>
      <c r="L250" s="192">
        <v>0</v>
      </c>
      <c r="M250" s="48">
        <f t="shared" si="19"/>
        <v>56484482</v>
      </c>
      <c r="N250" s="193">
        <v>0</v>
      </c>
      <c r="O250" s="49"/>
      <c r="P250" s="50">
        <f t="shared" si="20"/>
        <v>56484482</v>
      </c>
      <c r="Q250" s="13">
        <f t="shared" si="23"/>
        <v>4254897</v>
      </c>
      <c r="R250" s="51">
        <f t="shared" si="21"/>
        <v>52229585</v>
      </c>
      <c r="S250" s="176">
        <f>BILLETAGE!Y251</f>
        <v>-56484482</v>
      </c>
      <c r="T250" s="82"/>
    </row>
    <row r="251" spans="1:20" ht="15.95" customHeight="1" x14ac:dyDescent="0.25">
      <c r="A251" s="78">
        <v>248</v>
      </c>
      <c r="B251" s="79">
        <v>46370</v>
      </c>
      <c r="C251" s="80" t="s">
        <v>206</v>
      </c>
      <c r="D251" s="78">
        <v>12</v>
      </c>
      <c r="E251" s="81">
        <v>35</v>
      </c>
      <c r="F251" s="32">
        <f t="shared" si="22"/>
        <v>56484482</v>
      </c>
      <c r="G251" s="190">
        <v>0</v>
      </c>
      <c r="H251" s="190">
        <v>0</v>
      </c>
      <c r="I251" s="343">
        <f t="shared" si="18"/>
        <v>0</v>
      </c>
      <c r="J251" s="191">
        <v>0</v>
      </c>
      <c r="K251" s="192">
        <v>0</v>
      </c>
      <c r="L251" s="192">
        <v>0</v>
      </c>
      <c r="M251" s="48">
        <f t="shared" si="19"/>
        <v>56484482</v>
      </c>
      <c r="N251" s="193">
        <v>0</v>
      </c>
      <c r="O251" s="49"/>
      <c r="P251" s="50">
        <f t="shared" si="20"/>
        <v>56484482</v>
      </c>
      <c r="Q251" s="13">
        <f t="shared" si="23"/>
        <v>4254897</v>
      </c>
      <c r="R251" s="51">
        <f t="shared" si="21"/>
        <v>52229585</v>
      </c>
      <c r="S251" s="176">
        <f>BILLETAGE!Y252</f>
        <v>-56484482</v>
      </c>
      <c r="T251" s="82"/>
    </row>
    <row r="252" spans="1:20" ht="15.95" customHeight="1" x14ac:dyDescent="0.25">
      <c r="A252" s="78">
        <v>249</v>
      </c>
      <c r="B252" s="79">
        <v>46371</v>
      </c>
      <c r="C252" s="80" t="s">
        <v>207</v>
      </c>
      <c r="D252" s="78">
        <v>12</v>
      </c>
      <c r="E252" s="81">
        <v>35</v>
      </c>
      <c r="F252" s="32">
        <f t="shared" si="22"/>
        <v>56484482</v>
      </c>
      <c r="G252" s="190">
        <v>0</v>
      </c>
      <c r="H252" s="190">
        <v>0</v>
      </c>
      <c r="I252" s="343">
        <f t="shared" si="18"/>
        <v>0</v>
      </c>
      <c r="J252" s="191">
        <v>0</v>
      </c>
      <c r="K252" s="192">
        <v>0</v>
      </c>
      <c r="L252" s="192">
        <v>0</v>
      </c>
      <c r="M252" s="48">
        <f t="shared" si="19"/>
        <v>56484482</v>
      </c>
      <c r="N252" s="193">
        <v>0</v>
      </c>
      <c r="O252" s="49"/>
      <c r="P252" s="50">
        <f t="shared" si="20"/>
        <v>56484482</v>
      </c>
      <c r="Q252" s="13">
        <f t="shared" si="23"/>
        <v>4254897</v>
      </c>
      <c r="R252" s="51">
        <f t="shared" si="21"/>
        <v>52229585</v>
      </c>
      <c r="S252" s="176">
        <f>BILLETAGE!Y253</f>
        <v>-56484482</v>
      </c>
      <c r="T252" s="82"/>
    </row>
    <row r="253" spans="1:20" ht="15.95" customHeight="1" x14ac:dyDescent="0.25">
      <c r="A253" s="78">
        <v>250</v>
      </c>
      <c r="B253" s="79">
        <v>46372</v>
      </c>
      <c r="C253" s="80" t="s">
        <v>208</v>
      </c>
      <c r="D253" s="78">
        <v>12</v>
      </c>
      <c r="E253" s="81">
        <v>35</v>
      </c>
      <c r="F253" s="32">
        <f t="shared" si="22"/>
        <v>56484482</v>
      </c>
      <c r="G253" s="190">
        <v>0</v>
      </c>
      <c r="H253" s="190">
        <v>0</v>
      </c>
      <c r="I253" s="343">
        <f t="shared" si="18"/>
        <v>0</v>
      </c>
      <c r="J253" s="191">
        <v>0</v>
      </c>
      <c r="K253" s="192">
        <v>0</v>
      </c>
      <c r="L253" s="192">
        <v>0</v>
      </c>
      <c r="M253" s="48">
        <f t="shared" si="19"/>
        <v>56484482</v>
      </c>
      <c r="N253" s="193">
        <v>0</v>
      </c>
      <c r="O253" s="49"/>
      <c r="P253" s="50">
        <f t="shared" si="20"/>
        <v>56484482</v>
      </c>
      <c r="Q253" s="13">
        <f t="shared" si="23"/>
        <v>4254897</v>
      </c>
      <c r="R253" s="51">
        <f t="shared" si="21"/>
        <v>52229585</v>
      </c>
      <c r="S253" s="176">
        <f>BILLETAGE!Y254</f>
        <v>-56484482</v>
      </c>
      <c r="T253" s="82"/>
    </row>
    <row r="254" spans="1:20" ht="15.95" customHeight="1" x14ac:dyDescent="0.25">
      <c r="A254" s="78">
        <v>251</v>
      </c>
      <c r="B254" s="79">
        <v>46373</v>
      </c>
      <c r="C254" s="80" t="s">
        <v>204</v>
      </c>
      <c r="D254" s="78">
        <v>12</v>
      </c>
      <c r="E254" s="81">
        <v>35</v>
      </c>
      <c r="F254" s="32">
        <f t="shared" si="22"/>
        <v>56484482</v>
      </c>
      <c r="G254" s="190">
        <v>0</v>
      </c>
      <c r="H254" s="190">
        <v>0</v>
      </c>
      <c r="I254" s="343">
        <f t="shared" si="18"/>
        <v>0</v>
      </c>
      <c r="J254" s="191">
        <v>0</v>
      </c>
      <c r="K254" s="192">
        <v>0</v>
      </c>
      <c r="L254" s="192">
        <v>0</v>
      </c>
      <c r="M254" s="48">
        <f t="shared" si="19"/>
        <v>56484482</v>
      </c>
      <c r="N254" s="193">
        <v>0</v>
      </c>
      <c r="O254" s="49"/>
      <c r="P254" s="50">
        <f t="shared" si="20"/>
        <v>56484482</v>
      </c>
      <c r="Q254" s="13">
        <f t="shared" si="23"/>
        <v>4254897</v>
      </c>
      <c r="R254" s="51">
        <f t="shared" si="21"/>
        <v>52229585</v>
      </c>
      <c r="S254" s="176">
        <f>BILLETAGE!Y255</f>
        <v>-56484482</v>
      </c>
      <c r="T254" s="82"/>
    </row>
    <row r="255" spans="1:20" ht="15.95" customHeight="1" x14ac:dyDescent="0.25">
      <c r="A255" s="78">
        <v>252</v>
      </c>
      <c r="B255" s="79">
        <v>46374</v>
      </c>
      <c r="C255" s="80" t="s">
        <v>205</v>
      </c>
      <c r="D255" s="78">
        <v>12</v>
      </c>
      <c r="E255" s="81">
        <v>35</v>
      </c>
      <c r="F255" s="32">
        <f t="shared" si="22"/>
        <v>56484482</v>
      </c>
      <c r="G255" s="190">
        <v>0</v>
      </c>
      <c r="H255" s="190">
        <v>0</v>
      </c>
      <c r="I255" s="343">
        <f t="shared" si="18"/>
        <v>0</v>
      </c>
      <c r="J255" s="191">
        <v>0</v>
      </c>
      <c r="K255" s="192">
        <v>0</v>
      </c>
      <c r="L255" s="192">
        <v>0</v>
      </c>
      <c r="M255" s="48">
        <f t="shared" si="19"/>
        <v>56484482</v>
      </c>
      <c r="N255" s="193">
        <v>0</v>
      </c>
      <c r="O255" s="49"/>
      <c r="P255" s="50">
        <f t="shared" si="20"/>
        <v>56484482</v>
      </c>
      <c r="Q255" s="13">
        <f t="shared" si="23"/>
        <v>4254897</v>
      </c>
      <c r="R255" s="51">
        <f t="shared" si="21"/>
        <v>52229585</v>
      </c>
      <c r="S255" s="176">
        <f>BILLETAGE!Y256</f>
        <v>-56484482</v>
      </c>
      <c r="T255" s="82"/>
    </row>
    <row r="256" spans="1:20" ht="15.95" customHeight="1" x14ac:dyDescent="0.25">
      <c r="A256" s="78">
        <v>253</v>
      </c>
      <c r="B256" s="79">
        <v>46377</v>
      </c>
      <c r="C256" s="80" t="s">
        <v>206</v>
      </c>
      <c r="D256" s="78">
        <v>12</v>
      </c>
      <c r="E256" s="81">
        <v>36</v>
      </c>
      <c r="F256" s="32">
        <f t="shared" si="22"/>
        <v>56484482</v>
      </c>
      <c r="G256" s="190">
        <v>0</v>
      </c>
      <c r="H256" s="190">
        <v>0</v>
      </c>
      <c r="I256" s="343">
        <f t="shared" si="18"/>
        <v>0</v>
      </c>
      <c r="J256" s="191">
        <v>0</v>
      </c>
      <c r="K256" s="192">
        <v>0</v>
      </c>
      <c r="L256" s="192">
        <v>0</v>
      </c>
      <c r="M256" s="48">
        <f t="shared" si="19"/>
        <v>56484482</v>
      </c>
      <c r="N256" s="193">
        <v>0</v>
      </c>
      <c r="O256" s="49"/>
      <c r="P256" s="50">
        <f t="shared" si="20"/>
        <v>56484482</v>
      </c>
      <c r="Q256" s="13">
        <f t="shared" si="23"/>
        <v>4254897</v>
      </c>
      <c r="R256" s="51">
        <f t="shared" si="21"/>
        <v>52229585</v>
      </c>
      <c r="S256" s="176">
        <f>BILLETAGE!Y257</f>
        <v>-56484482</v>
      </c>
      <c r="T256" s="82"/>
    </row>
    <row r="257" spans="1:20" ht="15.95" customHeight="1" x14ac:dyDescent="0.25">
      <c r="A257" s="78">
        <v>254</v>
      </c>
      <c r="B257" s="79">
        <v>46378</v>
      </c>
      <c r="C257" s="80" t="s">
        <v>207</v>
      </c>
      <c r="D257" s="78">
        <v>12</v>
      </c>
      <c r="E257" s="81">
        <v>36</v>
      </c>
      <c r="F257" s="32">
        <f t="shared" si="22"/>
        <v>56484482</v>
      </c>
      <c r="G257" s="190">
        <v>0</v>
      </c>
      <c r="H257" s="190">
        <v>0</v>
      </c>
      <c r="I257" s="343">
        <f t="shared" si="18"/>
        <v>0</v>
      </c>
      <c r="J257" s="191">
        <v>0</v>
      </c>
      <c r="K257" s="192">
        <v>0</v>
      </c>
      <c r="L257" s="192">
        <v>0</v>
      </c>
      <c r="M257" s="48">
        <f t="shared" si="19"/>
        <v>56484482</v>
      </c>
      <c r="N257" s="193">
        <v>0</v>
      </c>
      <c r="O257" s="49"/>
      <c r="P257" s="50">
        <f t="shared" si="20"/>
        <v>56484482</v>
      </c>
      <c r="Q257" s="13">
        <f t="shared" si="23"/>
        <v>4254897</v>
      </c>
      <c r="R257" s="51">
        <f t="shared" si="21"/>
        <v>52229585</v>
      </c>
      <c r="S257" s="176">
        <f>BILLETAGE!Y258</f>
        <v>-56484482</v>
      </c>
      <c r="T257" s="82"/>
    </row>
    <row r="258" spans="1:20" ht="15.95" customHeight="1" x14ac:dyDescent="0.25">
      <c r="A258" s="78">
        <v>255</v>
      </c>
      <c r="B258" s="79">
        <v>46379</v>
      </c>
      <c r="C258" s="80" t="s">
        <v>208</v>
      </c>
      <c r="D258" s="78">
        <v>12</v>
      </c>
      <c r="E258" s="81">
        <v>36</v>
      </c>
      <c r="F258" s="32">
        <f t="shared" si="22"/>
        <v>56484482</v>
      </c>
      <c r="G258" s="190">
        <v>0</v>
      </c>
      <c r="H258" s="190"/>
      <c r="I258" s="343">
        <f t="shared" si="18"/>
        <v>0</v>
      </c>
      <c r="J258" s="191">
        <v>0</v>
      </c>
      <c r="K258" s="192">
        <v>0</v>
      </c>
      <c r="L258" s="192">
        <v>0</v>
      </c>
      <c r="M258" s="48">
        <f t="shared" si="19"/>
        <v>56484482</v>
      </c>
      <c r="N258" s="193">
        <v>0</v>
      </c>
      <c r="O258" s="49"/>
      <c r="P258" s="50">
        <f t="shared" si="20"/>
        <v>56484482</v>
      </c>
      <c r="Q258" s="13">
        <f t="shared" si="23"/>
        <v>4254897</v>
      </c>
      <c r="R258" s="51">
        <f t="shared" si="21"/>
        <v>52229585</v>
      </c>
      <c r="S258" s="176">
        <f>BILLETAGE!Y259</f>
        <v>-56484482</v>
      </c>
      <c r="T258" s="82"/>
    </row>
    <row r="259" spans="1:20" ht="15.95" customHeight="1" x14ac:dyDescent="0.25">
      <c r="A259" s="78">
        <v>256</v>
      </c>
      <c r="B259" s="79">
        <v>46380</v>
      </c>
      <c r="C259" s="80" t="s">
        <v>204</v>
      </c>
      <c r="D259" s="78">
        <v>12</v>
      </c>
      <c r="E259" s="81">
        <v>36</v>
      </c>
      <c r="F259" s="32">
        <f t="shared" si="22"/>
        <v>56484482</v>
      </c>
      <c r="G259" s="190">
        <v>0</v>
      </c>
      <c r="H259" s="190">
        <v>0</v>
      </c>
      <c r="I259" s="343">
        <f t="shared" si="18"/>
        <v>0</v>
      </c>
      <c r="J259" s="191">
        <v>0</v>
      </c>
      <c r="K259" s="192">
        <v>0</v>
      </c>
      <c r="L259" s="192">
        <v>0</v>
      </c>
      <c r="M259" s="48">
        <f t="shared" si="19"/>
        <v>56484482</v>
      </c>
      <c r="N259" s="193">
        <v>0</v>
      </c>
      <c r="O259" s="49"/>
      <c r="P259" s="50">
        <f t="shared" si="20"/>
        <v>56484482</v>
      </c>
      <c r="Q259" s="13">
        <f t="shared" si="23"/>
        <v>4254897</v>
      </c>
      <c r="R259" s="51">
        <f t="shared" si="21"/>
        <v>52229585</v>
      </c>
      <c r="S259" s="176">
        <f>BILLETAGE!Y260</f>
        <v>-56484482</v>
      </c>
      <c r="T259" s="82"/>
    </row>
    <row r="260" spans="1:20" ht="15.95" customHeight="1" x14ac:dyDescent="0.25">
      <c r="A260" s="78">
        <v>257</v>
      </c>
      <c r="B260" s="79">
        <v>46381</v>
      </c>
      <c r="C260" s="80" t="s">
        <v>205</v>
      </c>
      <c r="D260" s="78">
        <v>12</v>
      </c>
      <c r="E260" s="81">
        <v>36</v>
      </c>
      <c r="F260" s="32">
        <f t="shared" si="22"/>
        <v>56484482</v>
      </c>
      <c r="G260" s="190">
        <v>0</v>
      </c>
      <c r="H260" s="190">
        <v>0</v>
      </c>
      <c r="I260" s="343">
        <f t="shared" si="18"/>
        <v>0</v>
      </c>
      <c r="J260" s="191">
        <v>0</v>
      </c>
      <c r="K260" s="192">
        <v>0</v>
      </c>
      <c r="L260" s="192">
        <v>0</v>
      </c>
      <c r="M260" s="48">
        <f t="shared" si="19"/>
        <v>56484482</v>
      </c>
      <c r="N260" s="193">
        <v>0</v>
      </c>
      <c r="O260" s="49"/>
      <c r="P260" s="50">
        <f t="shared" si="20"/>
        <v>56484482</v>
      </c>
      <c r="Q260" s="13">
        <f t="shared" si="23"/>
        <v>4254897</v>
      </c>
      <c r="R260" s="51">
        <f t="shared" ref="R260:R264" si="24">P260-Q260</f>
        <v>52229585</v>
      </c>
      <c r="S260" s="176">
        <f>BILLETAGE!Y261</f>
        <v>-56484482</v>
      </c>
      <c r="T260" s="82"/>
    </row>
    <row r="261" spans="1:20" ht="15.95" customHeight="1" x14ac:dyDescent="0.25">
      <c r="A261" s="78">
        <v>258</v>
      </c>
      <c r="B261" s="79">
        <v>46384</v>
      </c>
      <c r="C261" s="80" t="s">
        <v>206</v>
      </c>
      <c r="D261" s="78">
        <v>12</v>
      </c>
      <c r="E261" s="81">
        <v>36</v>
      </c>
      <c r="F261" s="32">
        <f t="shared" si="22"/>
        <v>56484482</v>
      </c>
      <c r="G261" s="190">
        <v>0</v>
      </c>
      <c r="H261" s="190">
        <v>0</v>
      </c>
      <c r="I261" s="343">
        <f t="shared" ref="I260:I264" si="25">G261+H261</f>
        <v>0</v>
      </c>
      <c r="J261" s="191">
        <v>0</v>
      </c>
      <c r="K261" s="192">
        <v>0</v>
      </c>
      <c r="L261" s="192">
        <v>0</v>
      </c>
      <c r="M261" s="48">
        <f t="shared" si="19"/>
        <v>56484482</v>
      </c>
      <c r="N261" s="193">
        <v>0</v>
      </c>
      <c r="O261" s="49"/>
      <c r="P261" s="50">
        <f t="shared" si="20"/>
        <v>56484482</v>
      </c>
      <c r="Q261" s="13">
        <f t="shared" si="23"/>
        <v>4254897</v>
      </c>
      <c r="R261" s="51">
        <f t="shared" si="24"/>
        <v>52229585</v>
      </c>
      <c r="S261" s="176">
        <f>BILLETAGE!Y262</f>
        <v>-56484482</v>
      </c>
      <c r="T261" s="82"/>
    </row>
    <row r="262" spans="1:20" ht="15.95" customHeight="1" x14ac:dyDescent="0.25">
      <c r="A262" s="78">
        <v>259</v>
      </c>
      <c r="B262" s="79">
        <v>46385</v>
      </c>
      <c r="C262" s="80" t="s">
        <v>207</v>
      </c>
      <c r="D262" s="78">
        <v>12</v>
      </c>
      <c r="E262" s="81">
        <v>36</v>
      </c>
      <c r="F262" s="32">
        <f t="shared" si="22"/>
        <v>56484482</v>
      </c>
      <c r="G262" s="190">
        <v>0</v>
      </c>
      <c r="H262" s="190">
        <v>0</v>
      </c>
      <c r="I262" s="343">
        <f t="shared" si="25"/>
        <v>0</v>
      </c>
      <c r="J262" s="191">
        <v>0</v>
      </c>
      <c r="K262" s="192">
        <v>0</v>
      </c>
      <c r="L262" s="192">
        <v>0</v>
      </c>
      <c r="M262" s="48">
        <f t="shared" si="19"/>
        <v>56484482</v>
      </c>
      <c r="N262" s="193">
        <v>0</v>
      </c>
      <c r="O262" s="49"/>
      <c r="P262" s="50">
        <f t="shared" si="20"/>
        <v>56484482</v>
      </c>
      <c r="Q262" s="13">
        <f t="shared" si="23"/>
        <v>4254897</v>
      </c>
      <c r="R262" s="51">
        <f t="shared" si="24"/>
        <v>52229585</v>
      </c>
      <c r="S262" s="176">
        <f>BILLETAGE!Y263</f>
        <v>-56484482</v>
      </c>
      <c r="T262" s="82"/>
    </row>
    <row r="263" spans="1:20" ht="15.95" customHeight="1" x14ac:dyDescent="0.25">
      <c r="A263" s="78">
        <v>260</v>
      </c>
      <c r="B263" s="79">
        <v>46386</v>
      </c>
      <c r="C263" s="80" t="s">
        <v>208</v>
      </c>
      <c r="D263" s="78">
        <v>12</v>
      </c>
      <c r="E263" s="81">
        <v>36</v>
      </c>
      <c r="F263" s="32">
        <f t="shared" si="22"/>
        <v>56484482</v>
      </c>
      <c r="G263" s="190">
        <v>0</v>
      </c>
      <c r="H263" s="190">
        <v>0</v>
      </c>
      <c r="I263" s="343">
        <f t="shared" si="25"/>
        <v>0</v>
      </c>
      <c r="J263" s="191">
        <v>0</v>
      </c>
      <c r="K263" s="192">
        <v>0</v>
      </c>
      <c r="L263" s="192">
        <v>0</v>
      </c>
      <c r="M263" s="48">
        <f t="shared" si="19"/>
        <v>56484482</v>
      </c>
      <c r="N263" s="193">
        <v>0</v>
      </c>
      <c r="O263" s="49"/>
      <c r="P263" s="50">
        <f t="shared" si="20"/>
        <v>56484482</v>
      </c>
      <c r="Q263" s="13">
        <f t="shared" si="23"/>
        <v>4254897</v>
      </c>
      <c r="R263" s="51">
        <f t="shared" si="24"/>
        <v>52229585</v>
      </c>
      <c r="S263" s="176">
        <f>BILLETAGE!Y264</f>
        <v>-56484482</v>
      </c>
      <c r="T263" s="82"/>
    </row>
    <row r="264" spans="1:20" ht="15.95" customHeight="1" x14ac:dyDescent="0.25">
      <c r="A264" s="78">
        <v>261</v>
      </c>
      <c r="B264" s="79">
        <v>46387</v>
      </c>
      <c r="C264" s="80" t="s">
        <v>204</v>
      </c>
      <c r="D264" s="78">
        <v>12</v>
      </c>
      <c r="E264" s="81">
        <v>36</v>
      </c>
      <c r="F264" s="32">
        <f t="shared" si="22"/>
        <v>56484482</v>
      </c>
      <c r="G264" s="190">
        <v>0</v>
      </c>
      <c r="H264" s="190">
        <v>0</v>
      </c>
      <c r="I264" s="343">
        <f t="shared" si="25"/>
        <v>0</v>
      </c>
      <c r="J264" s="191">
        <v>0</v>
      </c>
      <c r="K264" s="192">
        <v>0</v>
      </c>
      <c r="L264" s="192">
        <v>0</v>
      </c>
      <c r="M264" s="48">
        <f t="shared" si="19"/>
        <v>56484482</v>
      </c>
      <c r="N264" s="193">
        <v>0</v>
      </c>
      <c r="O264" s="49"/>
      <c r="P264" s="50">
        <f t="shared" si="20"/>
        <v>56484482</v>
      </c>
      <c r="Q264" s="13">
        <f t="shared" si="23"/>
        <v>4254897</v>
      </c>
      <c r="R264" s="51">
        <f t="shared" si="24"/>
        <v>52229585</v>
      </c>
      <c r="S264" s="176">
        <f>BILLETAGE!Y265</f>
        <v>-56484482</v>
      </c>
      <c r="T264" s="82"/>
    </row>
    <row r="265" spans="1:20" ht="20.100000000000001" customHeight="1" x14ac:dyDescent="0.25">
      <c r="A265" s="254" t="s">
        <v>209</v>
      </c>
      <c r="B265" s="237"/>
      <c r="C265" s="237"/>
      <c r="D265" s="237"/>
      <c r="E265" s="237"/>
      <c r="F265" s="35">
        <f>PARAMETRES!C11</f>
        <v>56377361</v>
      </c>
      <c r="G265" s="35">
        <f t="shared" ref="G265:L265" si="26">SUM(G4:G264)</f>
        <v>1404450</v>
      </c>
      <c r="H265" s="35">
        <f t="shared" si="26"/>
        <v>0</v>
      </c>
      <c r="I265" s="344">
        <f t="shared" si="26"/>
        <v>1404450</v>
      </c>
      <c r="J265" s="35">
        <f t="shared" si="26"/>
        <v>1297329</v>
      </c>
      <c r="K265" s="35">
        <f t="shared" si="26"/>
        <v>0</v>
      </c>
      <c r="L265" s="35">
        <f t="shared" si="26"/>
        <v>0</v>
      </c>
      <c r="N265" s="35">
        <f>SUM(N4:N264)</f>
        <v>0</v>
      </c>
      <c r="P265" s="35">
        <f>P264</f>
        <v>56484482</v>
      </c>
      <c r="Q265" s="35">
        <f>Q264</f>
        <v>4254897</v>
      </c>
      <c r="R265" s="35">
        <f>R264</f>
        <v>52229585</v>
      </c>
    </row>
  </sheetData>
  <sheetProtection algorithmName="SHA-512" hashValue="9wOvhpIRGKMG5mj1KPlItF5X/Y4Y8ECcyRoVHQPeSEd3lq4rr7pbimTiZsjiG/YXxQA9jvQzfd/Ue0h8Yp8Mmw==" saltValue="rjNAyU+CszsbcGVbKhqmYg==" spinCount="100000" sheet="1" formatCells="0" formatColumns="0" formatRows="0"/>
  <mergeCells count="11">
    <mergeCell ref="A1:T1"/>
    <mergeCell ref="G2:I2"/>
    <mergeCell ref="J2:L2"/>
    <mergeCell ref="A2:E2"/>
    <mergeCell ref="A265:E265"/>
    <mergeCell ref="F2"/>
    <mergeCell ref="P2:R2"/>
    <mergeCell ref="N2:O2"/>
    <mergeCell ref="M2"/>
    <mergeCell ref="S2"/>
    <mergeCell ref="T2"/>
  </mergeCells>
  <conditionalFormatting sqref="A4:T264">
    <cfRule type="expression" dxfId="4" priority="1">
      <formula>$N4&lt;&gt;0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33C00"/>
  </sheetPr>
  <dimension ref="A1:AE266"/>
  <sheetViews>
    <sheetView showGridLines="0" workbookViewId="0">
      <pane xSplit="4" ySplit="4" topLeftCell="H102" activePane="bottomRight" state="frozen"/>
      <selection pane="topRight"/>
      <selection pane="bottomLeft"/>
      <selection pane="bottomRight" activeCell="AC109" sqref="AC109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6" customWidth="1"/>
    <col min="5" max="9" width="11" customWidth="1"/>
    <col min="10" max="10" width="13" customWidth="1"/>
    <col min="11" max="14" width="10" customWidth="1"/>
    <col min="15" max="19" width="9" customWidth="1"/>
    <col min="20" max="20" width="12" customWidth="1"/>
    <col min="21" max="21" width="11" customWidth="1"/>
    <col min="22" max="22" width="13" customWidth="1"/>
    <col min="23" max="24" width="14" customWidth="1"/>
    <col min="25" max="25" width="13" customWidth="1"/>
    <col min="26" max="26" width="22" customWidth="1"/>
    <col min="27" max="30" width="14" customWidth="1"/>
    <col min="31" max="31" width="16" customWidth="1"/>
  </cols>
  <sheetData>
    <row r="1" spans="1:31" ht="30" customHeight="1" x14ac:dyDescent="0.25">
      <c r="A1" s="332" t="s">
        <v>210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</row>
    <row r="2" spans="1:31" ht="15.95" customHeight="1" x14ac:dyDescent="0.25">
      <c r="A2" s="336" t="s">
        <v>211</v>
      </c>
      <c r="B2" s="237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</row>
    <row r="3" spans="1:31" ht="18" customHeight="1" x14ac:dyDescent="0.25">
      <c r="A3" s="333" t="s">
        <v>177</v>
      </c>
      <c r="B3" s="276"/>
      <c r="C3" s="276"/>
      <c r="D3" s="277"/>
      <c r="E3" s="327" t="s">
        <v>212</v>
      </c>
      <c r="F3" s="276"/>
      <c r="G3" s="276"/>
      <c r="H3" s="276"/>
      <c r="I3" s="276"/>
      <c r="J3" s="277"/>
      <c r="K3" s="334" t="s">
        <v>213</v>
      </c>
      <c r="L3" s="276"/>
      <c r="M3" s="276"/>
      <c r="N3" s="276"/>
      <c r="O3" s="276"/>
      <c r="P3" s="276"/>
      <c r="Q3" s="276"/>
      <c r="R3" s="276"/>
      <c r="S3" s="276"/>
      <c r="T3" s="277"/>
      <c r="U3" s="330" t="s">
        <v>214</v>
      </c>
      <c r="V3" s="277"/>
      <c r="W3" s="328" t="s">
        <v>215</v>
      </c>
      <c r="X3" s="329" t="s">
        <v>216</v>
      </c>
      <c r="Y3" s="335" t="s">
        <v>217</v>
      </c>
      <c r="Z3" s="330" t="s">
        <v>185</v>
      </c>
      <c r="AA3" s="331" t="s">
        <v>218</v>
      </c>
      <c r="AB3" s="276"/>
      <c r="AC3" s="276"/>
      <c r="AD3" s="276"/>
      <c r="AE3" s="277"/>
    </row>
    <row r="4" spans="1:31" ht="39.950000000000003" customHeight="1" x14ac:dyDescent="0.25">
      <c r="A4" s="102" t="s">
        <v>186</v>
      </c>
      <c r="B4" s="102" t="s">
        <v>187</v>
      </c>
      <c r="C4" s="102" t="s">
        <v>188</v>
      </c>
      <c r="D4" s="102" t="s">
        <v>219</v>
      </c>
      <c r="E4" s="103" t="s">
        <v>220</v>
      </c>
      <c r="F4" s="103" t="s">
        <v>221</v>
      </c>
      <c r="G4" s="103" t="s">
        <v>222</v>
      </c>
      <c r="H4" s="103" t="s">
        <v>223</v>
      </c>
      <c r="I4" s="103" t="s">
        <v>224</v>
      </c>
      <c r="J4" s="103" t="s">
        <v>225</v>
      </c>
      <c r="K4" s="104" t="s">
        <v>226</v>
      </c>
      <c r="L4" s="104" t="s">
        <v>227</v>
      </c>
      <c r="M4" s="104" t="s">
        <v>228</v>
      </c>
      <c r="N4" s="104" t="s">
        <v>229</v>
      </c>
      <c r="O4" s="104" t="s">
        <v>230</v>
      </c>
      <c r="P4" s="104" t="s">
        <v>231</v>
      </c>
      <c r="Q4" s="104" t="s">
        <v>232</v>
      </c>
      <c r="R4" s="104" t="s">
        <v>233</v>
      </c>
      <c r="S4" s="104" t="s">
        <v>234</v>
      </c>
      <c r="T4" s="104" t="s">
        <v>235</v>
      </c>
      <c r="U4" s="105" t="s">
        <v>236</v>
      </c>
      <c r="V4" s="105" t="s">
        <v>237</v>
      </c>
      <c r="W4" s="106" t="s">
        <v>238</v>
      </c>
      <c r="X4" s="107" t="s">
        <v>239</v>
      </c>
      <c r="Y4" s="108" t="s">
        <v>240</v>
      </c>
      <c r="Z4" s="105" t="s">
        <v>185</v>
      </c>
      <c r="AA4" s="177" t="s">
        <v>241</v>
      </c>
      <c r="AB4" s="108" t="s">
        <v>242</v>
      </c>
      <c r="AC4" s="177" t="s">
        <v>243</v>
      </c>
      <c r="AD4" s="108" t="s">
        <v>244</v>
      </c>
      <c r="AE4" s="102" t="s">
        <v>245</v>
      </c>
    </row>
    <row r="5" spans="1:31" ht="15.95" customHeight="1" x14ac:dyDescent="0.25">
      <c r="A5" s="109">
        <v>1</v>
      </c>
      <c r="B5" s="110">
        <v>46023</v>
      </c>
      <c r="C5" s="111" t="s">
        <v>204</v>
      </c>
      <c r="D5" s="112">
        <v>1</v>
      </c>
      <c r="E5" s="194">
        <v>0</v>
      </c>
      <c r="F5" s="194">
        <v>0</v>
      </c>
      <c r="G5" s="194">
        <v>0</v>
      </c>
      <c r="H5" s="194">
        <v>0</v>
      </c>
      <c r="I5" s="194">
        <v>0</v>
      </c>
      <c r="J5" s="113">
        <f t="shared" ref="J5:J68" si="0">E5+F5+G5+H5+I5</f>
        <v>0</v>
      </c>
      <c r="K5" s="195">
        <v>0</v>
      </c>
      <c r="L5" s="195">
        <v>0</v>
      </c>
      <c r="M5" s="195">
        <v>0</v>
      </c>
      <c r="N5" s="195">
        <v>0</v>
      </c>
      <c r="O5" s="195">
        <v>0</v>
      </c>
      <c r="P5" s="195">
        <v>0</v>
      </c>
      <c r="Q5" s="195">
        <v>0</v>
      </c>
      <c r="R5" s="195">
        <v>0</v>
      </c>
      <c r="S5" s="195">
        <v>56377361</v>
      </c>
      <c r="T5" s="114">
        <f t="shared" ref="T5:T68" si="1">K5+L5+M5+N5+O5+P5+Q5+R5+S5</f>
        <v>56377361</v>
      </c>
      <c r="U5" s="196">
        <v>0</v>
      </c>
      <c r="V5" s="196">
        <v>0</v>
      </c>
      <c r="W5" s="115">
        <f t="shared" ref="W5:W68" si="2">J5+T5+U5+V5</f>
        <v>56377361</v>
      </c>
      <c r="X5" s="116">
        <f>'SUIVI 2026'!M4</f>
        <v>56377361</v>
      </c>
      <c r="Y5" s="117">
        <f t="shared" ref="Y5:Y68" si="3">W5-X5</f>
        <v>0</v>
      </c>
      <c r="Z5" s="118"/>
      <c r="AA5" s="178">
        <f t="shared" ref="AA5:AA68" si="4">IF(Y5&gt;0,Y5,0)</f>
        <v>0</v>
      </c>
      <c r="AB5" s="179">
        <f t="shared" ref="AB5:AB68" si="5">IF(Y5&lt;0,Y5,0)</f>
        <v>0</v>
      </c>
      <c r="AC5" s="178">
        <f>SUM(AA5:AA5)</f>
        <v>0</v>
      </c>
      <c r="AD5" s="179">
        <f>SUM(AB5:AB5)</f>
        <v>0</v>
      </c>
      <c r="AE5" s="180">
        <f t="shared" ref="AE5:AE68" si="6">AC5+AD5</f>
        <v>0</v>
      </c>
    </row>
    <row r="6" spans="1:31" ht="15.95" customHeight="1" x14ac:dyDescent="0.25">
      <c r="A6" s="109">
        <v>2</v>
      </c>
      <c r="B6" s="110">
        <v>46024</v>
      </c>
      <c r="C6" s="111" t="s">
        <v>205</v>
      </c>
      <c r="D6" s="112">
        <v>1</v>
      </c>
      <c r="E6" s="194">
        <v>0</v>
      </c>
      <c r="F6" s="194">
        <v>0</v>
      </c>
      <c r="G6" s="194">
        <v>0</v>
      </c>
      <c r="H6" s="194">
        <v>0</v>
      </c>
      <c r="I6" s="194">
        <v>0</v>
      </c>
      <c r="J6" s="113">
        <f t="shared" si="0"/>
        <v>0</v>
      </c>
      <c r="K6" s="195">
        <v>0</v>
      </c>
      <c r="L6" s="195">
        <v>0</v>
      </c>
      <c r="M6" s="195">
        <v>0</v>
      </c>
      <c r="N6" s="195">
        <v>0</v>
      </c>
      <c r="O6" s="195">
        <v>0</v>
      </c>
      <c r="P6" s="195">
        <v>0</v>
      </c>
      <c r="Q6" s="195">
        <v>0</v>
      </c>
      <c r="R6" s="195">
        <v>0</v>
      </c>
      <c r="S6" s="195">
        <v>56377361</v>
      </c>
      <c r="T6" s="114">
        <f t="shared" si="1"/>
        <v>56377361</v>
      </c>
      <c r="U6" s="196">
        <v>0</v>
      </c>
      <c r="V6" s="196">
        <v>0</v>
      </c>
      <c r="W6" s="115">
        <f t="shared" si="2"/>
        <v>56377361</v>
      </c>
      <c r="X6" s="116">
        <f>'SUIVI 2026'!M5</f>
        <v>56377361</v>
      </c>
      <c r="Y6" s="117">
        <f t="shared" si="3"/>
        <v>0</v>
      </c>
      <c r="Z6" s="118"/>
      <c r="AA6" s="181">
        <f t="shared" si="4"/>
        <v>0</v>
      </c>
      <c r="AB6" s="182">
        <f t="shared" si="5"/>
        <v>0</v>
      </c>
      <c r="AC6" s="181">
        <f>SUM(AA5:AA6)</f>
        <v>0</v>
      </c>
      <c r="AD6" s="182">
        <f>SUM(AB5:AB6)</f>
        <v>0</v>
      </c>
      <c r="AE6" s="183">
        <f t="shared" si="6"/>
        <v>0</v>
      </c>
    </row>
    <row r="7" spans="1:31" ht="15.95" customHeight="1" x14ac:dyDescent="0.25">
      <c r="A7" s="109">
        <v>3</v>
      </c>
      <c r="B7" s="110">
        <v>46027</v>
      </c>
      <c r="C7" s="111" t="s">
        <v>206</v>
      </c>
      <c r="D7" s="112">
        <v>1</v>
      </c>
      <c r="E7" s="194">
        <v>0</v>
      </c>
      <c r="F7" s="194">
        <v>0</v>
      </c>
      <c r="G7" s="194">
        <v>0</v>
      </c>
      <c r="H7" s="194">
        <v>0</v>
      </c>
      <c r="I7" s="194">
        <v>0</v>
      </c>
      <c r="J7" s="113">
        <f t="shared" si="0"/>
        <v>0</v>
      </c>
      <c r="K7" s="195">
        <v>0</v>
      </c>
      <c r="L7" s="195">
        <v>0</v>
      </c>
      <c r="M7" s="195">
        <v>0</v>
      </c>
      <c r="N7" s="195">
        <v>0</v>
      </c>
      <c r="O7" s="195">
        <v>0</v>
      </c>
      <c r="P7" s="195">
        <v>0</v>
      </c>
      <c r="Q7" s="195">
        <v>0</v>
      </c>
      <c r="R7" s="195">
        <v>0</v>
      </c>
      <c r="S7" s="195">
        <v>56377361</v>
      </c>
      <c r="T7" s="114">
        <f t="shared" si="1"/>
        <v>56377361</v>
      </c>
      <c r="U7" s="196">
        <v>0</v>
      </c>
      <c r="V7" s="196">
        <v>0</v>
      </c>
      <c r="W7" s="115">
        <f t="shared" si="2"/>
        <v>56377361</v>
      </c>
      <c r="X7" s="116">
        <f>'SUIVI 2026'!M6</f>
        <v>56377361</v>
      </c>
      <c r="Y7" s="117">
        <f t="shared" si="3"/>
        <v>0</v>
      </c>
      <c r="Z7" s="118"/>
      <c r="AA7" s="178">
        <f t="shared" si="4"/>
        <v>0</v>
      </c>
      <c r="AB7" s="179">
        <f t="shared" si="5"/>
        <v>0</v>
      </c>
      <c r="AC7" s="178">
        <f>SUM(AA5:AA7)</f>
        <v>0</v>
      </c>
      <c r="AD7" s="179">
        <f>SUM(AB5:AB7)</f>
        <v>0</v>
      </c>
      <c r="AE7" s="180">
        <f t="shared" si="6"/>
        <v>0</v>
      </c>
    </row>
    <row r="8" spans="1:31" ht="15.95" customHeight="1" x14ac:dyDescent="0.25">
      <c r="A8" s="109">
        <v>4</v>
      </c>
      <c r="B8" s="110">
        <v>46028</v>
      </c>
      <c r="C8" s="111" t="s">
        <v>207</v>
      </c>
      <c r="D8" s="112">
        <v>1</v>
      </c>
      <c r="E8" s="194">
        <v>0</v>
      </c>
      <c r="F8" s="194">
        <v>0</v>
      </c>
      <c r="G8" s="194">
        <v>0</v>
      </c>
      <c r="H8" s="194">
        <v>0</v>
      </c>
      <c r="I8" s="194">
        <v>0</v>
      </c>
      <c r="J8" s="113">
        <f t="shared" si="0"/>
        <v>0</v>
      </c>
      <c r="K8" s="195">
        <v>0</v>
      </c>
      <c r="L8" s="195">
        <v>0</v>
      </c>
      <c r="M8" s="195">
        <v>0</v>
      </c>
      <c r="N8" s="195">
        <v>0</v>
      </c>
      <c r="O8" s="195">
        <v>0</v>
      </c>
      <c r="P8" s="195">
        <v>0</v>
      </c>
      <c r="Q8" s="195">
        <v>0</v>
      </c>
      <c r="R8" s="195">
        <v>0</v>
      </c>
      <c r="S8" s="195">
        <v>56377361</v>
      </c>
      <c r="T8" s="114">
        <f t="shared" si="1"/>
        <v>56377361</v>
      </c>
      <c r="U8" s="196">
        <v>0</v>
      </c>
      <c r="V8" s="196">
        <v>0</v>
      </c>
      <c r="W8" s="115">
        <f t="shared" si="2"/>
        <v>56377361</v>
      </c>
      <c r="X8" s="116">
        <f>'SUIVI 2026'!M7</f>
        <v>56377361</v>
      </c>
      <c r="Y8" s="117">
        <f t="shared" si="3"/>
        <v>0</v>
      </c>
      <c r="Z8" s="118"/>
      <c r="AA8" s="181">
        <f t="shared" si="4"/>
        <v>0</v>
      </c>
      <c r="AB8" s="182">
        <f t="shared" si="5"/>
        <v>0</v>
      </c>
      <c r="AC8" s="181">
        <f>SUM(AA5:AA8)</f>
        <v>0</v>
      </c>
      <c r="AD8" s="182">
        <f>SUM(AB5:AB8)</f>
        <v>0</v>
      </c>
      <c r="AE8" s="183">
        <f t="shared" si="6"/>
        <v>0</v>
      </c>
    </row>
    <row r="9" spans="1:31" ht="15.95" customHeight="1" x14ac:dyDescent="0.25">
      <c r="A9" s="109">
        <v>5</v>
      </c>
      <c r="B9" s="110">
        <v>46029</v>
      </c>
      <c r="C9" s="111" t="s">
        <v>208</v>
      </c>
      <c r="D9" s="112">
        <v>1</v>
      </c>
      <c r="E9" s="194">
        <v>0</v>
      </c>
      <c r="F9" s="194">
        <v>0</v>
      </c>
      <c r="G9" s="194">
        <v>0</v>
      </c>
      <c r="H9" s="194">
        <v>0</v>
      </c>
      <c r="I9" s="194">
        <v>0</v>
      </c>
      <c r="J9" s="113">
        <f t="shared" si="0"/>
        <v>0</v>
      </c>
      <c r="K9" s="195">
        <v>0</v>
      </c>
      <c r="L9" s="195">
        <v>0</v>
      </c>
      <c r="M9" s="195">
        <v>0</v>
      </c>
      <c r="N9" s="195">
        <v>0</v>
      </c>
      <c r="O9" s="195">
        <v>0</v>
      </c>
      <c r="P9" s="195">
        <v>0</v>
      </c>
      <c r="Q9" s="195">
        <v>0</v>
      </c>
      <c r="R9" s="195">
        <v>0</v>
      </c>
      <c r="S9" s="195">
        <v>56377361</v>
      </c>
      <c r="T9" s="114">
        <f t="shared" si="1"/>
        <v>56377361</v>
      </c>
      <c r="U9" s="196">
        <v>0</v>
      </c>
      <c r="V9" s="196">
        <v>0</v>
      </c>
      <c r="W9" s="115">
        <f t="shared" si="2"/>
        <v>56377361</v>
      </c>
      <c r="X9" s="116">
        <f>'SUIVI 2026'!M8</f>
        <v>56377361</v>
      </c>
      <c r="Y9" s="117">
        <f t="shared" si="3"/>
        <v>0</v>
      </c>
      <c r="Z9" s="118"/>
      <c r="AA9" s="178">
        <f t="shared" si="4"/>
        <v>0</v>
      </c>
      <c r="AB9" s="179">
        <f t="shared" si="5"/>
        <v>0</v>
      </c>
      <c r="AC9" s="178">
        <f>SUM(AA5:AA9)</f>
        <v>0</v>
      </c>
      <c r="AD9" s="179">
        <f>SUM(AB5:AB9)</f>
        <v>0</v>
      </c>
      <c r="AE9" s="180">
        <f t="shared" si="6"/>
        <v>0</v>
      </c>
    </row>
    <row r="10" spans="1:31" ht="15.95" customHeight="1" x14ac:dyDescent="0.25">
      <c r="A10" s="109">
        <v>6</v>
      </c>
      <c r="B10" s="110">
        <v>46030</v>
      </c>
      <c r="C10" s="111" t="s">
        <v>204</v>
      </c>
      <c r="D10" s="112">
        <v>1</v>
      </c>
      <c r="E10" s="194">
        <v>0</v>
      </c>
      <c r="F10" s="194">
        <v>0</v>
      </c>
      <c r="G10" s="194">
        <v>0</v>
      </c>
      <c r="H10" s="194">
        <v>0</v>
      </c>
      <c r="I10" s="194">
        <v>0</v>
      </c>
      <c r="J10" s="113">
        <f t="shared" si="0"/>
        <v>0</v>
      </c>
      <c r="K10" s="195">
        <v>0</v>
      </c>
      <c r="L10" s="195">
        <v>0</v>
      </c>
      <c r="M10" s="195">
        <v>0</v>
      </c>
      <c r="N10" s="195">
        <v>0</v>
      </c>
      <c r="O10" s="195">
        <v>0</v>
      </c>
      <c r="P10" s="195">
        <v>0</v>
      </c>
      <c r="Q10" s="195">
        <v>0</v>
      </c>
      <c r="R10" s="195">
        <v>0</v>
      </c>
      <c r="S10" s="195">
        <v>56377361</v>
      </c>
      <c r="T10" s="114">
        <f t="shared" si="1"/>
        <v>56377361</v>
      </c>
      <c r="U10" s="196">
        <v>0</v>
      </c>
      <c r="V10" s="196">
        <v>0</v>
      </c>
      <c r="W10" s="115">
        <f t="shared" si="2"/>
        <v>56377361</v>
      </c>
      <c r="X10" s="116">
        <f>'SUIVI 2026'!M9</f>
        <v>56377361</v>
      </c>
      <c r="Y10" s="117">
        <f t="shared" si="3"/>
        <v>0</v>
      </c>
      <c r="Z10" s="118"/>
      <c r="AA10" s="181">
        <f t="shared" si="4"/>
        <v>0</v>
      </c>
      <c r="AB10" s="182">
        <f t="shared" si="5"/>
        <v>0</v>
      </c>
      <c r="AC10" s="181">
        <f>SUM(AA5:AA10)</f>
        <v>0</v>
      </c>
      <c r="AD10" s="182">
        <f>SUM(AB5:AB10)</f>
        <v>0</v>
      </c>
      <c r="AE10" s="183">
        <f t="shared" si="6"/>
        <v>0</v>
      </c>
    </row>
    <row r="11" spans="1:31" ht="15.95" customHeight="1" x14ac:dyDescent="0.25">
      <c r="A11" s="109">
        <v>7</v>
      </c>
      <c r="B11" s="110">
        <v>46031</v>
      </c>
      <c r="C11" s="111" t="s">
        <v>205</v>
      </c>
      <c r="D11" s="112">
        <v>1</v>
      </c>
      <c r="E11" s="194">
        <v>0</v>
      </c>
      <c r="F11" s="194">
        <v>0</v>
      </c>
      <c r="G11" s="194">
        <v>0</v>
      </c>
      <c r="H11" s="194">
        <v>0</v>
      </c>
      <c r="I11" s="194">
        <v>0</v>
      </c>
      <c r="J11" s="113">
        <f t="shared" si="0"/>
        <v>0</v>
      </c>
      <c r="K11" s="195">
        <v>0</v>
      </c>
      <c r="L11" s="195">
        <v>0</v>
      </c>
      <c r="M11" s="195">
        <v>0</v>
      </c>
      <c r="N11" s="195">
        <v>0</v>
      </c>
      <c r="O11" s="195">
        <v>0</v>
      </c>
      <c r="P11" s="195">
        <v>0</v>
      </c>
      <c r="Q11" s="195">
        <v>0</v>
      </c>
      <c r="R11" s="195">
        <v>0</v>
      </c>
      <c r="S11" s="195">
        <v>56377361</v>
      </c>
      <c r="T11" s="114">
        <f t="shared" si="1"/>
        <v>56377361</v>
      </c>
      <c r="U11" s="196">
        <v>0</v>
      </c>
      <c r="V11" s="196">
        <v>0</v>
      </c>
      <c r="W11" s="115">
        <f t="shared" si="2"/>
        <v>56377361</v>
      </c>
      <c r="X11" s="116">
        <f>'SUIVI 2026'!M10</f>
        <v>56377361</v>
      </c>
      <c r="Y11" s="117">
        <f t="shared" si="3"/>
        <v>0</v>
      </c>
      <c r="Z11" s="118"/>
      <c r="AA11" s="178">
        <f t="shared" si="4"/>
        <v>0</v>
      </c>
      <c r="AB11" s="179">
        <f t="shared" si="5"/>
        <v>0</v>
      </c>
      <c r="AC11" s="178">
        <f>SUM(AA5:AA11)</f>
        <v>0</v>
      </c>
      <c r="AD11" s="179">
        <f>SUM(AB5:AB11)</f>
        <v>0</v>
      </c>
      <c r="AE11" s="180">
        <f t="shared" si="6"/>
        <v>0</v>
      </c>
    </row>
    <row r="12" spans="1:31" ht="15.95" customHeight="1" x14ac:dyDescent="0.25">
      <c r="A12" s="109">
        <v>8</v>
      </c>
      <c r="B12" s="110">
        <v>46034</v>
      </c>
      <c r="C12" s="111" t="s">
        <v>206</v>
      </c>
      <c r="D12" s="112">
        <v>2</v>
      </c>
      <c r="E12" s="194">
        <v>0</v>
      </c>
      <c r="F12" s="194">
        <v>0</v>
      </c>
      <c r="G12" s="194">
        <v>0</v>
      </c>
      <c r="H12" s="194">
        <v>0</v>
      </c>
      <c r="I12" s="194">
        <v>0</v>
      </c>
      <c r="J12" s="113">
        <f t="shared" si="0"/>
        <v>0</v>
      </c>
      <c r="K12" s="195">
        <v>0</v>
      </c>
      <c r="L12" s="195">
        <v>0</v>
      </c>
      <c r="M12" s="195">
        <v>0</v>
      </c>
      <c r="N12" s="195">
        <v>0</v>
      </c>
      <c r="O12" s="195">
        <v>0</v>
      </c>
      <c r="P12" s="195">
        <v>0</v>
      </c>
      <c r="Q12" s="195">
        <v>0</v>
      </c>
      <c r="R12" s="195">
        <v>0</v>
      </c>
      <c r="S12" s="195">
        <v>56377361</v>
      </c>
      <c r="T12" s="114">
        <f t="shared" si="1"/>
        <v>56377361</v>
      </c>
      <c r="U12" s="196">
        <v>0</v>
      </c>
      <c r="V12" s="196">
        <v>0</v>
      </c>
      <c r="W12" s="115">
        <f t="shared" si="2"/>
        <v>56377361</v>
      </c>
      <c r="X12" s="116">
        <f>'SUIVI 2026'!M11</f>
        <v>56377361</v>
      </c>
      <c r="Y12" s="117">
        <f t="shared" si="3"/>
        <v>0</v>
      </c>
      <c r="Z12" s="118"/>
      <c r="AA12" s="181">
        <f t="shared" si="4"/>
        <v>0</v>
      </c>
      <c r="AB12" s="182">
        <f t="shared" si="5"/>
        <v>0</v>
      </c>
      <c r="AC12" s="181">
        <f>SUM(AA5:AA12)</f>
        <v>0</v>
      </c>
      <c r="AD12" s="182">
        <f>SUM(AB5:AB12)</f>
        <v>0</v>
      </c>
      <c r="AE12" s="183">
        <f t="shared" si="6"/>
        <v>0</v>
      </c>
    </row>
    <row r="13" spans="1:31" ht="15.95" customHeight="1" x14ac:dyDescent="0.25">
      <c r="A13" s="109">
        <v>9</v>
      </c>
      <c r="B13" s="110">
        <v>46035</v>
      </c>
      <c r="C13" s="111" t="s">
        <v>207</v>
      </c>
      <c r="D13" s="112">
        <v>2</v>
      </c>
      <c r="E13" s="194">
        <v>0</v>
      </c>
      <c r="F13" s="194">
        <v>0</v>
      </c>
      <c r="G13" s="194">
        <v>0</v>
      </c>
      <c r="H13" s="194">
        <v>0</v>
      </c>
      <c r="I13" s="194">
        <v>0</v>
      </c>
      <c r="J13" s="113">
        <f t="shared" si="0"/>
        <v>0</v>
      </c>
      <c r="K13" s="195">
        <v>0</v>
      </c>
      <c r="L13" s="195">
        <v>0</v>
      </c>
      <c r="M13" s="195">
        <v>0</v>
      </c>
      <c r="N13" s="195">
        <v>0</v>
      </c>
      <c r="O13" s="195">
        <v>0</v>
      </c>
      <c r="P13" s="195">
        <v>0</v>
      </c>
      <c r="Q13" s="195">
        <v>0</v>
      </c>
      <c r="R13" s="195">
        <v>0</v>
      </c>
      <c r="S13" s="195">
        <v>56377361</v>
      </c>
      <c r="T13" s="114">
        <f t="shared" si="1"/>
        <v>56377361</v>
      </c>
      <c r="U13" s="196">
        <v>0</v>
      </c>
      <c r="V13" s="196">
        <v>0</v>
      </c>
      <c r="W13" s="115">
        <f t="shared" si="2"/>
        <v>56377361</v>
      </c>
      <c r="X13" s="116">
        <f>'SUIVI 2026'!M12</f>
        <v>56377361</v>
      </c>
      <c r="Y13" s="117">
        <f t="shared" si="3"/>
        <v>0</v>
      </c>
      <c r="Z13" s="118"/>
      <c r="AA13" s="178">
        <f t="shared" si="4"/>
        <v>0</v>
      </c>
      <c r="AB13" s="179">
        <f t="shared" si="5"/>
        <v>0</v>
      </c>
      <c r="AC13" s="178">
        <f>SUM(AA5:AA13)</f>
        <v>0</v>
      </c>
      <c r="AD13" s="179">
        <f>SUM(AB5:AB13)</f>
        <v>0</v>
      </c>
      <c r="AE13" s="180">
        <f t="shared" si="6"/>
        <v>0</v>
      </c>
    </row>
    <row r="14" spans="1:31" ht="15.95" customHeight="1" x14ac:dyDescent="0.25">
      <c r="A14" s="109">
        <v>10</v>
      </c>
      <c r="B14" s="110">
        <v>46036</v>
      </c>
      <c r="C14" s="111" t="s">
        <v>208</v>
      </c>
      <c r="D14" s="112">
        <v>2</v>
      </c>
      <c r="E14" s="194">
        <v>0</v>
      </c>
      <c r="F14" s="194">
        <v>0</v>
      </c>
      <c r="G14" s="194">
        <v>0</v>
      </c>
      <c r="H14" s="194">
        <v>0</v>
      </c>
      <c r="I14" s="194">
        <v>0</v>
      </c>
      <c r="J14" s="113">
        <f t="shared" si="0"/>
        <v>0</v>
      </c>
      <c r="K14" s="195">
        <v>0</v>
      </c>
      <c r="L14" s="195">
        <v>0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56377361</v>
      </c>
      <c r="T14" s="114">
        <f t="shared" si="1"/>
        <v>56377361</v>
      </c>
      <c r="U14" s="196">
        <v>0</v>
      </c>
      <c r="V14" s="196">
        <v>0</v>
      </c>
      <c r="W14" s="115">
        <f t="shared" si="2"/>
        <v>56377361</v>
      </c>
      <c r="X14" s="116">
        <f>'SUIVI 2026'!M13</f>
        <v>56377361</v>
      </c>
      <c r="Y14" s="117">
        <f t="shared" si="3"/>
        <v>0</v>
      </c>
      <c r="Z14" s="118"/>
      <c r="AA14" s="181">
        <f t="shared" si="4"/>
        <v>0</v>
      </c>
      <c r="AB14" s="182">
        <f t="shared" si="5"/>
        <v>0</v>
      </c>
      <c r="AC14" s="181">
        <f>SUM(AA5:AA14)</f>
        <v>0</v>
      </c>
      <c r="AD14" s="182">
        <f>SUM(AB5:AB14)</f>
        <v>0</v>
      </c>
      <c r="AE14" s="183">
        <f t="shared" si="6"/>
        <v>0</v>
      </c>
    </row>
    <row r="15" spans="1:31" ht="15.95" customHeight="1" x14ac:dyDescent="0.25">
      <c r="A15" s="109">
        <v>11</v>
      </c>
      <c r="B15" s="110">
        <v>46037</v>
      </c>
      <c r="C15" s="111" t="s">
        <v>204</v>
      </c>
      <c r="D15" s="112">
        <v>2</v>
      </c>
      <c r="E15" s="194">
        <v>0</v>
      </c>
      <c r="F15" s="194">
        <v>0</v>
      </c>
      <c r="G15" s="194">
        <v>0</v>
      </c>
      <c r="H15" s="194">
        <v>0</v>
      </c>
      <c r="I15" s="194">
        <v>0</v>
      </c>
      <c r="J15" s="113">
        <f t="shared" si="0"/>
        <v>0</v>
      </c>
      <c r="K15" s="195">
        <v>0</v>
      </c>
      <c r="L15" s="195">
        <v>0</v>
      </c>
      <c r="M15" s="195">
        <v>0</v>
      </c>
      <c r="N15" s="195">
        <v>0</v>
      </c>
      <c r="O15" s="195">
        <v>0</v>
      </c>
      <c r="P15" s="195">
        <v>0</v>
      </c>
      <c r="Q15" s="195">
        <v>0</v>
      </c>
      <c r="R15" s="195">
        <v>0</v>
      </c>
      <c r="S15" s="195">
        <v>56377361</v>
      </c>
      <c r="T15" s="114">
        <f t="shared" si="1"/>
        <v>56377361</v>
      </c>
      <c r="U15" s="196">
        <v>0</v>
      </c>
      <c r="V15" s="196">
        <v>0</v>
      </c>
      <c r="W15" s="115">
        <f t="shared" si="2"/>
        <v>56377361</v>
      </c>
      <c r="X15" s="116">
        <f>'SUIVI 2026'!M14</f>
        <v>56377361</v>
      </c>
      <c r="Y15" s="117">
        <f t="shared" si="3"/>
        <v>0</v>
      </c>
      <c r="Z15" s="118"/>
      <c r="AA15" s="178">
        <f t="shared" si="4"/>
        <v>0</v>
      </c>
      <c r="AB15" s="179">
        <f t="shared" si="5"/>
        <v>0</v>
      </c>
      <c r="AC15" s="178">
        <f>SUM(AA5:AA15)</f>
        <v>0</v>
      </c>
      <c r="AD15" s="179">
        <f>SUM(AB5:AB15)</f>
        <v>0</v>
      </c>
      <c r="AE15" s="180">
        <f t="shared" si="6"/>
        <v>0</v>
      </c>
    </row>
    <row r="16" spans="1:31" ht="15.95" customHeight="1" x14ac:dyDescent="0.25">
      <c r="A16" s="109">
        <v>12</v>
      </c>
      <c r="B16" s="110">
        <v>46038</v>
      </c>
      <c r="C16" s="111" t="s">
        <v>205</v>
      </c>
      <c r="D16" s="112">
        <v>2</v>
      </c>
      <c r="E16" s="194">
        <v>0</v>
      </c>
      <c r="F16" s="194">
        <v>0</v>
      </c>
      <c r="G16" s="194">
        <v>0</v>
      </c>
      <c r="H16" s="194">
        <v>0</v>
      </c>
      <c r="I16" s="194">
        <v>0</v>
      </c>
      <c r="J16" s="113">
        <f t="shared" si="0"/>
        <v>0</v>
      </c>
      <c r="K16" s="195">
        <v>0</v>
      </c>
      <c r="L16" s="195">
        <v>0</v>
      </c>
      <c r="M16" s="195">
        <v>0</v>
      </c>
      <c r="N16" s="195">
        <v>0</v>
      </c>
      <c r="O16" s="195">
        <v>0</v>
      </c>
      <c r="P16" s="195">
        <v>0</v>
      </c>
      <c r="Q16" s="195">
        <v>0</v>
      </c>
      <c r="R16" s="195">
        <v>0</v>
      </c>
      <c r="S16" s="195">
        <v>56377361</v>
      </c>
      <c r="T16" s="114">
        <f t="shared" si="1"/>
        <v>56377361</v>
      </c>
      <c r="U16" s="196">
        <v>0</v>
      </c>
      <c r="V16" s="196">
        <v>0</v>
      </c>
      <c r="W16" s="115">
        <f t="shared" si="2"/>
        <v>56377361</v>
      </c>
      <c r="X16" s="116">
        <f>'SUIVI 2026'!M15</f>
        <v>56377361</v>
      </c>
      <c r="Y16" s="117">
        <f t="shared" si="3"/>
        <v>0</v>
      </c>
      <c r="Z16" s="118"/>
      <c r="AA16" s="181">
        <f t="shared" si="4"/>
        <v>0</v>
      </c>
      <c r="AB16" s="182">
        <f t="shared" si="5"/>
        <v>0</v>
      </c>
      <c r="AC16" s="181">
        <f>SUM(AA5:AA16)</f>
        <v>0</v>
      </c>
      <c r="AD16" s="182">
        <f>SUM(AB5:AB16)</f>
        <v>0</v>
      </c>
      <c r="AE16" s="183">
        <f t="shared" si="6"/>
        <v>0</v>
      </c>
    </row>
    <row r="17" spans="1:31" ht="15.95" customHeight="1" x14ac:dyDescent="0.25">
      <c r="A17" s="109">
        <v>13</v>
      </c>
      <c r="B17" s="110">
        <v>46041</v>
      </c>
      <c r="C17" s="111" t="s">
        <v>206</v>
      </c>
      <c r="D17" s="112">
        <v>2</v>
      </c>
      <c r="E17" s="194">
        <v>0</v>
      </c>
      <c r="F17" s="194">
        <v>0</v>
      </c>
      <c r="G17" s="194">
        <v>0</v>
      </c>
      <c r="H17" s="194">
        <v>0</v>
      </c>
      <c r="I17" s="194">
        <v>0</v>
      </c>
      <c r="J17" s="113">
        <f t="shared" si="0"/>
        <v>0</v>
      </c>
      <c r="K17" s="195">
        <v>0</v>
      </c>
      <c r="L17" s="195">
        <v>0</v>
      </c>
      <c r="M17" s="195">
        <v>0</v>
      </c>
      <c r="N17" s="195">
        <v>0</v>
      </c>
      <c r="O17" s="195">
        <v>0</v>
      </c>
      <c r="P17" s="195">
        <v>0</v>
      </c>
      <c r="Q17" s="195">
        <v>0</v>
      </c>
      <c r="R17" s="195">
        <v>0</v>
      </c>
      <c r="S17" s="195">
        <v>56377361</v>
      </c>
      <c r="T17" s="114">
        <f t="shared" si="1"/>
        <v>56377361</v>
      </c>
      <c r="U17" s="196">
        <v>0</v>
      </c>
      <c r="V17" s="196">
        <v>0</v>
      </c>
      <c r="W17" s="115">
        <f t="shared" si="2"/>
        <v>56377361</v>
      </c>
      <c r="X17" s="116">
        <f>'SUIVI 2026'!M16</f>
        <v>56377361</v>
      </c>
      <c r="Y17" s="117">
        <f t="shared" si="3"/>
        <v>0</v>
      </c>
      <c r="Z17" s="118"/>
      <c r="AA17" s="178">
        <f t="shared" si="4"/>
        <v>0</v>
      </c>
      <c r="AB17" s="179">
        <f t="shared" si="5"/>
        <v>0</v>
      </c>
      <c r="AC17" s="178">
        <f>SUM(AA5:AA17)</f>
        <v>0</v>
      </c>
      <c r="AD17" s="179">
        <f>SUM(AB5:AB17)</f>
        <v>0</v>
      </c>
      <c r="AE17" s="180">
        <f t="shared" si="6"/>
        <v>0</v>
      </c>
    </row>
    <row r="18" spans="1:31" ht="15.95" customHeight="1" x14ac:dyDescent="0.25">
      <c r="A18" s="109">
        <v>14</v>
      </c>
      <c r="B18" s="110">
        <v>46042</v>
      </c>
      <c r="C18" s="111" t="s">
        <v>207</v>
      </c>
      <c r="D18" s="112">
        <v>2</v>
      </c>
      <c r="E18" s="194">
        <v>0</v>
      </c>
      <c r="F18" s="194">
        <v>0</v>
      </c>
      <c r="G18" s="194">
        <v>0</v>
      </c>
      <c r="H18" s="194">
        <v>0</v>
      </c>
      <c r="I18" s="194">
        <v>0</v>
      </c>
      <c r="J18" s="113">
        <f t="shared" si="0"/>
        <v>0</v>
      </c>
      <c r="K18" s="195">
        <v>0</v>
      </c>
      <c r="L18" s="195">
        <v>0</v>
      </c>
      <c r="M18" s="195">
        <v>0</v>
      </c>
      <c r="N18" s="195">
        <v>0</v>
      </c>
      <c r="O18" s="195">
        <v>0</v>
      </c>
      <c r="P18" s="195">
        <v>0</v>
      </c>
      <c r="Q18" s="195">
        <v>0</v>
      </c>
      <c r="R18" s="195">
        <v>0</v>
      </c>
      <c r="S18" s="195">
        <v>56377361</v>
      </c>
      <c r="T18" s="114">
        <f t="shared" si="1"/>
        <v>56377361</v>
      </c>
      <c r="U18" s="196">
        <v>0</v>
      </c>
      <c r="V18" s="196">
        <v>0</v>
      </c>
      <c r="W18" s="115">
        <f t="shared" si="2"/>
        <v>56377361</v>
      </c>
      <c r="X18" s="116">
        <f>'SUIVI 2026'!M17</f>
        <v>56377361</v>
      </c>
      <c r="Y18" s="117">
        <f t="shared" si="3"/>
        <v>0</v>
      </c>
      <c r="Z18" s="118"/>
      <c r="AA18" s="181">
        <f t="shared" si="4"/>
        <v>0</v>
      </c>
      <c r="AB18" s="182">
        <f t="shared" si="5"/>
        <v>0</v>
      </c>
      <c r="AC18" s="181">
        <f>SUM(AA5:AA18)</f>
        <v>0</v>
      </c>
      <c r="AD18" s="182">
        <f>SUM(AB5:AB18)</f>
        <v>0</v>
      </c>
      <c r="AE18" s="183">
        <f t="shared" si="6"/>
        <v>0</v>
      </c>
    </row>
    <row r="19" spans="1:31" ht="15.95" customHeight="1" x14ac:dyDescent="0.25">
      <c r="A19" s="109">
        <v>15</v>
      </c>
      <c r="B19" s="110">
        <v>46043</v>
      </c>
      <c r="C19" s="111" t="s">
        <v>208</v>
      </c>
      <c r="D19" s="112">
        <v>3</v>
      </c>
      <c r="E19" s="194">
        <v>0</v>
      </c>
      <c r="F19" s="194">
        <v>0</v>
      </c>
      <c r="G19" s="194">
        <v>0</v>
      </c>
      <c r="H19" s="194">
        <v>0</v>
      </c>
      <c r="I19" s="194">
        <v>0</v>
      </c>
      <c r="J19" s="113">
        <f t="shared" si="0"/>
        <v>0</v>
      </c>
      <c r="K19" s="195">
        <v>0</v>
      </c>
      <c r="L19" s="195">
        <v>0</v>
      </c>
      <c r="M19" s="195">
        <v>0</v>
      </c>
      <c r="N19" s="195">
        <v>0</v>
      </c>
      <c r="O19" s="195">
        <v>0</v>
      </c>
      <c r="P19" s="195">
        <v>0</v>
      </c>
      <c r="Q19" s="195">
        <v>0</v>
      </c>
      <c r="R19" s="195">
        <v>0</v>
      </c>
      <c r="S19" s="195">
        <v>56377361</v>
      </c>
      <c r="T19" s="114">
        <f t="shared" si="1"/>
        <v>56377361</v>
      </c>
      <c r="U19" s="196">
        <v>0</v>
      </c>
      <c r="V19" s="196">
        <v>0</v>
      </c>
      <c r="W19" s="115">
        <f t="shared" si="2"/>
        <v>56377361</v>
      </c>
      <c r="X19" s="116">
        <f>'SUIVI 2026'!M18</f>
        <v>56377361</v>
      </c>
      <c r="Y19" s="117">
        <f t="shared" si="3"/>
        <v>0</v>
      </c>
      <c r="Z19" s="118"/>
      <c r="AA19" s="178">
        <f t="shared" si="4"/>
        <v>0</v>
      </c>
      <c r="AB19" s="179">
        <f t="shared" si="5"/>
        <v>0</v>
      </c>
      <c r="AC19" s="178">
        <f>SUM(AA5:AA19)</f>
        <v>0</v>
      </c>
      <c r="AD19" s="179">
        <f>SUM(AB5:AB19)</f>
        <v>0</v>
      </c>
      <c r="AE19" s="180">
        <f t="shared" si="6"/>
        <v>0</v>
      </c>
    </row>
    <row r="20" spans="1:31" ht="15.95" customHeight="1" x14ac:dyDescent="0.25">
      <c r="A20" s="109">
        <v>16</v>
      </c>
      <c r="B20" s="110">
        <v>46044</v>
      </c>
      <c r="C20" s="111" t="s">
        <v>204</v>
      </c>
      <c r="D20" s="112">
        <v>3</v>
      </c>
      <c r="E20" s="194">
        <v>0</v>
      </c>
      <c r="F20" s="194">
        <v>0</v>
      </c>
      <c r="G20" s="194">
        <v>0</v>
      </c>
      <c r="H20" s="194">
        <v>0</v>
      </c>
      <c r="I20" s="194">
        <v>0</v>
      </c>
      <c r="J20" s="113">
        <f t="shared" si="0"/>
        <v>0</v>
      </c>
      <c r="K20" s="195">
        <v>0</v>
      </c>
      <c r="L20" s="195">
        <v>0</v>
      </c>
      <c r="M20" s="195">
        <v>0</v>
      </c>
      <c r="N20" s="195">
        <v>0</v>
      </c>
      <c r="O20" s="195">
        <v>0</v>
      </c>
      <c r="P20" s="195">
        <v>0</v>
      </c>
      <c r="Q20" s="195">
        <v>0</v>
      </c>
      <c r="R20" s="195">
        <v>0</v>
      </c>
      <c r="S20" s="195">
        <v>56377361</v>
      </c>
      <c r="T20" s="114">
        <f t="shared" si="1"/>
        <v>56377361</v>
      </c>
      <c r="U20" s="196">
        <v>0</v>
      </c>
      <c r="V20" s="196">
        <v>0</v>
      </c>
      <c r="W20" s="115">
        <f t="shared" si="2"/>
        <v>56377361</v>
      </c>
      <c r="X20" s="116">
        <f>'SUIVI 2026'!M19</f>
        <v>56377361</v>
      </c>
      <c r="Y20" s="117">
        <f t="shared" si="3"/>
        <v>0</v>
      </c>
      <c r="Z20" s="118"/>
      <c r="AA20" s="181">
        <f t="shared" si="4"/>
        <v>0</v>
      </c>
      <c r="AB20" s="182">
        <f t="shared" si="5"/>
        <v>0</v>
      </c>
      <c r="AC20" s="181">
        <f>SUM(AA5:AA20)</f>
        <v>0</v>
      </c>
      <c r="AD20" s="182">
        <f>SUM(AB5:AB20)</f>
        <v>0</v>
      </c>
      <c r="AE20" s="183">
        <f t="shared" si="6"/>
        <v>0</v>
      </c>
    </row>
    <row r="21" spans="1:31" ht="15.95" customHeight="1" x14ac:dyDescent="0.25">
      <c r="A21" s="109">
        <v>17</v>
      </c>
      <c r="B21" s="110">
        <v>46045</v>
      </c>
      <c r="C21" s="111" t="s">
        <v>205</v>
      </c>
      <c r="D21" s="112">
        <v>3</v>
      </c>
      <c r="E21" s="194">
        <v>0</v>
      </c>
      <c r="F21" s="194">
        <v>0</v>
      </c>
      <c r="G21" s="194">
        <v>0</v>
      </c>
      <c r="H21" s="194">
        <v>0</v>
      </c>
      <c r="I21" s="194">
        <v>0</v>
      </c>
      <c r="J21" s="113">
        <f t="shared" si="0"/>
        <v>0</v>
      </c>
      <c r="K21" s="195">
        <v>0</v>
      </c>
      <c r="L21" s="195">
        <v>0</v>
      </c>
      <c r="M21" s="195">
        <v>0</v>
      </c>
      <c r="N21" s="195">
        <v>0</v>
      </c>
      <c r="O21" s="195">
        <v>0</v>
      </c>
      <c r="P21" s="195">
        <v>0</v>
      </c>
      <c r="Q21" s="195">
        <v>0</v>
      </c>
      <c r="R21" s="195">
        <v>0</v>
      </c>
      <c r="S21" s="195">
        <v>56377361</v>
      </c>
      <c r="T21" s="114">
        <f t="shared" si="1"/>
        <v>56377361</v>
      </c>
      <c r="U21" s="196">
        <v>0</v>
      </c>
      <c r="V21" s="196">
        <v>0</v>
      </c>
      <c r="W21" s="115">
        <f t="shared" si="2"/>
        <v>56377361</v>
      </c>
      <c r="X21" s="116">
        <f>'SUIVI 2026'!M20</f>
        <v>56377361</v>
      </c>
      <c r="Y21" s="117">
        <f t="shared" si="3"/>
        <v>0</v>
      </c>
      <c r="Z21" s="118"/>
      <c r="AA21" s="178">
        <f t="shared" si="4"/>
        <v>0</v>
      </c>
      <c r="AB21" s="179">
        <f t="shared" si="5"/>
        <v>0</v>
      </c>
      <c r="AC21" s="178">
        <f>SUM(AA5:AA21)</f>
        <v>0</v>
      </c>
      <c r="AD21" s="179">
        <f>SUM(AB5:AB21)</f>
        <v>0</v>
      </c>
      <c r="AE21" s="180">
        <f t="shared" si="6"/>
        <v>0</v>
      </c>
    </row>
    <row r="22" spans="1:31" ht="15.95" customHeight="1" x14ac:dyDescent="0.25">
      <c r="A22" s="109">
        <v>18</v>
      </c>
      <c r="B22" s="110">
        <v>46048</v>
      </c>
      <c r="C22" s="111" t="s">
        <v>206</v>
      </c>
      <c r="D22" s="112">
        <v>3</v>
      </c>
      <c r="E22" s="194">
        <v>0</v>
      </c>
      <c r="F22" s="194">
        <v>0</v>
      </c>
      <c r="G22" s="194">
        <v>0</v>
      </c>
      <c r="H22" s="194">
        <v>0</v>
      </c>
      <c r="I22" s="194">
        <v>0</v>
      </c>
      <c r="J22" s="113">
        <f t="shared" si="0"/>
        <v>0</v>
      </c>
      <c r="K22" s="195">
        <v>0</v>
      </c>
      <c r="L22" s="195">
        <v>0</v>
      </c>
      <c r="M22" s="195">
        <v>0</v>
      </c>
      <c r="N22" s="195">
        <v>0</v>
      </c>
      <c r="O22" s="195">
        <v>0</v>
      </c>
      <c r="P22" s="195">
        <v>0</v>
      </c>
      <c r="Q22" s="195">
        <v>0</v>
      </c>
      <c r="R22" s="195">
        <v>0</v>
      </c>
      <c r="S22" s="195">
        <v>56377361</v>
      </c>
      <c r="T22" s="114">
        <f t="shared" si="1"/>
        <v>56377361</v>
      </c>
      <c r="U22" s="196">
        <v>0</v>
      </c>
      <c r="V22" s="196">
        <v>0</v>
      </c>
      <c r="W22" s="115">
        <f t="shared" si="2"/>
        <v>56377361</v>
      </c>
      <c r="X22" s="116">
        <f>'SUIVI 2026'!M21</f>
        <v>56377361</v>
      </c>
      <c r="Y22" s="117">
        <f t="shared" si="3"/>
        <v>0</v>
      </c>
      <c r="Z22" s="118"/>
      <c r="AA22" s="181">
        <f t="shared" si="4"/>
        <v>0</v>
      </c>
      <c r="AB22" s="182">
        <f t="shared" si="5"/>
        <v>0</v>
      </c>
      <c r="AC22" s="181">
        <f>SUM(AA5:AA22)</f>
        <v>0</v>
      </c>
      <c r="AD22" s="182">
        <f>SUM(AB5:AB22)</f>
        <v>0</v>
      </c>
      <c r="AE22" s="183">
        <f t="shared" si="6"/>
        <v>0</v>
      </c>
    </row>
    <row r="23" spans="1:31" ht="15.95" customHeight="1" x14ac:dyDescent="0.25">
      <c r="A23" s="109">
        <v>19</v>
      </c>
      <c r="B23" s="110">
        <v>46049</v>
      </c>
      <c r="C23" s="111" t="s">
        <v>207</v>
      </c>
      <c r="D23" s="112">
        <v>3</v>
      </c>
      <c r="E23" s="194">
        <v>0</v>
      </c>
      <c r="F23" s="194">
        <v>0</v>
      </c>
      <c r="G23" s="194">
        <v>0</v>
      </c>
      <c r="H23" s="194">
        <v>0</v>
      </c>
      <c r="I23" s="194">
        <v>0</v>
      </c>
      <c r="J23" s="113">
        <f t="shared" si="0"/>
        <v>0</v>
      </c>
      <c r="K23" s="195">
        <v>0</v>
      </c>
      <c r="L23" s="195">
        <v>0</v>
      </c>
      <c r="M23" s="195">
        <v>0</v>
      </c>
      <c r="N23" s="195">
        <v>0</v>
      </c>
      <c r="O23" s="195">
        <v>0</v>
      </c>
      <c r="P23" s="195">
        <v>0</v>
      </c>
      <c r="Q23" s="195">
        <v>0</v>
      </c>
      <c r="R23" s="195">
        <v>0</v>
      </c>
      <c r="S23" s="195">
        <v>56377361</v>
      </c>
      <c r="T23" s="114">
        <f t="shared" si="1"/>
        <v>56377361</v>
      </c>
      <c r="U23" s="196">
        <v>0</v>
      </c>
      <c r="V23" s="196">
        <v>0</v>
      </c>
      <c r="W23" s="115">
        <f t="shared" si="2"/>
        <v>56377361</v>
      </c>
      <c r="X23" s="116">
        <f>'SUIVI 2026'!M22</f>
        <v>56377361</v>
      </c>
      <c r="Y23" s="117">
        <f t="shared" si="3"/>
        <v>0</v>
      </c>
      <c r="Z23" s="118"/>
      <c r="AA23" s="178">
        <f t="shared" si="4"/>
        <v>0</v>
      </c>
      <c r="AB23" s="179">
        <f t="shared" si="5"/>
        <v>0</v>
      </c>
      <c r="AC23" s="178">
        <f>SUM(AA5:AA23)</f>
        <v>0</v>
      </c>
      <c r="AD23" s="179">
        <f>SUM(AB5:AB23)</f>
        <v>0</v>
      </c>
      <c r="AE23" s="180">
        <f t="shared" si="6"/>
        <v>0</v>
      </c>
    </row>
    <row r="24" spans="1:31" ht="15.95" customHeight="1" x14ac:dyDescent="0.25">
      <c r="A24" s="109">
        <v>20</v>
      </c>
      <c r="B24" s="110">
        <v>46050</v>
      </c>
      <c r="C24" s="111" t="s">
        <v>208</v>
      </c>
      <c r="D24" s="112">
        <v>3</v>
      </c>
      <c r="E24" s="194">
        <v>0</v>
      </c>
      <c r="F24" s="194">
        <v>0</v>
      </c>
      <c r="G24" s="194">
        <v>0</v>
      </c>
      <c r="H24" s="194">
        <v>0</v>
      </c>
      <c r="I24" s="194">
        <v>0</v>
      </c>
      <c r="J24" s="113">
        <f t="shared" si="0"/>
        <v>0</v>
      </c>
      <c r="K24" s="195">
        <v>0</v>
      </c>
      <c r="L24" s="195">
        <v>0</v>
      </c>
      <c r="M24" s="195">
        <v>0</v>
      </c>
      <c r="N24" s="195">
        <v>0</v>
      </c>
      <c r="O24" s="195">
        <v>0</v>
      </c>
      <c r="P24" s="195">
        <v>0</v>
      </c>
      <c r="Q24" s="195">
        <v>0</v>
      </c>
      <c r="R24" s="195">
        <v>0</v>
      </c>
      <c r="S24" s="195">
        <v>56377361</v>
      </c>
      <c r="T24" s="114">
        <f t="shared" si="1"/>
        <v>56377361</v>
      </c>
      <c r="U24" s="196">
        <v>0</v>
      </c>
      <c r="V24" s="196">
        <v>0</v>
      </c>
      <c r="W24" s="115">
        <f t="shared" si="2"/>
        <v>56377361</v>
      </c>
      <c r="X24" s="116">
        <f>'SUIVI 2026'!M23</f>
        <v>56377361</v>
      </c>
      <c r="Y24" s="117">
        <f t="shared" si="3"/>
        <v>0</v>
      </c>
      <c r="Z24" s="118"/>
      <c r="AA24" s="181">
        <f t="shared" si="4"/>
        <v>0</v>
      </c>
      <c r="AB24" s="182">
        <f t="shared" si="5"/>
        <v>0</v>
      </c>
      <c r="AC24" s="181">
        <f>SUM(AA5:AA24)</f>
        <v>0</v>
      </c>
      <c r="AD24" s="182">
        <f>SUM(AB5:AB24)</f>
        <v>0</v>
      </c>
      <c r="AE24" s="183">
        <f t="shared" si="6"/>
        <v>0</v>
      </c>
    </row>
    <row r="25" spans="1:31" ht="15.95" customHeight="1" x14ac:dyDescent="0.25">
      <c r="A25" s="109">
        <v>21</v>
      </c>
      <c r="B25" s="110">
        <v>46051</v>
      </c>
      <c r="C25" s="111" t="s">
        <v>204</v>
      </c>
      <c r="D25" s="112">
        <v>3</v>
      </c>
      <c r="E25" s="194">
        <v>0</v>
      </c>
      <c r="F25" s="194">
        <v>0</v>
      </c>
      <c r="G25" s="194">
        <v>0</v>
      </c>
      <c r="H25" s="194">
        <v>0</v>
      </c>
      <c r="I25" s="194">
        <v>0</v>
      </c>
      <c r="J25" s="113">
        <f t="shared" si="0"/>
        <v>0</v>
      </c>
      <c r="K25" s="195">
        <v>0</v>
      </c>
      <c r="L25" s="195">
        <v>0</v>
      </c>
      <c r="M25" s="195">
        <v>0</v>
      </c>
      <c r="N25" s="195">
        <v>0</v>
      </c>
      <c r="O25" s="195">
        <v>0</v>
      </c>
      <c r="P25" s="195">
        <v>0</v>
      </c>
      <c r="Q25" s="195">
        <v>0</v>
      </c>
      <c r="R25" s="195">
        <v>0</v>
      </c>
      <c r="S25" s="195">
        <v>56377361</v>
      </c>
      <c r="T25" s="114">
        <f t="shared" si="1"/>
        <v>56377361</v>
      </c>
      <c r="U25" s="196">
        <v>0</v>
      </c>
      <c r="V25" s="196">
        <v>0</v>
      </c>
      <c r="W25" s="115">
        <f t="shared" si="2"/>
        <v>56377361</v>
      </c>
      <c r="X25" s="116">
        <f>'SUIVI 2026'!M24</f>
        <v>56377361</v>
      </c>
      <c r="Y25" s="117">
        <f t="shared" si="3"/>
        <v>0</v>
      </c>
      <c r="Z25" s="118"/>
      <c r="AA25" s="178">
        <f t="shared" si="4"/>
        <v>0</v>
      </c>
      <c r="AB25" s="179">
        <f t="shared" si="5"/>
        <v>0</v>
      </c>
      <c r="AC25" s="178">
        <f>SUM(AA5:AA25)</f>
        <v>0</v>
      </c>
      <c r="AD25" s="179">
        <f>SUM(AB5:AB25)</f>
        <v>0</v>
      </c>
      <c r="AE25" s="180">
        <f t="shared" si="6"/>
        <v>0</v>
      </c>
    </row>
    <row r="26" spans="1:31" ht="15.95" customHeight="1" x14ac:dyDescent="0.25">
      <c r="A26" s="109">
        <v>22</v>
      </c>
      <c r="B26" s="110">
        <v>46052</v>
      </c>
      <c r="C26" s="111" t="s">
        <v>205</v>
      </c>
      <c r="D26" s="112">
        <v>3</v>
      </c>
      <c r="E26" s="194">
        <v>0</v>
      </c>
      <c r="F26" s="194">
        <v>0</v>
      </c>
      <c r="G26" s="194">
        <v>0</v>
      </c>
      <c r="H26" s="194">
        <v>0</v>
      </c>
      <c r="I26" s="194">
        <v>0</v>
      </c>
      <c r="J26" s="113">
        <f t="shared" si="0"/>
        <v>0</v>
      </c>
      <c r="K26" s="195">
        <v>0</v>
      </c>
      <c r="L26" s="195">
        <v>0</v>
      </c>
      <c r="M26" s="195">
        <v>0</v>
      </c>
      <c r="N26" s="195">
        <v>0</v>
      </c>
      <c r="O26" s="195">
        <v>0</v>
      </c>
      <c r="P26" s="195">
        <v>0</v>
      </c>
      <c r="Q26" s="195">
        <v>0</v>
      </c>
      <c r="R26" s="195">
        <v>0</v>
      </c>
      <c r="S26" s="195">
        <v>56377361</v>
      </c>
      <c r="T26" s="114">
        <f t="shared" si="1"/>
        <v>56377361</v>
      </c>
      <c r="U26" s="196">
        <v>0</v>
      </c>
      <c r="V26" s="196">
        <v>0</v>
      </c>
      <c r="W26" s="115">
        <f t="shared" si="2"/>
        <v>56377361</v>
      </c>
      <c r="X26" s="116">
        <f>'SUIVI 2026'!M25</f>
        <v>56377361</v>
      </c>
      <c r="Y26" s="117">
        <f t="shared" si="3"/>
        <v>0</v>
      </c>
      <c r="Z26" s="118"/>
      <c r="AA26" s="181">
        <f t="shared" si="4"/>
        <v>0</v>
      </c>
      <c r="AB26" s="182">
        <f t="shared" si="5"/>
        <v>0</v>
      </c>
      <c r="AC26" s="181">
        <f>SUM(AA5:AA26)</f>
        <v>0</v>
      </c>
      <c r="AD26" s="182">
        <f>SUM(AB5:AB26)</f>
        <v>0</v>
      </c>
      <c r="AE26" s="183">
        <f t="shared" si="6"/>
        <v>0</v>
      </c>
    </row>
    <row r="27" spans="1:31" ht="15.95" customHeight="1" x14ac:dyDescent="0.25">
      <c r="A27" s="119">
        <v>23</v>
      </c>
      <c r="B27" s="120">
        <v>46055</v>
      </c>
      <c r="C27" s="121" t="s">
        <v>206</v>
      </c>
      <c r="D27" s="122">
        <v>4</v>
      </c>
      <c r="E27" s="194">
        <v>0</v>
      </c>
      <c r="F27" s="194">
        <v>0</v>
      </c>
      <c r="G27" s="194">
        <v>0</v>
      </c>
      <c r="H27" s="194">
        <v>0</v>
      </c>
      <c r="I27" s="194">
        <v>0</v>
      </c>
      <c r="J27" s="113">
        <f t="shared" si="0"/>
        <v>0</v>
      </c>
      <c r="K27" s="195">
        <v>0</v>
      </c>
      <c r="L27" s="195">
        <v>0</v>
      </c>
      <c r="M27" s="195">
        <v>0</v>
      </c>
      <c r="N27" s="195">
        <v>0</v>
      </c>
      <c r="O27" s="195">
        <v>0</v>
      </c>
      <c r="P27" s="195">
        <v>0</v>
      </c>
      <c r="Q27" s="195">
        <v>0</v>
      </c>
      <c r="R27" s="195">
        <v>0</v>
      </c>
      <c r="S27" s="195">
        <v>56377361</v>
      </c>
      <c r="T27" s="114">
        <f t="shared" si="1"/>
        <v>56377361</v>
      </c>
      <c r="U27" s="196">
        <v>0</v>
      </c>
      <c r="V27" s="196">
        <v>0</v>
      </c>
      <c r="W27" s="115">
        <f t="shared" si="2"/>
        <v>56377361</v>
      </c>
      <c r="X27" s="116">
        <f>'SUIVI 2026'!M26</f>
        <v>56377361</v>
      </c>
      <c r="Y27" s="117">
        <f t="shared" si="3"/>
        <v>0</v>
      </c>
      <c r="Z27" s="123"/>
      <c r="AA27" s="178">
        <f t="shared" si="4"/>
        <v>0</v>
      </c>
      <c r="AB27" s="179">
        <f t="shared" si="5"/>
        <v>0</v>
      </c>
      <c r="AC27" s="178">
        <f>SUM(AA5:AA27)</f>
        <v>0</v>
      </c>
      <c r="AD27" s="179">
        <f>SUM(AB5:AB27)</f>
        <v>0</v>
      </c>
      <c r="AE27" s="180">
        <f t="shared" si="6"/>
        <v>0</v>
      </c>
    </row>
    <row r="28" spans="1:31" ht="15.95" customHeight="1" x14ac:dyDescent="0.25">
      <c r="A28" s="119">
        <v>24</v>
      </c>
      <c r="B28" s="120">
        <v>46056</v>
      </c>
      <c r="C28" s="121" t="s">
        <v>207</v>
      </c>
      <c r="D28" s="122">
        <v>4</v>
      </c>
      <c r="E28" s="194">
        <v>0</v>
      </c>
      <c r="F28" s="194">
        <v>0</v>
      </c>
      <c r="G28" s="194">
        <v>0</v>
      </c>
      <c r="H28" s="194">
        <v>0</v>
      </c>
      <c r="I28" s="194">
        <v>0</v>
      </c>
      <c r="J28" s="113">
        <f t="shared" si="0"/>
        <v>0</v>
      </c>
      <c r="K28" s="195">
        <v>0</v>
      </c>
      <c r="L28" s="195">
        <v>0</v>
      </c>
      <c r="M28" s="195">
        <v>0</v>
      </c>
      <c r="N28" s="195">
        <v>0</v>
      </c>
      <c r="O28" s="195">
        <v>0</v>
      </c>
      <c r="P28" s="195">
        <v>0</v>
      </c>
      <c r="Q28" s="195">
        <v>0</v>
      </c>
      <c r="R28" s="195">
        <v>0</v>
      </c>
      <c r="S28" s="195">
        <v>56377361</v>
      </c>
      <c r="T28" s="114">
        <f t="shared" si="1"/>
        <v>56377361</v>
      </c>
      <c r="U28" s="196">
        <v>0</v>
      </c>
      <c r="V28" s="196">
        <v>0</v>
      </c>
      <c r="W28" s="115">
        <f t="shared" si="2"/>
        <v>56377361</v>
      </c>
      <c r="X28" s="116">
        <f>'SUIVI 2026'!M27</f>
        <v>56377361</v>
      </c>
      <c r="Y28" s="117">
        <f t="shared" si="3"/>
        <v>0</v>
      </c>
      <c r="Z28" s="123"/>
      <c r="AA28" s="181">
        <f t="shared" si="4"/>
        <v>0</v>
      </c>
      <c r="AB28" s="182">
        <f t="shared" si="5"/>
        <v>0</v>
      </c>
      <c r="AC28" s="181">
        <f>SUM(AA5:AA28)</f>
        <v>0</v>
      </c>
      <c r="AD28" s="182">
        <f>SUM(AB5:AB28)</f>
        <v>0</v>
      </c>
      <c r="AE28" s="183">
        <f t="shared" si="6"/>
        <v>0</v>
      </c>
    </row>
    <row r="29" spans="1:31" ht="15.95" customHeight="1" x14ac:dyDescent="0.25">
      <c r="A29" s="119">
        <v>25</v>
      </c>
      <c r="B29" s="120">
        <v>46057</v>
      </c>
      <c r="C29" s="121" t="s">
        <v>208</v>
      </c>
      <c r="D29" s="122">
        <v>4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13">
        <f t="shared" si="0"/>
        <v>0</v>
      </c>
      <c r="K29" s="195">
        <v>0</v>
      </c>
      <c r="L29" s="195">
        <v>0</v>
      </c>
      <c r="M29" s="195">
        <v>0</v>
      </c>
      <c r="N29" s="195">
        <v>0</v>
      </c>
      <c r="O29" s="195">
        <v>0</v>
      </c>
      <c r="P29" s="195">
        <v>0</v>
      </c>
      <c r="Q29" s="195">
        <v>0</v>
      </c>
      <c r="R29" s="195">
        <v>0</v>
      </c>
      <c r="S29" s="195">
        <v>56377361</v>
      </c>
      <c r="T29" s="114">
        <f t="shared" si="1"/>
        <v>56377361</v>
      </c>
      <c r="U29" s="196">
        <v>0</v>
      </c>
      <c r="V29" s="196">
        <v>0</v>
      </c>
      <c r="W29" s="115">
        <f t="shared" si="2"/>
        <v>56377361</v>
      </c>
      <c r="X29" s="116">
        <f>'SUIVI 2026'!M28</f>
        <v>56377361</v>
      </c>
      <c r="Y29" s="117">
        <f t="shared" si="3"/>
        <v>0</v>
      </c>
      <c r="Z29" s="123"/>
      <c r="AA29" s="178">
        <f t="shared" si="4"/>
        <v>0</v>
      </c>
      <c r="AB29" s="179">
        <f t="shared" si="5"/>
        <v>0</v>
      </c>
      <c r="AC29" s="178">
        <f>SUM(AA5:AA29)</f>
        <v>0</v>
      </c>
      <c r="AD29" s="179">
        <f>SUM(AB5:AB29)</f>
        <v>0</v>
      </c>
      <c r="AE29" s="180">
        <f t="shared" si="6"/>
        <v>0</v>
      </c>
    </row>
    <row r="30" spans="1:31" ht="15.95" customHeight="1" x14ac:dyDescent="0.25">
      <c r="A30" s="119">
        <v>26</v>
      </c>
      <c r="B30" s="120">
        <v>46058</v>
      </c>
      <c r="C30" s="121" t="s">
        <v>204</v>
      </c>
      <c r="D30" s="122">
        <v>4</v>
      </c>
      <c r="E30" s="194">
        <v>0</v>
      </c>
      <c r="F30" s="194">
        <v>0</v>
      </c>
      <c r="G30" s="194">
        <v>0</v>
      </c>
      <c r="H30" s="194">
        <v>0</v>
      </c>
      <c r="I30" s="194">
        <v>0</v>
      </c>
      <c r="J30" s="113">
        <f t="shared" si="0"/>
        <v>0</v>
      </c>
      <c r="K30" s="195">
        <v>0</v>
      </c>
      <c r="L30" s="195">
        <v>0</v>
      </c>
      <c r="M30" s="195">
        <v>0</v>
      </c>
      <c r="N30" s="195">
        <v>0</v>
      </c>
      <c r="O30" s="195">
        <v>0</v>
      </c>
      <c r="P30" s="195">
        <v>0</v>
      </c>
      <c r="Q30" s="195">
        <v>0</v>
      </c>
      <c r="R30" s="195">
        <v>0</v>
      </c>
      <c r="S30" s="195">
        <v>56377361</v>
      </c>
      <c r="T30" s="114">
        <f t="shared" si="1"/>
        <v>56377361</v>
      </c>
      <c r="U30" s="196">
        <v>0</v>
      </c>
      <c r="V30" s="196">
        <v>0</v>
      </c>
      <c r="W30" s="115">
        <f t="shared" si="2"/>
        <v>56377361</v>
      </c>
      <c r="X30" s="116">
        <f>'SUIVI 2026'!M29</f>
        <v>56377361</v>
      </c>
      <c r="Y30" s="117">
        <f t="shared" si="3"/>
        <v>0</v>
      </c>
      <c r="Z30" s="123"/>
      <c r="AA30" s="181">
        <f t="shared" si="4"/>
        <v>0</v>
      </c>
      <c r="AB30" s="182">
        <f t="shared" si="5"/>
        <v>0</v>
      </c>
      <c r="AC30" s="181">
        <f>SUM(AA5:AA30)</f>
        <v>0</v>
      </c>
      <c r="AD30" s="182">
        <f>SUM(AB5:AB30)</f>
        <v>0</v>
      </c>
      <c r="AE30" s="183">
        <f t="shared" si="6"/>
        <v>0</v>
      </c>
    </row>
    <row r="31" spans="1:31" ht="15.95" customHeight="1" x14ac:dyDescent="0.25">
      <c r="A31" s="119">
        <v>27</v>
      </c>
      <c r="B31" s="120">
        <v>46059</v>
      </c>
      <c r="C31" s="121" t="s">
        <v>205</v>
      </c>
      <c r="D31" s="122">
        <v>4</v>
      </c>
      <c r="E31" s="194">
        <v>0</v>
      </c>
      <c r="F31" s="194">
        <v>0</v>
      </c>
      <c r="G31" s="194">
        <v>0</v>
      </c>
      <c r="H31" s="194">
        <v>0</v>
      </c>
      <c r="I31" s="194">
        <v>0</v>
      </c>
      <c r="J31" s="113">
        <f t="shared" si="0"/>
        <v>0</v>
      </c>
      <c r="K31" s="195">
        <v>0</v>
      </c>
      <c r="L31" s="195">
        <v>0</v>
      </c>
      <c r="M31" s="195">
        <v>0</v>
      </c>
      <c r="N31" s="195">
        <v>0</v>
      </c>
      <c r="O31" s="195">
        <v>0</v>
      </c>
      <c r="P31" s="195">
        <v>0</v>
      </c>
      <c r="Q31" s="195">
        <v>0</v>
      </c>
      <c r="R31" s="195">
        <v>0</v>
      </c>
      <c r="S31" s="195">
        <v>56377361</v>
      </c>
      <c r="T31" s="114">
        <f t="shared" si="1"/>
        <v>56377361</v>
      </c>
      <c r="U31" s="196">
        <v>0</v>
      </c>
      <c r="V31" s="196">
        <v>0</v>
      </c>
      <c r="W31" s="115">
        <f t="shared" si="2"/>
        <v>56377361</v>
      </c>
      <c r="X31" s="116">
        <f>'SUIVI 2026'!M30</f>
        <v>56377361</v>
      </c>
      <c r="Y31" s="117">
        <f t="shared" si="3"/>
        <v>0</v>
      </c>
      <c r="Z31" s="123"/>
      <c r="AA31" s="178">
        <f t="shared" si="4"/>
        <v>0</v>
      </c>
      <c r="AB31" s="179">
        <f t="shared" si="5"/>
        <v>0</v>
      </c>
      <c r="AC31" s="178">
        <f>SUM(AA5:AA31)</f>
        <v>0</v>
      </c>
      <c r="AD31" s="179">
        <f>SUM(AB5:AB31)</f>
        <v>0</v>
      </c>
      <c r="AE31" s="180">
        <f t="shared" si="6"/>
        <v>0</v>
      </c>
    </row>
    <row r="32" spans="1:31" ht="15.95" customHeight="1" x14ac:dyDescent="0.25">
      <c r="A32" s="119">
        <v>28</v>
      </c>
      <c r="B32" s="120">
        <v>46062</v>
      </c>
      <c r="C32" s="121" t="s">
        <v>206</v>
      </c>
      <c r="D32" s="122">
        <v>4</v>
      </c>
      <c r="E32" s="194">
        <v>0</v>
      </c>
      <c r="F32" s="194">
        <v>0</v>
      </c>
      <c r="G32" s="194">
        <v>0</v>
      </c>
      <c r="H32" s="194">
        <v>0</v>
      </c>
      <c r="I32" s="194">
        <v>0</v>
      </c>
      <c r="J32" s="113">
        <f t="shared" si="0"/>
        <v>0</v>
      </c>
      <c r="K32" s="195">
        <v>0</v>
      </c>
      <c r="L32" s="195">
        <v>0</v>
      </c>
      <c r="M32" s="195">
        <v>0</v>
      </c>
      <c r="N32" s="195">
        <v>0</v>
      </c>
      <c r="O32" s="195">
        <v>0</v>
      </c>
      <c r="P32" s="195">
        <v>0</v>
      </c>
      <c r="Q32" s="195">
        <v>0</v>
      </c>
      <c r="R32" s="195">
        <v>0</v>
      </c>
      <c r="S32" s="195">
        <v>56377361</v>
      </c>
      <c r="T32" s="114">
        <f t="shared" si="1"/>
        <v>56377361</v>
      </c>
      <c r="U32" s="196">
        <v>0</v>
      </c>
      <c r="V32" s="196">
        <v>0</v>
      </c>
      <c r="W32" s="115">
        <f t="shared" si="2"/>
        <v>56377361</v>
      </c>
      <c r="X32" s="116">
        <f>'SUIVI 2026'!M31</f>
        <v>56377361</v>
      </c>
      <c r="Y32" s="117">
        <f t="shared" si="3"/>
        <v>0</v>
      </c>
      <c r="Z32" s="123"/>
      <c r="AA32" s="181">
        <f t="shared" si="4"/>
        <v>0</v>
      </c>
      <c r="AB32" s="182">
        <f t="shared" si="5"/>
        <v>0</v>
      </c>
      <c r="AC32" s="181">
        <f>SUM(AA5:AA32)</f>
        <v>0</v>
      </c>
      <c r="AD32" s="182">
        <f>SUM(AB5:AB32)</f>
        <v>0</v>
      </c>
      <c r="AE32" s="183">
        <f t="shared" si="6"/>
        <v>0</v>
      </c>
    </row>
    <row r="33" spans="1:31" ht="15.95" customHeight="1" x14ac:dyDescent="0.25">
      <c r="A33" s="119">
        <v>29</v>
      </c>
      <c r="B33" s="120">
        <v>46063</v>
      </c>
      <c r="C33" s="121" t="s">
        <v>207</v>
      </c>
      <c r="D33" s="122">
        <v>4</v>
      </c>
      <c r="E33" s="194">
        <v>0</v>
      </c>
      <c r="F33" s="194">
        <v>0</v>
      </c>
      <c r="G33" s="194">
        <v>0</v>
      </c>
      <c r="H33" s="194">
        <v>0</v>
      </c>
      <c r="I33" s="194">
        <v>0</v>
      </c>
      <c r="J33" s="113">
        <f t="shared" si="0"/>
        <v>0</v>
      </c>
      <c r="K33" s="195">
        <v>0</v>
      </c>
      <c r="L33" s="195">
        <v>0</v>
      </c>
      <c r="M33" s="195">
        <v>0</v>
      </c>
      <c r="N33" s="195">
        <v>0</v>
      </c>
      <c r="O33" s="195">
        <v>0</v>
      </c>
      <c r="P33" s="195">
        <v>0</v>
      </c>
      <c r="Q33" s="195">
        <v>0</v>
      </c>
      <c r="R33" s="195">
        <v>0</v>
      </c>
      <c r="S33" s="195">
        <v>56377361</v>
      </c>
      <c r="T33" s="114">
        <f t="shared" si="1"/>
        <v>56377361</v>
      </c>
      <c r="U33" s="196">
        <v>0</v>
      </c>
      <c r="V33" s="196">
        <v>0</v>
      </c>
      <c r="W33" s="115">
        <f t="shared" si="2"/>
        <v>56377361</v>
      </c>
      <c r="X33" s="116">
        <f>'SUIVI 2026'!M32</f>
        <v>56377361</v>
      </c>
      <c r="Y33" s="117">
        <f t="shared" si="3"/>
        <v>0</v>
      </c>
      <c r="Z33" s="123"/>
      <c r="AA33" s="178">
        <f t="shared" si="4"/>
        <v>0</v>
      </c>
      <c r="AB33" s="179">
        <f t="shared" si="5"/>
        <v>0</v>
      </c>
      <c r="AC33" s="178">
        <f>SUM(AA5:AA33)</f>
        <v>0</v>
      </c>
      <c r="AD33" s="179">
        <f>SUM(AB5:AB33)</f>
        <v>0</v>
      </c>
      <c r="AE33" s="180">
        <f t="shared" si="6"/>
        <v>0</v>
      </c>
    </row>
    <row r="34" spans="1:31" ht="15.95" customHeight="1" x14ac:dyDescent="0.25">
      <c r="A34" s="119">
        <v>30</v>
      </c>
      <c r="B34" s="120">
        <v>46064</v>
      </c>
      <c r="C34" s="121" t="s">
        <v>208</v>
      </c>
      <c r="D34" s="122">
        <v>5</v>
      </c>
      <c r="E34" s="194">
        <v>0</v>
      </c>
      <c r="F34" s="194">
        <v>0</v>
      </c>
      <c r="G34" s="194">
        <v>0</v>
      </c>
      <c r="H34" s="194">
        <v>0</v>
      </c>
      <c r="I34" s="194">
        <v>0</v>
      </c>
      <c r="J34" s="113">
        <f t="shared" si="0"/>
        <v>0</v>
      </c>
      <c r="K34" s="195">
        <v>0</v>
      </c>
      <c r="L34" s="195">
        <v>0</v>
      </c>
      <c r="M34" s="195">
        <v>0</v>
      </c>
      <c r="N34" s="195">
        <v>0</v>
      </c>
      <c r="O34" s="195">
        <v>0</v>
      </c>
      <c r="P34" s="195">
        <v>0</v>
      </c>
      <c r="Q34" s="195">
        <v>0</v>
      </c>
      <c r="R34" s="195">
        <v>0</v>
      </c>
      <c r="S34" s="195">
        <v>56377361</v>
      </c>
      <c r="T34" s="114">
        <f t="shared" si="1"/>
        <v>56377361</v>
      </c>
      <c r="U34" s="196">
        <v>0</v>
      </c>
      <c r="V34" s="196">
        <v>0</v>
      </c>
      <c r="W34" s="115">
        <f t="shared" si="2"/>
        <v>56377361</v>
      </c>
      <c r="X34" s="116">
        <f>'SUIVI 2026'!M33</f>
        <v>56377361</v>
      </c>
      <c r="Y34" s="117">
        <f t="shared" si="3"/>
        <v>0</v>
      </c>
      <c r="Z34" s="123"/>
      <c r="AA34" s="181">
        <f t="shared" si="4"/>
        <v>0</v>
      </c>
      <c r="AB34" s="182">
        <f t="shared" si="5"/>
        <v>0</v>
      </c>
      <c r="AC34" s="181">
        <f>SUM(AA5:AA34)</f>
        <v>0</v>
      </c>
      <c r="AD34" s="182">
        <f>SUM(AB5:AB34)</f>
        <v>0</v>
      </c>
      <c r="AE34" s="183">
        <f t="shared" si="6"/>
        <v>0</v>
      </c>
    </row>
    <row r="35" spans="1:31" ht="15.95" customHeight="1" x14ac:dyDescent="0.25">
      <c r="A35" s="119">
        <v>31</v>
      </c>
      <c r="B35" s="120">
        <v>46065</v>
      </c>
      <c r="C35" s="121" t="s">
        <v>204</v>
      </c>
      <c r="D35" s="122">
        <v>5</v>
      </c>
      <c r="E35" s="194">
        <v>0</v>
      </c>
      <c r="F35" s="194">
        <v>0</v>
      </c>
      <c r="G35" s="194">
        <v>0</v>
      </c>
      <c r="H35" s="194">
        <v>0</v>
      </c>
      <c r="I35" s="194">
        <v>0</v>
      </c>
      <c r="J35" s="113">
        <f t="shared" si="0"/>
        <v>0</v>
      </c>
      <c r="K35" s="195">
        <v>0</v>
      </c>
      <c r="L35" s="195">
        <v>0</v>
      </c>
      <c r="M35" s="195">
        <v>0</v>
      </c>
      <c r="N35" s="195">
        <v>0</v>
      </c>
      <c r="O35" s="195">
        <v>0</v>
      </c>
      <c r="P35" s="195">
        <v>0</v>
      </c>
      <c r="Q35" s="195">
        <v>0</v>
      </c>
      <c r="R35" s="195">
        <v>0</v>
      </c>
      <c r="S35" s="195">
        <v>56377361</v>
      </c>
      <c r="T35" s="114">
        <f t="shared" si="1"/>
        <v>56377361</v>
      </c>
      <c r="U35" s="196">
        <v>0</v>
      </c>
      <c r="V35" s="196">
        <v>0</v>
      </c>
      <c r="W35" s="115">
        <f t="shared" si="2"/>
        <v>56377361</v>
      </c>
      <c r="X35" s="116">
        <f>'SUIVI 2026'!M34</f>
        <v>56377361</v>
      </c>
      <c r="Y35" s="117">
        <f t="shared" si="3"/>
        <v>0</v>
      </c>
      <c r="Z35" s="123"/>
      <c r="AA35" s="178">
        <f t="shared" si="4"/>
        <v>0</v>
      </c>
      <c r="AB35" s="179">
        <f t="shared" si="5"/>
        <v>0</v>
      </c>
      <c r="AC35" s="178">
        <f>SUM(AA5:AA35)</f>
        <v>0</v>
      </c>
      <c r="AD35" s="179">
        <f>SUM(AB5:AB35)</f>
        <v>0</v>
      </c>
      <c r="AE35" s="180">
        <f t="shared" si="6"/>
        <v>0</v>
      </c>
    </row>
    <row r="36" spans="1:31" ht="15.95" customHeight="1" x14ac:dyDescent="0.25">
      <c r="A36" s="119">
        <v>32</v>
      </c>
      <c r="B36" s="120">
        <v>46066</v>
      </c>
      <c r="C36" s="121" t="s">
        <v>205</v>
      </c>
      <c r="D36" s="122">
        <v>5</v>
      </c>
      <c r="E36" s="194">
        <v>0</v>
      </c>
      <c r="F36" s="194">
        <v>0</v>
      </c>
      <c r="G36" s="194">
        <v>0</v>
      </c>
      <c r="H36" s="194">
        <v>0</v>
      </c>
      <c r="I36" s="194">
        <v>0</v>
      </c>
      <c r="J36" s="113">
        <f t="shared" si="0"/>
        <v>0</v>
      </c>
      <c r="K36" s="195">
        <v>0</v>
      </c>
      <c r="L36" s="195">
        <v>0</v>
      </c>
      <c r="M36" s="195">
        <v>0</v>
      </c>
      <c r="N36" s="195">
        <v>0</v>
      </c>
      <c r="O36" s="195">
        <v>0</v>
      </c>
      <c r="P36" s="195">
        <v>0</v>
      </c>
      <c r="Q36" s="195">
        <v>0</v>
      </c>
      <c r="R36" s="195">
        <v>0</v>
      </c>
      <c r="S36" s="195">
        <v>56377361</v>
      </c>
      <c r="T36" s="114">
        <f t="shared" si="1"/>
        <v>56377361</v>
      </c>
      <c r="U36" s="196">
        <v>0</v>
      </c>
      <c r="V36" s="196">
        <v>0</v>
      </c>
      <c r="W36" s="115">
        <f t="shared" si="2"/>
        <v>56377361</v>
      </c>
      <c r="X36" s="116">
        <f>'SUIVI 2026'!M35</f>
        <v>56377361</v>
      </c>
      <c r="Y36" s="117">
        <f t="shared" si="3"/>
        <v>0</v>
      </c>
      <c r="Z36" s="123"/>
      <c r="AA36" s="181">
        <f t="shared" si="4"/>
        <v>0</v>
      </c>
      <c r="AB36" s="182">
        <f t="shared" si="5"/>
        <v>0</v>
      </c>
      <c r="AC36" s="181">
        <f>SUM(AA5:AA36)</f>
        <v>0</v>
      </c>
      <c r="AD36" s="182">
        <f>SUM(AB5:AB36)</f>
        <v>0</v>
      </c>
      <c r="AE36" s="183">
        <f t="shared" si="6"/>
        <v>0</v>
      </c>
    </row>
    <row r="37" spans="1:31" ht="15.95" customHeight="1" x14ac:dyDescent="0.25">
      <c r="A37" s="119">
        <v>33</v>
      </c>
      <c r="B37" s="120">
        <v>46069</v>
      </c>
      <c r="C37" s="121" t="s">
        <v>206</v>
      </c>
      <c r="D37" s="122">
        <v>5</v>
      </c>
      <c r="E37" s="194">
        <v>0</v>
      </c>
      <c r="F37" s="194">
        <v>0</v>
      </c>
      <c r="G37" s="194">
        <v>0</v>
      </c>
      <c r="H37" s="194">
        <v>0</v>
      </c>
      <c r="I37" s="194">
        <v>0</v>
      </c>
      <c r="J37" s="113">
        <f t="shared" si="0"/>
        <v>0</v>
      </c>
      <c r="K37" s="195">
        <v>0</v>
      </c>
      <c r="L37" s="195">
        <v>0</v>
      </c>
      <c r="M37" s="195">
        <v>0</v>
      </c>
      <c r="N37" s="195">
        <v>0</v>
      </c>
      <c r="O37" s="195">
        <v>0</v>
      </c>
      <c r="P37" s="195">
        <v>0</v>
      </c>
      <c r="Q37" s="195">
        <v>0</v>
      </c>
      <c r="R37" s="195">
        <v>0</v>
      </c>
      <c r="S37" s="195">
        <v>56377361</v>
      </c>
      <c r="T37" s="114">
        <f t="shared" si="1"/>
        <v>56377361</v>
      </c>
      <c r="U37" s="196">
        <v>0</v>
      </c>
      <c r="V37" s="196">
        <v>0</v>
      </c>
      <c r="W37" s="115">
        <f t="shared" si="2"/>
        <v>56377361</v>
      </c>
      <c r="X37" s="116">
        <f>'SUIVI 2026'!M36</f>
        <v>56377361</v>
      </c>
      <c r="Y37" s="117">
        <f t="shared" si="3"/>
        <v>0</v>
      </c>
      <c r="Z37" s="123"/>
      <c r="AA37" s="178">
        <f t="shared" si="4"/>
        <v>0</v>
      </c>
      <c r="AB37" s="179">
        <f t="shared" si="5"/>
        <v>0</v>
      </c>
      <c r="AC37" s="178">
        <f>SUM(AA5:AA37)</f>
        <v>0</v>
      </c>
      <c r="AD37" s="179">
        <f>SUM(AB5:AB37)</f>
        <v>0</v>
      </c>
      <c r="AE37" s="180">
        <f t="shared" si="6"/>
        <v>0</v>
      </c>
    </row>
    <row r="38" spans="1:31" ht="15.95" customHeight="1" x14ac:dyDescent="0.25">
      <c r="A38" s="119">
        <v>34</v>
      </c>
      <c r="B38" s="120">
        <v>46070</v>
      </c>
      <c r="C38" s="121" t="s">
        <v>207</v>
      </c>
      <c r="D38" s="122">
        <v>5</v>
      </c>
      <c r="E38" s="194">
        <v>0</v>
      </c>
      <c r="F38" s="194">
        <v>0</v>
      </c>
      <c r="G38" s="194">
        <v>0</v>
      </c>
      <c r="H38" s="194">
        <v>0</v>
      </c>
      <c r="I38" s="194">
        <v>0</v>
      </c>
      <c r="J38" s="113">
        <f t="shared" si="0"/>
        <v>0</v>
      </c>
      <c r="K38" s="195">
        <v>0</v>
      </c>
      <c r="L38" s="195">
        <v>0</v>
      </c>
      <c r="M38" s="195">
        <v>0</v>
      </c>
      <c r="N38" s="195">
        <v>0</v>
      </c>
      <c r="O38" s="195">
        <v>0</v>
      </c>
      <c r="P38" s="195">
        <v>0</v>
      </c>
      <c r="Q38" s="195">
        <v>0</v>
      </c>
      <c r="R38" s="195">
        <v>0</v>
      </c>
      <c r="S38" s="195">
        <v>56377361</v>
      </c>
      <c r="T38" s="114">
        <f t="shared" si="1"/>
        <v>56377361</v>
      </c>
      <c r="U38" s="196">
        <v>0</v>
      </c>
      <c r="V38" s="196">
        <v>0</v>
      </c>
      <c r="W38" s="115">
        <f t="shared" si="2"/>
        <v>56377361</v>
      </c>
      <c r="X38" s="116">
        <f>'SUIVI 2026'!M37</f>
        <v>56377361</v>
      </c>
      <c r="Y38" s="117">
        <f t="shared" si="3"/>
        <v>0</v>
      </c>
      <c r="Z38" s="123"/>
      <c r="AA38" s="181">
        <f t="shared" si="4"/>
        <v>0</v>
      </c>
      <c r="AB38" s="182">
        <f t="shared" si="5"/>
        <v>0</v>
      </c>
      <c r="AC38" s="181">
        <f>SUM(AA5:AA38)</f>
        <v>0</v>
      </c>
      <c r="AD38" s="182">
        <f>SUM(AB5:AB38)</f>
        <v>0</v>
      </c>
      <c r="AE38" s="183">
        <f t="shared" si="6"/>
        <v>0</v>
      </c>
    </row>
    <row r="39" spans="1:31" ht="15.95" customHeight="1" x14ac:dyDescent="0.25">
      <c r="A39" s="119">
        <v>35</v>
      </c>
      <c r="B39" s="120">
        <v>46071</v>
      </c>
      <c r="C39" s="121" t="s">
        <v>208</v>
      </c>
      <c r="D39" s="122">
        <v>5</v>
      </c>
      <c r="E39" s="194">
        <v>0</v>
      </c>
      <c r="F39" s="194">
        <v>0</v>
      </c>
      <c r="G39" s="194">
        <v>0</v>
      </c>
      <c r="H39" s="194">
        <v>0</v>
      </c>
      <c r="I39" s="194">
        <v>0</v>
      </c>
      <c r="J39" s="113">
        <f t="shared" si="0"/>
        <v>0</v>
      </c>
      <c r="K39" s="195">
        <v>0</v>
      </c>
      <c r="L39" s="195">
        <v>0</v>
      </c>
      <c r="M39" s="195">
        <v>0</v>
      </c>
      <c r="N39" s="195">
        <v>0</v>
      </c>
      <c r="O39" s="195">
        <v>0</v>
      </c>
      <c r="P39" s="195">
        <v>0</v>
      </c>
      <c r="Q39" s="195">
        <v>0</v>
      </c>
      <c r="R39" s="195">
        <v>0</v>
      </c>
      <c r="S39" s="195">
        <v>56377361</v>
      </c>
      <c r="T39" s="114">
        <f t="shared" si="1"/>
        <v>56377361</v>
      </c>
      <c r="U39" s="196">
        <v>0</v>
      </c>
      <c r="V39" s="196">
        <v>0</v>
      </c>
      <c r="W39" s="115">
        <f t="shared" si="2"/>
        <v>56377361</v>
      </c>
      <c r="X39" s="116">
        <f>'SUIVI 2026'!M38</f>
        <v>56377361</v>
      </c>
      <c r="Y39" s="117">
        <f t="shared" si="3"/>
        <v>0</v>
      </c>
      <c r="Z39" s="123"/>
      <c r="AA39" s="178">
        <f t="shared" si="4"/>
        <v>0</v>
      </c>
      <c r="AB39" s="179">
        <f t="shared" si="5"/>
        <v>0</v>
      </c>
      <c r="AC39" s="178">
        <f>SUM(AA5:AA39)</f>
        <v>0</v>
      </c>
      <c r="AD39" s="179">
        <f>SUM(AB5:AB39)</f>
        <v>0</v>
      </c>
      <c r="AE39" s="180">
        <f t="shared" si="6"/>
        <v>0</v>
      </c>
    </row>
    <row r="40" spans="1:31" ht="15.95" customHeight="1" x14ac:dyDescent="0.25">
      <c r="A40" s="119">
        <v>36</v>
      </c>
      <c r="B40" s="120">
        <v>46072</v>
      </c>
      <c r="C40" s="121" t="s">
        <v>204</v>
      </c>
      <c r="D40" s="122">
        <v>5</v>
      </c>
      <c r="E40" s="194">
        <v>0</v>
      </c>
      <c r="F40" s="194">
        <v>0</v>
      </c>
      <c r="G40" s="194">
        <v>0</v>
      </c>
      <c r="H40" s="194">
        <v>0</v>
      </c>
      <c r="I40" s="194">
        <v>0</v>
      </c>
      <c r="J40" s="113">
        <f t="shared" si="0"/>
        <v>0</v>
      </c>
      <c r="K40" s="195">
        <v>0</v>
      </c>
      <c r="L40" s="195">
        <v>0</v>
      </c>
      <c r="M40" s="195">
        <v>0</v>
      </c>
      <c r="N40" s="195">
        <v>0</v>
      </c>
      <c r="O40" s="195">
        <v>0</v>
      </c>
      <c r="P40" s="195">
        <v>0</v>
      </c>
      <c r="Q40" s="195">
        <v>0</v>
      </c>
      <c r="R40" s="195">
        <v>0</v>
      </c>
      <c r="S40" s="195">
        <v>56377361</v>
      </c>
      <c r="T40" s="114">
        <f t="shared" si="1"/>
        <v>56377361</v>
      </c>
      <c r="U40" s="196">
        <v>0</v>
      </c>
      <c r="V40" s="196">
        <v>0</v>
      </c>
      <c r="W40" s="115">
        <f t="shared" si="2"/>
        <v>56377361</v>
      </c>
      <c r="X40" s="116">
        <f>'SUIVI 2026'!M39</f>
        <v>56377361</v>
      </c>
      <c r="Y40" s="117">
        <f t="shared" si="3"/>
        <v>0</v>
      </c>
      <c r="Z40" s="123"/>
      <c r="AA40" s="181">
        <f t="shared" si="4"/>
        <v>0</v>
      </c>
      <c r="AB40" s="182">
        <f t="shared" si="5"/>
        <v>0</v>
      </c>
      <c r="AC40" s="181">
        <f>SUM(AA5:AA40)</f>
        <v>0</v>
      </c>
      <c r="AD40" s="182">
        <f>SUM(AB5:AB40)</f>
        <v>0</v>
      </c>
      <c r="AE40" s="183">
        <f t="shared" si="6"/>
        <v>0</v>
      </c>
    </row>
    <row r="41" spans="1:31" ht="15.95" customHeight="1" x14ac:dyDescent="0.25">
      <c r="A41" s="119">
        <v>37</v>
      </c>
      <c r="B41" s="120">
        <v>46073</v>
      </c>
      <c r="C41" s="121" t="s">
        <v>205</v>
      </c>
      <c r="D41" s="122">
        <v>5</v>
      </c>
      <c r="E41" s="194">
        <v>0</v>
      </c>
      <c r="F41" s="194">
        <v>0</v>
      </c>
      <c r="G41" s="194">
        <v>0</v>
      </c>
      <c r="H41" s="194">
        <v>0</v>
      </c>
      <c r="I41" s="194">
        <v>0</v>
      </c>
      <c r="J41" s="113">
        <f t="shared" si="0"/>
        <v>0</v>
      </c>
      <c r="K41" s="195">
        <v>0</v>
      </c>
      <c r="L41" s="195">
        <v>0</v>
      </c>
      <c r="M41" s="195">
        <v>0</v>
      </c>
      <c r="N41" s="195">
        <v>0</v>
      </c>
      <c r="O41" s="195">
        <v>0</v>
      </c>
      <c r="P41" s="195">
        <v>0</v>
      </c>
      <c r="Q41" s="195">
        <v>0</v>
      </c>
      <c r="R41" s="195">
        <v>0</v>
      </c>
      <c r="S41" s="195">
        <v>56377361</v>
      </c>
      <c r="T41" s="114">
        <f t="shared" si="1"/>
        <v>56377361</v>
      </c>
      <c r="U41" s="196">
        <v>0</v>
      </c>
      <c r="V41" s="196">
        <v>0</v>
      </c>
      <c r="W41" s="115">
        <f t="shared" si="2"/>
        <v>56377361</v>
      </c>
      <c r="X41" s="116">
        <f>'SUIVI 2026'!M40</f>
        <v>56377361</v>
      </c>
      <c r="Y41" s="117">
        <f t="shared" si="3"/>
        <v>0</v>
      </c>
      <c r="Z41" s="123"/>
      <c r="AA41" s="178">
        <f t="shared" si="4"/>
        <v>0</v>
      </c>
      <c r="AB41" s="179">
        <f t="shared" si="5"/>
        <v>0</v>
      </c>
      <c r="AC41" s="178">
        <f>SUM(AA5:AA41)</f>
        <v>0</v>
      </c>
      <c r="AD41" s="179">
        <f>SUM(AB5:AB41)</f>
        <v>0</v>
      </c>
      <c r="AE41" s="180">
        <f t="shared" si="6"/>
        <v>0</v>
      </c>
    </row>
    <row r="42" spans="1:31" ht="15.95" customHeight="1" x14ac:dyDescent="0.25">
      <c r="A42" s="119">
        <v>38</v>
      </c>
      <c r="B42" s="120">
        <v>46076</v>
      </c>
      <c r="C42" s="121" t="s">
        <v>206</v>
      </c>
      <c r="D42" s="122">
        <v>6</v>
      </c>
      <c r="E42" s="194">
        <v>0</v>
      </c>
      <c r="F42" s="194">
        <v>0</v>
      </c>
      <c r="G42" s="194">
        <v>0</v>
      </c>
      <c r="H42" s="194">
        <v>0</v>
      </c>
      <c r="I42" s="194">
        <v>0</v>
      </c>
      <c r="J42" s="113">
        <f t="shared" si="0"/>
        <v>0</v>
      </c>
      <c r="K42" s="195">
        <v>0</v>
      </c>
      <c r="L42" s="195">
        <v>0</v>
      </c>
      <c r="M42" s="195">
        <v>0</v>
      </c>
      <c r="N42" s="195">
        <v>0</v>
      </c>
      <c r="O42" s="195">
        <v>0</v>
      </c>
      <c r="P42" s="195">
        <v>0</v>
      </c>
      <c r="Q42" s="195">
        <v>0</v>
      </c>
      <c r="R42" s="195">
        <v>0</v>
      </c>
      <c r="S42" s="195">
        <v>56377361</v>
      </c>
      <c r="T42" s="114">
        <f t="shared" si="1"/>
        <v>56377361</v>
      </c>
      <c r="U42" s="196">
        <v>0</v>
      </c>
      <c r="V42" s="196">
        <v>0</v>
      </c>
      <c r="W42" s="115">
        <f t="shared" si="2"/>
        <v>56377361</v>
      </c>
      <c r="X42" s="116">
        <f>'SUIVI 2026'!M41</f>
        <v>56377361</v>
      </c>
      <c r="Y42" s="117">
        <f t="shared" si="3"/>
        <v>0</v>
      </c>
      <c r="Z42" s="123"/>
      <c r="AA42" s="181">
        <f t="shared" si="4"/>
        <v>0</v>
      </c>
      <c r="AB42" s="182">
        <f t="shared" si="5"/>
        <v>0</v>
      </c>
      <c r="AC42" s="181">
        <f>SUM(AA5:AA42)</f>
        <v>0</v>
      </c>
      <c r="AD42" s="182">
        <f>SUM(AB5:AB42)</f>
        <v>0</v>
      </c>
      <c r="AE42" s="183">
        <f t="shared" si="6"/>
        <v>0</v>
      </c>
    </row>
    <row r="43" spans="1:31" ht="15.95" customHeight="1" x14ac:dyDescent="0.25">
      <c r="A43" s="119">
        <v>39</v>
      </c>
      <c r="B43" s="120">
        <v>46077</v>
      </c>
      <c r="C43" s="121" t="s">
        <v>207</v>
      </c>
      <c r="D43" s="122">
        <v>6</v>
      </c>
      <c r="E43" s="194">
        <v>0</v>
      </c>
      <c r="F43" s="194">
        <v>0</v>
      </c>
      <c r="G43" s="194">
        <v>0</v>
      </c>
      <c r="H43" s="194">
        <v>0</v>
      </c>
      <c r="I43" s="194">
        <v>0</v>
      </c>
      <c r="J43" s="113">
        <f t="shared" si="0"/>
        <v>0</v>
      </c>
      <c r="K43" s="195">
        <v>0</v>
      </c>
      <c r="L43" s="195">
        <v>0</v>
      </c>
      <c r="M43" s="195">
        <v>0</v>
      </c>
      <c r="N43" s="195">
        <v>0</v>
      </c>
      <c r="O43" s="195">
        <v>0</v>
      </c>
      <c r="P43" s="195">
        <v>0</v>
      </c>
      <c r="Q43" s="195">
        <v>0</v>
      </c>
      <c r="R43" s="195">
        <v>0</v>
      </c>
      <c r="S43" s="195">
        <v>56377361</v>
      </c>
      <c r="T43" s="114">
        <f t="shared" si="1"/>
        <v>56377361</v>
      </c>
      <c r="U43" s="196">
        <v>0</v>
      </c>
      <c r="V43" s="196">
        <v>0</v>
      </c>
      <c r="W43" s="115">
        <f t="shared" si="2"/>
        <v>56377361</v>
      </c>
      <c r="X43" s="116">
        <f>'SUIVI 2026'!M42</f>
        <v>56377361</v>
      </c>
      <c r="Y43" s="117">
        <f t="shared" si="3"/>
        <v>0</v>
      </c>
      <c r="Z43" s="123"/>
      <c r="AA43" s="178">
        <f t="shared" si="4"/>
        <v>0</v>
      </c>
      <c r="AB43" s="179">
        <f t="shared" si="5"/>
        <v>0</v>
      </c>
      <c r="AC43" s="178">
        <f>SUM(AA5:AA43)</f>
        <v>0</v>
      </c>
      <c r="AD43" s="179">
        <f>SUM(AB5:AB43)</f>
        <v>0</v>
      </c>
      <c r="AE43" s="180">
        <f t="shared" si="6"/>
        <v>0</v>
      </c>
    </row>
    <row r="44" spans="1:31" ht="15.95" customHeight="1" x14ac:dyDescent="0.25">
      <c r="A44" s="119">
        <v>40</v>
      </c>
      <c r="B44" s="120">
        <v>46078</v>
      </c>
      <c r="C44" s="121" t="s">
        <v>208</v>
      </c>
      <c r="D44" s="122">
        <v>6</v>
      </c>
      <c r="E44" s="194">
        <v>0</v>
      </c>
      <c r="F44" s="194">
        <v>0</v>
      </c>
      <c r="G44" s="194">
        <v>0</v>
      </c>
      <c r="H44" s="194">
        <v>0</v>
      </c>
      <c r="I44" s="194">
        <v>0</v>
      </c>
      <c r="J44" s="113">
        <f t="shared" si="0"/>
        <v>0</v>
      </c>
      <c r="K44" s="195">
        <v>0</v>
      </c>
      <c r="L44" s="195">
        <v>0</v>
      </c>
      <c r="M44" s="195">
        <v>0</v>
      </c>
      <c r="N44" s="195">
        <v>0</v>
      </c>
      <c r="O44" s="195">
        <v>0</v>
      </c>
      <c r="P44" s="195">
        <v>0</v>
      </c>
      <c r="Q44" s="195">
        <v>0</v>
      </c>
      <c r="R44" s="195">
        <v>0</v>
      </c>
      <c r="S44" s="195">
        <v>56377361</v>
      </c>
      <c r="T44" s="114">
        <f t="shared" si="1"/>
        <v>56377361</v>
      </c>
      <c r="U44" s="196">
        <v>0</v>
      </c>
      <c r="V44" s="196">
        <v>0</v>
      </c>
      <c r="W44" s="115">
        <f t="shared" si="2"/>
        <v>56377361</v>
      </c>
      <c r="X44" s="116">
        <f>'SUIVI 2026'!M43</f>
        <v>56377361</v>
      </c>
      <c r="Y44" s="117">
        <f t="shared" si="3"/>
        <v>0</v>
      </c>
      <c r="Z44" s="123"/>
      <c r="AA44" s="181">
        <f t="shared" si="4"/>
        <v>0</v>
      </c>
      <c r="AB44" s="182">
        <f t="shared" si="5"/>
        <v>0</v>
      </c>
      <c r="AC44" s="181">
        <f>SUM(AA5:AA44)</f>
        <v>0</v>
      </c>
      <c r="AD44" s="182">
        <f>SUM(AB5:AB44)</f>
        <v>0</v>
      </c>
      <c r="AE44" s="183">
        <f t="shared" si="6"/>
        <v>0</v>
      </c>
    </row>
    <row r="45" spans="1:31" ht="15.95" customHeight="1" x14ac:dyDescent="0.25">
      <c r="A45" s="119">
        <v>41</v>
      </c>
      <c r="B45" s="120">
        <v>46079</v>
      </c>
      <c r="C45" s="121" t="s">
        <v>204</v>
      </c>
      <c r="D45" s="122">
        <v>6</v>
      </c>
      <c r="E45" s="194">
        <v>0</v>
      </c>
      <c r="F45" s="194">
        <v>0</v>
      </c>
      <c r="G45" s="194">
        <v>0</v>
      </c>
      <c r="H45" s="194">
        <v>0</v>
      </c>
      <c r="I45" s="194">
        <v>0</v>
      </c>
      <c r="J45" s="113">
        <f t="shared" si="0"/>
        <v>0</v>
      </c>
      <c r="K45" s="195">
        <v>0</v>
      </c>
      <c r="L45" s="195">
        <v>0</v>
      </c>
      <c r="M45" s="195">
        <v>0</v>
      </c>
      <c r="N45" s="195">
        <v>0</v>
      </c>
      <c r="O45" s="195">
        <v>0</v>
      </c>
      <c r="P45" s="195">
        <v>0</v>
      </c>
      <c r="Q45" s="195">
        <v>0</v>
      </c>
      <c r="R45" s="195">
        <v>0</v>
      </c>
      <c r="S45" s="195">
        <v>56377361</v>
      </c>
      <c r="T45" s="114">
        <f t="shared" si="1"/>
        <v>56377361</v>
      </c>
      <c r="U45" s="196">
        <v>0</v>
      </c>
      <c r="V45" s="196">
        <v>0</v>
      </c>
      <c r="W45" s="115">
        <f t="shared" si="2"/>
        <v>56377361</v>
      </c>
      <c r="X45" s="116">
        <f>'SUIVI 2026'!M44</f>
        <v>56377361</v>
      </c>
      <c r="Y45" s="117">
        <f t="shared" si="3"/>
        <v>0</v>
      </c>
      <c r="Z45" s="123"/>
      <c r="AA45" s="178">
        <f t="shared" si="4"/>
        <v>0</v>
      </c>
      <c r="AB45" s="179">
        <f t="shared" si="5"/>
        <v>0</v>
      </c>
      <c r="AC45" s="178">
        <f>SUM(AA5:AA45)</f>
        <v>0</v>
      </c>
      <c r="AD45" s="179">
        <f>SUM(AB5:AB45)</f>
        <v>0</v>
      </c>
      <c r="AE45" s="180">
        <f t="shared" si="6"/>
        <v>0</v>
      </c>
    </row>
    <row r="46" spans="1:31" ht="15.95" customHeight="1" x14ac:dyDescent="0.25">
      <c r="A46" s="119">
        <v>42</v>
      </c>
      <c r="B46" s="120">
        <v>46080</v>
      </c>
      <c r="C46" s="121" t="s">
        <v>205</v>
      </c>
      <c r="D46" s="122">
        <v>6</v>
      </c>
      <c r="E46" s="194">
        <v>0</v>
      </c>
      <c r="F46" s="194">
        <v>0</v>
      </c>
      <c r="G46" s="194">
        <v>0</v>
      </c>
      <c r="H46" s="194">
        <v>0</v>
      </c>
      <c r="I46" s="194">
        <v>0</v>
      </c>
      <c r="J46" s="113">
        <f t="shared" si="0"/>
        <v>0</v>
      </c>
      <c r="K46" s="195">
        <v>0</v>
      </c>
      <c r="L46" s="195">
        <v>0</v>
      </c>
      <c r="M46" s="195">
        <v>0</v>
      </c>
      <c r="N46" s="195">
        <v>0</v>
      </c>
      <c r="O46" s="195">
        <v>0</v>
      </c>
      <c r="P46" s="195">
        <v>0</v>
      </c>
      <c r="Q46" s="195">
        <v>0</v>
      </c>
      <c r="R46" s="195">
        <v>0</v>
      </c>
      <c r="S46" s="195">
        <v>56377361</v>
      </c>
      <c r="T46" s="114">
        <f t="shared" si="1"/>
        <v>56377361</v>
      </c>
      <c r="U46" s="196">
        <v>0</v>
      </c>
      <c r="V46" s="196">
        <v>0</v>
      </c>
      <c r="W46" s="115">
        <f t="shared" si="2"/>
        <v>56377361</v>
      </c>
      <c r="X46" s="116">
        <f>'SUIVI 2026'!M45</f>
        <v>56377361</v>
      </c>
      <c r="Y46" s="117">
        <f t="shared" si="3"/>
        <v>0</v>
      </c>
      <c r="Z46" s="123"/>
      <c r="AA46" s="181">
        <f t="shared" si="4"/>
        <v>0</v>
      </c>
      <c r="AB46" s="182">
        <f t="shared" si="5"/>
        <v>0</v>
      </c>
      <c r="AC46" s="181">
        <f>SUM(AA5:AA46)</f>
        <v>0</v>
      </c>
      <c r="AD46" s="182">
        <f>SUM(AB5:AB46)</f>
        <v>0</v>
      </c>
      <c r="AE46" s="183">
        <f t="shared" si="6"/>
        <v>0</v>
      </c>
    </row>
    <row r="47" spans="1:31" ht="15.95" customHeight="1" x14ac:dyDescent="0.25">
      <c r="A47" s="124">
        <v>43</v>
      </c>
      <c r="B47" s="125">
        <v>46083</v>
      </c>
      <c r="C47" s="126" t="s">
        <v>206</v>
      </c>
      <c r="D47" s="127">
        <v>7</v>
      </c>
      <c r="E47" s="194">
        <v>0</v>
      </c>
      <c r="F47" s="194">
        <v>0</v>
      </c>
      <c r="G47" s="194">
        <v>0</v>
      </c>
      <c r="H47" s="194">
        <v>0</v>
      </c>
      <c r="I47" s="194">
        <v>0</v>
      </c>
      <c r="J47" s="113">
        <f t="shared" si="0"/>
        <v>0</v>
      </c>
      <c r="K47" s="195">
        <v>0</v>
      </c>
      <c r="L47" s="195">
        <v>0</v>
      </c>
      <c r="M47" s="195">
        <v>0</v>
      </c>
      <c r="N47" s="195">
        <v>0</v>
      </c>
      <c r="O47" s="195">
        <v>0</v>
      </c>
      <c r="P47" s="195">
        <v>0</v>
      </c>
      <c r="Q47" s="195">
        <v>0</v>
      </c>
      <c r="R47" s="195">
        <v>0</v>
      </c>
      <c r="S47" s="195">
        <v>56377361</v>
      </c>
      <c r="T47" s="114">
        <f t="shared" si="1"/>
        <v>56377361</v>
      </c>
      <c r="U47" s="196">
        <v>0</v>
      </c>
      <c r="V47" s="196">
        <v>0</v>
      </c>
      <c r="W47" s="115">
        <f t="shared" si="2"/>
        <v>56377361</v>
      </c>
      <c r="X47" s="116">
        <f>'SUIVI 2026'!M46</f>
        <v>56377361</v>
      </c>
      <c r="Y47" s="117">
        <f t="shared" si="3"/>
        <v>0</v>
      </c>
      <c r="Z47" s="128"/>
      <c r="AA47" s="178">
        <f t="shared" si="4"/>
        <v>0</v>
      </c>
      <c r="AB47" s="179">
        <f t="shared" si="5"/>
        <v>0</v>
      </c>
      <c r="AC47" s="178">
        <f>SUM(AA5:AA47)</f>
        <v>0</v>
      </c>
      <c r="AD47" s="179">
        <f>SUM(AB5:AB47)</f>
        <v>0</v>
      </c>
      <c r="AE47" s="180">
        <f t="shared" si="6"/>
        <v>0</v>
      </c>
    </row>
    <row r="48" spans="1:31" ht="15.95" customHeight="1" x14ac:dyDescent="0.25">
      <c r="A48" s="124">
        <v>44</v>
      </c>
      <c r="B48" s="125">
        <v>46084</v>
      </c>
      <c r="C48" s="126" t="s">
        <v>207</v>
      </c>
      <c r="D48" s="127">
        <v>7</v>
      </c>
      <c r="E48" s="194">
        <v>0</v>
      </c>
      <c r="F48" s="194">
        <v>0</v>
      </c>
      <c r="G48" s="194">
        <v>0</v>
      </c>
      <c r="H48" s="194">
        <v>0</v>
      </c>
      <c r="I48" s="194">
        <v>0</v>
      </c>
      <c r="J48" s="113">
        <f t="shared" si="0"/>
        <v>0</v>
      </c>
      <c r="K48" s="195">
        <v>0</v>
      </c>
      <c r="L48" s="195">
        <v>0</v>
      </c>
      <c r="M48" s="195">
        <v>0</v>
      </c>
      <c r="N48" s="195">
        <v>0</v>
      </c>
      <c r="O48" s="195">
        <v>0</v>
      </c>
      <c r="P48" s="195">
        <v>0</v>
      </c>
      <c r="Q48" s="195">
        <v>0</v>
      </c>
      <c r="R48" s="195">
        <v>0</v>
      </c>
      <c r="S48" s="195">
        <v>56377361</v>
      </c>
      <c r="T48" s="114">
        <f t="shared" si="1"/>
        <v>56377361</v>
      </c>
      <c r="U48" s="196">
        <v>0</v>
      </c>
      <c r="V48" s="196">
        <v>0</v>
      </c>
      <c r="W48" s="115">
        <f t="shared" si="2"/>
        <v>56377361</v>
      </c>
      <c r="X48" s="116">
        <f>'SUIVI 2026'!M47</f>
        <v>56377361</v>
      </c>
      <c r="Y48" s="117">
        <f t="shared" si="3"/>
        <v>0</v>
      </c>
      <c r="Z48" s="128"/>
      <c r="AA48" s="181">
        <f t="shared" si="4"/>
        <v>0</v>
      </c>
      <c r="AB48" s="182">
        <f t="shared" si="5"/>
        <v>0</v>
      </c>
      <c r="AC48" s="181">
        <f>SUM(AA5:AA48)</f>
        <v>0</v>
      </c>
      <c r="AD48" s="182">
        <f>SUM(AB5:AB48)</f>
        <v>0</v>
      </c>
      <c r="AE48" s="183">
        <f t="shared" si="6"/>
        <v>0</v>
      </c>
    </row>
    <row r="49" spans="1:31" ht="15.95" customHeight="1" x14ac:dyDescent="0.25">
      <c r="A49" s="124">
        <v>45</v>
      </c>
      <c r="B49" s="125">
        <v>46085</v>
      </c>
      <c r="C49" s="126" t="s">
        <v>208</v>
      </c>
      <c r="D49" s="127">
        <v>7</v>
      </c>
      <c r="E49" s="194">
        <v>0</v>
      </c>
      <c r="F49" s="194">
        <v>0</v>
      </c>
      <c r="G49" s="194">
        <v>0</v>
      </c>
      <c r="H49" s="194">
        <v>0</v>
      </c>
      <c r="I49" s="194">
        <v>0</v>
      </c>
      <c r="J49" s="113">
        <f t="shared" si="0"/>
        <v>0</v>
      </c>
      <c r="K49" s="195">
        <v>0</v>
      </c>
      <c r="L49" s="195">
        <v>0</v>
      </c>
      <c r="M49" s="195">
        <v>0</v>
      </c>
      <c r="N49" s="195">
        <v>0</v>
      </c>
      <c r="O49" s="195">
        <v>0</v>
      </c>
      <c r="P49" s="195">
        <v>0</v>
      </c>
      <c r="Q49" s="195">
        <v>0</v>
      </c>
      <c r="R49" s="195">
        <v>0</v>
      </c>
      <c r="S49" s="195">
        <v>56377361</v>
      </c>
      <c r="T49" s="114">
        <f t="shared" si="1"/>
        <v>56377361</v>
      </c>
      <c r="U49" s="196">
        <v>0</v>
      </c>
      <c r="V49" s="196">
        <v>0</v>
      </c>
      <c r="W49" s="115">
        <f t="shared" si="2"/>
        <v>56377361</v>
      </c>
      <c r="X49" s="116">
        <f>'SUIVI 2026'!M48</f>
        <v>56377361</v>
      </c>
      <c r="Y49" s="117">
        <f t="shared" si="3"/>
        <v>0</v>
      </c>
      <c r="Z49" s="128"/>
      <c r="AA49" s="178">
        <f t="shared" si="4"/>
        <v>0</v>
      </c>
      <c r="AB49" s="179">
        <f t="shared" si="5"/>
        <v>0</v>
      </c>
      <c r="AC49" s="178">
        <f>SUM(AA5:AA49)</f>
        <v>0</v>
      </c>
      <c r="AD49" s="179">
        <f>SUM(AB5:AB49)</f>
        <v>0</v>
      </c>
      <c r="AE49" s="180">
        <f t="shared" si="6"/>
        <v>0</v>
      </c>
    </row>
    <row r="50" spans="1:31" ht="15.95" customHeight="1" x14ac:dyDescent="0.25">
      <c r="A50" s="124">
        <v>46</v>
      </c>
      <c r="B50" s="125">
        <v>46086</v>
      </c>
      <c r="C50" s="126" t="s">
        <v>204</v>
      </c>
      <c r="D50" s="127">
        <v>7</v>
      </c>
      <c r="E50" s="194">
        <v>0</v>
      </c>
      <c r="F50" s="194">
        <v>0</v>
      </c>
      <c r="G50" s="194">
        <v>0</v>
      </c>
      <c r="H50" s="194">
        <v>0</v>
      </c>
      <c r="I50" s="194">
        <v>0</v>
      </c>
      <c r="J50" s="113">
        <f t="shared" si="0"/>
        <v>0</v>
      </c>
      <c r="K50" s="195">
        <v>0</v>
      </c>
      <c r="L50" s="195">
        <v>0</v>
      </c>
      <c r="M50" s="195">
        <v>0</v>
      </c>
      <c r="N50" s="195">
        <v>0</v>
      </c>
      <c r="O50" s="195">
        <v>0</v>
      </c>
      <c r="P50" s="195">
        <v>0</v>
      </c>
      <c r="Q50" s="195">
        <v>0</v>
      </c>
      <c r="R50" s="195">
        <v>0</v>
      </c>
      <c r="S50" s="195">
        <v>56377361</v>
      </c>
      <c r="T50" s="114">
        <f t="shared" si="1"/>
        <v>56377361</v>
      </c>
      <c r="U50" s="196">
        <v>0</v>
      </c>
      <c r="V50" s="196">
        <v>0</v>
      </c>
      <c r="W50" s="115">
        <f t="shared" si="2"/>
        <v>56377361</v>
      </c>
      <c r="X50" s="116">
        <f>'SUIVI 2026'!M49</f>
        <v>56377361</v>
      </c>
      <c r="Y50" s="117">
        <f t="shared" si="3"/>
        <v>0</v>
      </c>
      <c r="Z50" s="128"/>
      <c r="AA50" s="181">
        <f t="shared" si="4"/>
        <v>0</v>
      </c>
      <c r="AB50" s="182">
        <f t="shared" si="5"/>
        <v>0</v>
      </c>
      <c r="AC50" s="181">
        <f>SUM(AA5:AA50)</f>
        <v>0</v>
      </c>
      <c r="AD50" s="182">
        <f>SUM(AB5:AB50)</f>
        <v>0</v>
      </c>
      <c r="AE50" s="183">
        <f t="shared" si="6"/>
        <v>0</v>
      </c>
    </row>
    <row r="51" spans="1:31" ht="15.95" customHeight="1" x14ac:dyDescent="0.25">
      <c r="A51" s="124">
        <v>47</v>
      </c>
      <c r="B51" s="125">
        <v>46087</v>
      </c>
      <c r="C51" s="126" t="s">
        <v>205</v>
      </c>
      <c r="D51" s="127">
        <v>7</v>
      </c>
      <c r="E51" s="194">
        <v>0</v>
      </c>
      <c r="F51" s="194">
        <v>0</v>
      </c>
      <c r="G51" s="194">
        <v>0</v>
      </c>
      <c r="H51" s="194">
        <v>0</v>
      </c>
      <c r="I51" s="194">
        <v>0</v>
      </c>
      <c r="J51" s="113">
        <f t="shared" si="0"/>
        <v>0</v>
      </c>
      <c r="K51" s="195">
        <v>0</v>
      </c>
      <c r="L51" s="195">
        <v>0</v>
      </c>
      <c r="M51" s="195">
        <v>0</v>
      </c>
      <c r="N51" s="195">
        <v>0</v>
      </c>
      <c r="O51" s="195">
        <v>0</v>
      </c>
      <c r="P51" s="195">
        <v>0</v>
      </c>
      <c r="Q51" s="195">
        <v>0</v>
      </c>
      <c r="R51" s="195">
        <v>0</v>
      </c>
      <c r="S51" s="195">
        <v>56377361</v>
      </c>
      <c r="T51" s="114">
        <f t="shared" si="1"/>
        <v>56377361</v>
      </c>
      <c r="U51" s="196">
        <v>0</v>
      </c>
      <c r="V51" s="196">
        <v>0</v>
      </c>
      <c r="W51" s="115">
        <f t="shared" si="2"/>
        <v>56377361</v>
      </c>
      <c r="X51" s="116">
        <f>'SUIVI 2026'!M50</f>
        <v>56377361</v>
      </c>
      <c r="Y51" s="117">
        <f t="shared" si="3"/>
        <v>0</v>
      </c>
      <c r="Z51" s="128"/>
      <c r="AA51" s="178">
        <f t="shared" si="4"/>
        <v>0</v>
      </c>
      <c r="AB51" s="179">
        <f t="shared" si="5"/>
        <v>0</v>
      </c>
      <c r="AC51" s="178">
        <f>SUM(AA5:AA51)</f>
        <v>0</v>
      </c>
      <c r="AD51" s="179">
        <f>SUM(AB5:AB51)</f>
        <v>0</v>
      </c>
      <c r="AE51" s="180">
        <f t="shared" si="6"/>
        <v>0</v>
      </c>
    </row>
    <row r="52" spans="1:31" ht="15.95" customHeight="1" x14ac:dyDescent="0.25">
      <c r="A52" s="124">
        <v>48</v>
      </c>
      <c r="B52" s="125">
        <v>46090</v>
      </c>
      <c r="C52" s="126" t="s">
        <v>206</v>
      </c>
      <c r="D52" s="127">
        <v>7</v>
      </c>
      <c r="E52" s="194">
        <v>0</v>
      </c>
      <c r="F52" s="194">
        <v>0</v>
      </c>
      <c r="G52" s="194">
        <v>0</v>
      </c>
      <c r="H52" s="194">
        <v>0</v>
      </c>
      <c r="I52" s="194">
        <v>0</v>
      </c>
      <c r="J52" s="113">
        <f t="shared" si="0"/>
        <v>0</v>
      </c>
      <c r="K52" s="195">
        <v>0</v>
      </c>
      <c r="L52" s="195">
        <v>0</v>
      </c>
      <c r="M52" s="195">
        <v>0</v>
      </c>
      <c r="N52" s="195">
        <v>0</v>
      </c>
      <c r="O52" s="195">
        <v>0</v>
      </c>
      <c r="P52" s="195">
        <v>0</v>
      </c>
      <c r="Q52" s="195">
        <v>0</v>
      </c>
      <c r="R52" s="195">
        <v>0</v>
      </c>
      <c r="S52" s="195">
        <v>56377361</v>
      </c>
      <c r="T52" s="114">
        <f t="shared" si="1"/>
        <v>56377361</v>
      </c>
      <c r="U52" s="196">
        <v>0</v>
      </c>
      <c r="V52" s="196">
        <v>0</v>
      </c>
      <c r="W52" s="115">
        <f t="shared" si="2"/>
        <v>56377361</v>
      </c>
      <c r="X52" s="116">
        <f>'SUIVI 2026'!M51</f>
        <v>56377361</v>
      </c>
      <c r="Y52" s="117">
        <f t="shared" si="3"/>
        <v>0</v>
      </c>
      <c r="Z52" s="128"/>
      <c r="AA52" s="181">
        <f t="shared" si="4"/>
        <v>0</v>
      </c>
      <c r="AB52" s="182">
        <f t="shared" si="5"/>
        <v>0</v>
      </c>
      <c r="AC52" s="181">
        <f>SUM(AA5:AA52)</f>
        <v>0</v>
      </c>
      <c r="AD52" s="182">
        <f>SUM(AB5:AB52)</f>
        <v>0</v>
      </c>
      <c r="AE52" s="183">
        <f t="shared" si="6"/>
        <v>0</v>
      </c>
    </row>
    <row r="53" spans="1:31" ht="15.95" customHeight="1" x14ac:dyDescent="0.25">
      <c r="A53" s="124">
        <v>49</v>
      </c>
      <c r="B53" s="125">
        <v>46091</v>
      </c>
      <c r="C53" s="126" t="s">
        <v>207</v>
      </c>
      <c r="D53" s="127">
        <v>7</v>
      </c>
      <c r="E53" s="194">
        <v>0</v>
      </c>
      <c r="F53" s="194">
        <v>0</v>
      </c>
      <c r="G53" s="194">
        <v>0</v>
      </c>
      <c r="H53" s="194">
        <v>0</v>
      </c>
      <c r="I53" s="194">
        <v>0</v>
      </c>
      <c r="J53" s="113">
        <f t="shared" si="0"/>
        <v>0</v>
      </c>
      <c r="K53" s="195">
        <v>0</v>
      </c>
      <c r="L53" s="195">
        <v>0</v>
      </c>
      <c r="M53" s="195">
        <v>0</v>
      </c>
      <c r="N53" s="195">
        <v>0</v>
      </c>
      <c r="O53" s="195">
        <v>0</v>
      </c>
      <c r="P53" s="195">
        <v>0</v>
      </c>
      <c r="Q53" s="195">
        <v>0</v>
      </c>
      <c r="R53" s="195">
        <v>0</v>
      </c>
      <c r="S53" s="195">
        <v>56377361</v>
      </c>
      <c r="T53" s="114">
        <f t="shared" si="1"/>
        <v>56377361</v>
      </c>
      <c r="U53" s="196">
        <v>0</v>
      </c>
      <c r="V53" s="196">
        <v>0</v>
      </c>
      <c r="W53" s="115">
        <f t="shared" si="2"/>
        <v>56377361</v>
      </c>
      <c r="X53" s="116">
        <f>'SUIVI 2026'!M52</f>
        <v>56377361</v>
      </c>
      <c r="Y53" s="117">
        <f t="shared" si="3"/>
        <v>0</v>
      </c>
      <c r="Z53" s="128"/>
      <c r="AA53" s="178">
        <f t="shared" si="4"/>
        <v>0</v>
      </c>
      <c r="AB53" s="179">
        <f t="shared" si="5"/>
        <v>0</v>
      </c>
      <c r="AC53" s="178">
        <f>SUM(AA5:AA53)</f>
        <v>0</v>
      </c>
      <c r="AD53" s="179">
        <f>SUM(AB5:AB53)</f>
        <v>0</v>
      </c>
      <c r="AE53" s="180">
        <f t="shared" si="6"/>
        <v>0</v>
      </c>
    </row>
    <row r="54" spans="1:31" ht="15.95" customHeight="1" x14ac:dyDescent="0.25">
      <c r="A54" s="124">
        <v>50</v>
      </c>
      <c r="B54" s="125">
        <v>46092</v>
      </c>
      <c r="C54" s="126" t="s">
        <v>208</v>
      </c>
      <c r="D54" s="127">
        <v>8</v>
      </c>
      <c r="E54" s="194">
        <v>0</v>
      </c>
      <c r="F54" s="194">
        <v>0</v>
      </c>
      <c r="G54" s="194">
        <v>0</v>
      </c>
      <c r="H54" s="194">
        <v>0</v>
      </c>
      <c r="I54" s="194">
        <v>0</v>
      </c>
      <c r="J54" s="113">
        <f t="shared" si="0"/>
        <v>0</v>
      </c>
      <c r="K54" s="195">
        <v>0</v>
      </c>
      <c r="L54" s="195">
        <v>0</v>
      </c>
      <c r="M54" s="195">
        <v>0</v>
      </c>
      <c r="N54" s="195">
        <v>0</v>
      </c>
      <c r="O54" s="195">
        <v>0</v>
      </c>
      <c r="P54" s="195">
        <v>0</v>
      </c>
      <c r="Q54" s="195">
        <v>0</v>
      </c>
      <c r="R54" s="195">
        <v>0</v>
      </c>
      <c r="S54" s="195">
        <v>56377361</v>
      </c>
      <c r="T54" s="114">
        <f t="shared" si="1"/>
        <v>56377361</v>
      </c>
      <c r="U54" s="196">
        <v>0</v>
      </c>
      <c r="V54" s="196">
        <v>0</v>
      </c>
      <c r="W54" s="115">
        <f t="shared" si="2"/>
        <v>56377361</v>
      </c>
      <c r="X54" s="116">
        <f>'SUIVI 2026'!M53</f>
        <v>56377361</v>
      </c>
      <c r="Y54" s="117">
        <f t="shared" si="3"/>
        <v>0</v>
      </c>
      <c r="Z54" s="128"/>
      <c r="AA54" s="181">
        <f t="shared" si="4"/>
        <v>0</v>
      </c>
      <c r="AB54" s="182">
        <f t="shared" si="5"/>
        <v>0</v>
      </c>
      <c r="AC54" s="181">
        <f>SUM(AA5:AA54)</f>
        <v>0</v>
      </c>
      <c r="AD54" s="182">
        <f>SUM(AB5:AB54)</f>
        <v>0</v>
      </c>
      <c r="AE54" s="183">
        <f t="shared" si="6"/>
        <v>0</v>
      </c>
    </row>
    <row r="55" spans="1:31" ht="15.95" customHeight="1" x14ac:dyDescent="0.25">
      <c r="A55" s="124">
        <v>51</v>
      </c>
      <c r="B55" s="125">
        <v>46093</v>
      </c>
      <c r="C55" s="126" t="s">
        <v>204</v>
      </c>
      <c r="D55" s="127">
        <v>8</v>
      </c>
      <c r="E55" s="194">
        <v>0</v>
      </c>
      <c r="F55" s="194">
        <v>0</v>
      </c>
      <c r="G55" s="194">
        <v>0</v>
      </c>
      <c r="H55" s="194">
        <v>0</v>
      </c>
      <c r="I55" s="194">
        <v>0</v>
      </c>
      <c r="J55" s="113">
        <f t="shared" si="0"/>
        <v>0</v>
      </c>
      <c r="K55" s="195">
        <v>0</v>
      </c>
      <c r="L55" s="195">
        <v>0</v>
      </c>
      <c r="M55" s="195">
        <v>0</v>
      </c>
      <c r="N55" s="195">
        <v>0</v>
      </c>
      <c r="O55" s="195">
        <v>0</v>
      </c>
      <c r="P55" s="195">
        <v>0</v>
      </c>
      <c r="Q55" s="195">
        <v>0</v>
      </c>
      <c r="R55" s="195">
        <v>0</v>
      </c>
      <c r="S55" s="195">
        <v>56377361</v>
      </c>
      <c r="T55" s="114">
        <f t="shared" si="1"/>
        <v>56377361</v>
      </c>
      <c r="U55" s="196">
        <v>0</v>
      </c>
      <c r="V55" s="196">
        <v>0</v>
      </c>
      <c r="W55" s="115">
        <f t="shared" si="2"/>
        <v>56377361</v>
      </c>
      <c r="X55" s="116">
        <f>'SUIVI 2026'!M54</f>
        <v>56377361</v>
      </c>
      <c r="Y55" s="117">
        <f t="shared" si="3"/>
        <v>0</v>
      </c>
      <c r="Z55" s="128"/>
      <c r="AA55" s="178">
        <f t="shared" si="4"/>
        <v>0</v>
      </c>
      <c r="AB55" s="179">
        <f t="shared" si="5"/>
        <v>0</v>
      </c>
      <c r="AC55" s="178">
        <f>SUM(AA5:AA55)</f>
        <v>0</v>
      </c>
      <c r="AD55" s="179">
        <f>SUM(AB5:AB55)</f>
        <v>0</v>
      </c>
      <c r="AE55" s="180">
        <f t="shared" si="6"/>
        <v>0</v>
      </c>
    </row>
    <row r="56" spans="1:31" ht="15.95" customHeight="1" x14ac:dyDescent="0.25">
      <c r="A56" s="124">
        <v>52</v>
      </c>
      <c r="B56" s="125">
        <v>46094</v>
      </c>
      <c r="C56" s="126" t="s">
        <v>205</v>
      </c>
      <c r="D56" s="127">
        <v>8</v>
      </c>
      <c r="E56" s="194">
        <v>0</v>
      </c>
      <c r="F56" s="194">
        <v>0</v>
      </c>
      <c r="G56" s="194">
        <v>0</v>
      </c>
      <c r="H56" s="194">
        <v>0</v>
      </c>
      <c r="I56" s="194">
        <v>0</v>
      </c>
      <c r="J56" s="113">
        <f t="shared" si="0"/>
        <v>0</v>
      </c>
      <c r="K56" s="195">
        <v>0</v>
      </c>
      <c r="L56" s="195">
        <v>0</v>
      </c>
      <c r="M56" s="195">
        <v>0</v>
      </c>
      <c r="N56" s="195">
        <v>0</v>
      </c>
      <c r="O56" s="195">
        <v>0</v>
      </c>
      <c r="P56" s="195">
        <v>0</v>
      </c>
      <c r="Q56" s="195">
        <v>0</v>
      </c>
      <c r="R56" s="195">
        <v>0</v>
      </c>
      <c r="S56" s="195">
        <v>56377361</v>
      </c>
      <c r="T56" s="114">
        <f t="shared" si="1"/>
        <v>56377361</v>
      </c>
      <c r="U56" s="196">
        <v>0</v>
      </c>
      <c r="V56" s="196">
        <v>0</v>
      </c>
      <c r="W56" s="115">
        <f t="shared" si="2"/>
        <v>56377361</v>
      </c>
      <c r="X56" s="116">
        <f>'SUIVI 2026'!M55</f>
        <v>56377361</v>
      </c>
      <c r="Y56" s="117">
        <f t="shared" si="3"/>
        <v>0</v>
      </c>
      <c r="Z56" s="128"/>
      <c r="AA56" s="181">
        <f t="shared" si="4"/>
        <v>0</v>
      </c>
      <c r="AB56" s="182">
        <f t="shared" si="5"/>
        <v>0</v>
      </c>
      <c r="AC56" s="181">
        <f>SUM(AA5:AA56)</f>
        <v>0</v>
      </c>
      <c r="AD56" s="182">
        <f>SUM(AB5:AB56)</f>
        <v>0</v>
      </c>
      <c r="AE56" s="183">
        <f t="shared" si="6"/>
        <v>0</v>
      </c>
    </row>
    <row r="57" spans="1:31" ht="15.95" customHeight="1" x14ac:dyDescent="0.25">
      <c r="A57" s="124">
        <v>53</v>
      </c>
      <c r="B57" s="125">
        <v>46097</v>
      </c>
      <c r="C57" s="126" t="s">
        <v>206</v>
      </c>
      <c r="D57" s="127">
        <v>8</v>
      </c>
      <c r="E57" s="194">
        <v>0</v>
      </c>
      <c r="F57" s="194">
        <v>0</v>
      </c>
      <c r="G57" s="194">
        <v>0</v>
      </c>
      <c r="H57" s="194">
        <v>0</v>
      </c>
      <c r="I57" s="194">
        <v>0</v>
      </c>
      <c r="J57" s="113">
        <f t="shared" si="0"/>
        <v>0</v>
      </c>
      <c r="K57" s="195">
        <v>0</v>
      </c>
      <c r="L57" s="195">
        <v>0</v>
      </c>
      <c r="M57" s="195">
        <v>0</v>
      </c>
      <c r="N57" s="195">
        <v>0</v>
      </c>
      <c r="O57" s="195">
        <v>0</v>
      </c>
      <c r="P57" s="195">
        <v>0</v>
      </c>
      <c r="Q57" s="195">
        <v>0</v>
      </c>
      <c r="R57" s="195">
        <v>0</v>
      </c>
      <c r="S57" s="195">
        <v>56377361</v>
      </c>
      <c r="T57" s="114">
        <f t="shared" si="1"/>
        <v>56377361</v>
      </c>
      <c r="U57" s="196">
        <v>0</v>
      </c>
      <c r="V57" s="196">
        <v>0</v>
      </c>
      <c r="W57" s="115">
        <f t="shared" si="2"/>
        <v>56377361</v>
      </c>
      <c r="X57" s="116">
        <f>'SUIVI 2026'!M56</f>
        <v>56377361</v>
      </c>
      <c r="Y57" s="117">
        <f t="shared" si="3"/>
        <v>0</v>
      </c>
      <c r="Z57" s="128"/>
      <c r="AA57" s="178">
        <f t="shared" si="4"/>
        <v>0</v>
      </c>
      <c r="AB57" s="179">
        <f t="shared" si="5"/>
        <v>0</v>
      </c>
      <c r="AC57" s="178">
        <f>SUM(AA5:AA57)</f>
        <v>0</v>
      </c>
      <c r="AD57" s="179">
        <f>SUM(AB5:AB57)</f>
        <v>0</v>
      </c>
      <c r="AE57" s="180">
        <f t="shared" si="6"/>
        <v>0</v>
      </c>
    </row>
    <row r="58" spans="1:31" ht="15.95" customHeight="1" x14ac:dyDescent="0.25">
      <c r="A58" s="124">
        <v>54</v>
      </c>
      <c r="B58" s="125">
        <v>46098</v>
      </c>
      <c r="C58" s="126" t="s">
        <v>207</v>
      </c>
      <c r="D58" s="127">
        <v>8</v>
      </c>
      <c r="E58" s="194">
        <v>0</v>
      </c>
      <c r="F58" s="194">
        <v>0</v>
      </c>
      <c r="G58" s="194">
        <v>0</v>
      </c>
      <c r="H58" s="194">
        <v>0</v>
      </c>
      <c r="I58" s="194">
        <v>0</v>
      </c>
      <c r="J58" s="113">
        <f t="shared" si="0"/>
        <v>0</v>
      </c>
      <c r="K58" s="195">
        <v>0</v>
      </c>
      <c r="L58" s="195">
        <v>0</v>
      </c>
      <c r="M58" s="195">
        <v>0</v>
      </c>
      <c r="N58" s="195">
        <v>0</v>
      </c>
      <c r="O58" s="195">
        <v>0</v>
      </c>
      <c r="P58" s="195">
        <v>0</v>
      </c>
      <c r="Q58" s="195">
        <v>0</v>
      </c>
      <c r="R58" s="195">
        <v>0</v>
      </c>
      <c r="S58" s="195">
        <v>56377361</v>
      </c>
      <c r="T58" s="114">
        <f t="shared" si="1"/>
        <v>56377361</v>
      </c>
      <c r="U58" s="196">
        <v>0</v>
      </c>
      <c r="V58" s="196">
        <v>0</v>
      </c>
      <c r="W58" s="115">
        <f t="shared" si="2"/>
        <v>56377361</v>
      </c>
      <c r="X58" s="116">
        <f>'SUIVI 2026'!M57</f>
        <v>56377361</v>
      </c>
      <c r="Y58" s="117">
        <f t="shared" si="3"/>
        <v>0</v>
      </c>
      <c r="Z58" s="128"/>
      <c r="AA58" s="181">
        <f t="shared" si="4"/>
        <v>0</v>
      </c>
      <c r="AB58" s="182">
        <f t="shared" si="5"/>
        <v>0</v>
      </c>
      <c r="AC58" s="181">
        <f>SUM(AA5:AA58)</f>
        <v>0</v>
      </c>
      <c r="AD58" s="182">
        <f>SUM(AB5:AB58)</f>
        <v>0</v>
      </c>
      <c r="AE58" s="183">
        <f t="shared" si="6"/>
        <v>0</v>
      </c>
    </row>
    <row r="59" spans="1:31" ht="15.95" customHeight="1" x14ac:dyDescent="0.25">
      <c r="A59" s="124">
        <v>55</v>
      </c>
      <c r="B59" s="125">
        <v>46099</v>
      </c>
      <c r="C59" s="126" t="s">
        <v>208</v>
      </c>
      <c r="D59" s="127">
        <v>8</v>
      </c>
      <c r="E59" s="194">
        <v>0</v>
      </c>
      <c r="F59" s="194">
        <v>0</v>
      </c>
      <c r="G59" s="194">
        <v>0</v>
      </c>
      <c r="H59" s="194">
        <v>0</v>
      </c>
      <c r="I59" s="194">
        <v>0</v>
      </c>
      <c r="J59" s="113">
        <f t="shared" si="0"/>
        <v>0</v>
      </c>
      <c r="K59" s="195">
        <v>0</v>
      </c>
      <c r="L59" s="195">
        <v>0</v>
      </c>
      <c r="M59" s="195">
        <v>0</v>
      </c>
      <c r="N59" s="195">
        <v>0</v>
      </c>
      <c r="O59" s="195">
        <v>0</v>
      </c>
      <c r="P59" s="195">
        <v>0</v>
      </c>
      <c r="Q59" s="195">
        <v>0</v>
      </c>
      <c r="R59" s="195">
        <v>0</v>
      </c>
      <c r="S59" s="195">
        <v>56377361</v>
      </c>
      <c r="T59" s="114">
        <f t="shared" si="1"/>
        <v>56377361</v>
      </c>
      <c r="U59" s="196">
        <v>0</v>
      </c>
      <c r="V59" s="196">
        <v>0</v>
      </c>
      <c r="W59" s="115">
        <f t="shared" si="2"/>
        <v>56377361</v>
      </c>
      <c r="X59" s="116">
        <f>'SUIVI 2026'!M58</f>
        <v>56377361</v>
      </c>
      <c r="Y59" s="117">
        <f t="shared" si="3"/>
        <v>0</v>
      </c>
      <c r="Z59" s="128"/>
      <c r="AA59" s="178">
        <f t="shared" si="4"/>
        <v>0</v>
      </c>
      <c r="AB59" s="179">
        <f t="shared" si="5"/>
        <v>0</v>
      </c>
      <c r="AC59" s="178">
        <f>SUM(AA5:AA59)</f>
        <v>0</v>
      </c>
      <c r="AD59" s="179">
        <f>SUM(AB5:AB59)</f>
        <v>0</v>
      </c>
      <c r="AE59" s="180">
        <f t="shared" si="6"/>
        <v>0</v>
      </c>
    </row>
    <row r="60" spans="1:31" ht="15.95" customHeight="1" x14ac:dyDescent="0.25">
      <c r="A60" s="124">
        <v>56</v>
      </c>
      <c r="B60" s="125">
        <v>46100</v>
      </c>
      <c r="C60" s="126" t="s">
        <v>204</v>
      </c>
      <c r="D60" s="127">
        <v>8</v>
      </c>
      <c r="E60" s="194">
        <v>0</v>
      </c>
      <c r="F60" s="194">
        <v>0</v>
      </c>
      <c r="G60" s="194">
        <v>0</v>
      </c>
      <c r="H60" s="194">
        <v>0</v>
      </c>
      <c r="I60" s="194">
        <v>0</v>
      </c>
      <c r="J60" s="113">
        <f t="shared" si="0"/>
        <v>0</v>
      </c>
      <c r="K60" s="195">
        <v>0</v>
      </c>
      <c r="L60" s="195">
        <v>0</v>
      </c>
      <c r="M60" s="195">
        <v>0</v>
      </c>
      <c r="N60" s="195">
        <v>0</v>
      </c>
      <c r="O60" s="195">
        <v>0</v>
      </c>
      <c r="P60" s="195">
        <v>0</v>
      </c>
      <c r="Q60" s="195">
        <v>0</v>
      </c>
      <c r="R60" s="195">
        <v>0</v>
      </c>
      <c r="S60" s="195">
        <v>56377361</v>
      </c>
      <c r="T60" s="114">
        <f t="shared" si="1"/>
        <v>56377361</v>
      </c>
      <c r="U60" s="196">
        <v>0</v>
      </c>
      <c r="V60" s="196">
        <v>0</v>
      </c>
      <c r="W60" s="115">
        <f t="shared" si="2"/>
        <v>56377361</v>
      </c>
      <c r="X60" s="116">
        <f>'SUIVI 2026'!M59</f>
        <v>56377361</v>
      </c>
      <c r="Y60" s="117">
        <f t="shared" si="3"/>
        <v>0</v>
      </c>
      <c r="Z60" s="128"/>
      <c r="AA60" s="181">
        <f t="shared" si="4"/>
        <v>0</v>
      </c>
      <c r="AB60" s="182">
        <f t="shared" si="5"/>
        <v>0</v>
      </c>
      <c r="AC60" s="181">
        <f>SUM(AA5:AA60)</f>
        <v>0</v>
      </c>
      <c r="AD60" s="182">
        <f>SUM(AB5:AB60)</f>
        <v>0</v>
      </c>
      <c r="AE60" s="183">
        <f t="shared" si="6"/>
        <v>0</v>
      </c>
    </row>
    <row r="61" spans="1:31" ht="15.95" customHeight="1" x14ac:dyDescent="0.25">
      <c r="A61" s="124">
        <v>57</v>
      </c>
      <c r="B61" s="125">
        <v>46101</v>
      </c>
      <c r="C61" s="126" t="s">
        <v>205</v>
      </c>
      <c r="D61" s="127">
        <v>8</v>
      </c>
      <c r="E61" s="194">
        <v>0</v>
      </c>
      <c r="F61" s="194">
        <v>0</v>
      </c>
      <c r="G61" s="194">
        <v>0</v>
      </c>
      <c r="H61" s="194">
        <v>0</v>
      </c>
      <c r="I61" s="194">
        <v>0</v>
      </c>
      <c r="J61" s="113">
        <f t="shared" si="0"/>
        <v>0</v>
      </c>
      <c r="K61" s="195">
        <v>0</v>
      </c>
      <c r="L61" s="195">
        <v>0</v>
      </c>
      <c r="M61" s="195">
        <v>0</v>
      </c>
      <c r="N61" s="195">
        <v>0</v>
      </c>
      <c r="O61" s="195">
        <v>0</v>
      </c>
      <c r="P61" s="195">
        <v>0</v>
      </c>
      <c r="Q61" s="195">
        <v>0</v>
      </c>
      <c r="R61" s="195">
        <v>0</v>
      </c>
      <c r="S61" s="195">
        <v>56377361</v>
      </c>
      <c r="T61" s="114">
        <f t="shared" si="1"/>
        <v>56377361</v>
      </c>
      <c r="U61" s="196">
        <v>0</v>
      </c>
      <c r="V61" s="196">
        <v>0</v>
      </c>
      <c r="W61" s="115">
        <f t="shared" si="2"/>
        <v>56377361</v>
      </c>
      <c r="X61" s="116">
        <f>'SUIVI 2026'!M60</f>
        <v>56377361</v>
      </c>
      <c r="Y61" s="117">
        <f t="shared" si="3"/>
        <v>0</v>
      </c>
      <c r="Z61" s="128"/>
      <c r="AA61" s="178">
        <f t="shared" si="4"/>
        <v>0</v>
      </c>
      <c r="AB61" s="179">
        <f t="shared" si="5"/>
        <v>0</v>
      </c>
      <c r="AC61" s="178">
        <f>SUM(AA5:AA61)</f>
        <v>0</v>
      </c>
      <c r="AD61" s="179">
        <f>SUM(AB5:AB61)</f>
        <v>0</v>
      </c>
      <c r="AE61" s="180">
        <f t="shared" si="6"/>
        <v>0</v>
      </c>
    </row>
    <row r="62" spans="1:31" ht="15.95" customHeight="1" x14ac:dyDescent="0.25">
      <c r="A62" s="124">
        <v>58</v>
      </c>
      <c r="B62" s="125">
        <v>46104</v>
      </c>
      <c r="C62" s="126" t="s">
        <v>206</v>
      </c>
      <c r="D62" s="127">
        <v>9</v>
      </c>
      <c r="E62" s="194">
        <v>0</v>
      </c>
      <c r="F62" s="194">
        <v>0</v>
      </c>
      <c r="G62" s="194">
        <v>0</v>
      </c>
      <c r="H62" s="194">
        <v>0</v>
      </c>
      <c r="I62" s="194">
        <v>0</v>
      </c>
      <c r="J62" s="113">
        <f t="shared" si="0"/>
        <v>0</v>
      </c>
      <c r="K62" s="195">
        <v>0</v>
      </c>
      <c r="L62" s="195">
        <v>0</v>
      </c>
      <c r="M62" s="195">
        <v>0</v>
      </c>
      <c r="N62" s="195">
        <v>0</v>
      </c>
      <c r="O62" s="195">
        <v>0</v>
      </c>
      <c r="P62" s="195">
        <v>0</v>
      </c>
      <c r="Q62" s="195">
        <v>0</v>
      </c>
      <c r="R62" s="195">
        <v>0</v>
      </c>
      <c r="S62" s="195">
        <v>56377361</v>
      </c>
      <c r="T62" s="114">
        <f t="shared" si="1"/>
        <v>56377361</v>
      </c>
      <c r="U62" s="196">
        <v>0</v>
      </c>
      <c r="V62" s="196">
        <v>0</v>
      </c>
      <c r="W62" s="115">
        <f t="shared" si="2"/>
        <v>56377361</v>
      </c>
      <c r="X62" s="116">
        <f>'SUIVI 2026'!M61</f>
        <v>56377361</v>
      </c>
      <c r="Y62" s="117">
        <f t="shared" si="3"/>
        <v>0</v>
      </c>
      <c r="Z62" s="128"/>
      <c r="AA62" s="181">
        <f t="shared" si="4"/>
        <v>0</v>
      </c>
      <c r="AB62" s="182">
        <f t="shared" si="5"/>
        <v>0</v>
      </c>
      <c r="AC62" s="181">
        <f>SUM(AA5:AA62)</f>
        <v>0</v>
      </c>
      <c r="AD62" s="182">
        <f>SUM(AB5:AB62)</f>
        <v>0</v>
      </c>
      <c r="AE62" s="183">
        <f t="shared" si="6"/>
        <v>0</v>
      </c>
    </row>
    <row r="63" spans="1:31" ht="15.95" customHeight="1" x14ac:dyDescent="0.25">
      <c r="A63" s="124">
        <v>59</v>
      </c>
      <c r="B63" s="125">
        <v>46105</v>
      </c>
      <c r="C63" s="126" t="s">
        <v>207</v>
      </c>
      <c r="D63" s="127">
        <v>9</v>
      </c>
      <c r="E63" s="194">
        <v>0</v>
      </c>
      <c r="F63" s="194">
        <v>0</v>
      </c>
      <c r="G63" s="194">
        <v>0</v>
      </c>
      <c r="H63" s="194">
        <v>0</v>
      </c>
      <c r="I63" s="194">
        <v>0</v>
      </c>
      <c r="J63" s="113">
        <f t="shared" si="0"/>
        <v>0</v>
      </c>
      <c r="K63" s="195">
        <v>0</v>
      </c>
      <c r="L63" s="195">
        <v>0</v>
      </c>
      <c r="M63" s="195">
        <v>0</v>
      </c>
      <c r="N63" s="195">
        <v>0</v>
      </c>
      <c r="O63" s="195">
        <v>0</v>
      </c>
      <c r="P63" s="195">
        <v>0</v>
      </c>
      <c r="Q63" s="195">
        <v>0</v>
      </c>
      <c r="R63" s="195">
        <v>0</v>
      </c>
      <c r="S63" s="195">
        <v>56377361</v>
      </c>
      <c r="T63" s="114">
        <f t="shared" si="1"/>
        <v>56377361</v>
      </c>
      <c r="U63" s="196">
        <v>0</v>
      </c>
      <c r="V63" s="196">
        <v>0</v>
      </c>
      <c r="W63" s="115">
        <f t="shared" si="2"/>
        <v>56377361</v>
      </c>
      <c r="X63" s="116">
        <f>'SUIVI 2026'!M62</f>
        <v>56377361</v>
      </c>
      <c r="Y63" s="117">
        <f t="shared" si="3"/>
        <v>0</v>
      </c>
      <c r="Z63" s="128"/>
      <c r="AA63" s="178">
        <f t="shared" si="4"/>
        <v>0</v>
      </c>
      <c r="AB63" s="179">
        <f t="shared" si="5"/>
        <v>0</v>
      </c>
      <c r="AC63" s="178">
        <f>SUM(AA5:AA63)</f>
        <v>0</v>
      </c>
      <c r="AD63" s="179">
        <f>SUM(AB5:AB63)</f>
        <v>0</v>
      </c>
      <c r="AE63" s="180">
        <f t="shared" si="6"/>
        <v>0</v>
      </c>
    </row>
    <row r="64" spans="1:31" ht="15.95" customHeight="1" x14ac:dyDescent="0.25">
      <c r="A64" s="124">
        <v>60</v>
      </c>
      <c r="B64" s="125">
        <v>46106</v>
      </c>
      <c r="C64" s="126" t="s">
        <v>208</v>
      </c>
      <c r="D64" s="127">
        <v>9</v>
      </c>
      <c r="E64" s="194">
        <v>0</v>
      </c>
      <c r="F64" s="194">
        <v>0</v>
      </c>
      <c r="G64" s="194">
        <v>0</v>
      </c>
      <c r="H64" s="194">
        <v>0</v>
      </c>
      <c r="I64" s="194">
        <v>0</v>
      </c>
      <c r="J64" s="113">
        <f t="shared" si="0"/>
        <v>0</v>
      </c>
      <c r="K64" s="195">
        <v>0</v>
      </c>
      <c r="L64" s="195">
        <v>0</v>
      </c>
      <c r="M64" s="195">
        <v>0</v>
      </c>
      <c r="N64" s="195">
        <v>0</v>
      </c>
      <c r="O64" s="195">
        <v>0</v>
      </c>
      <c r="P64" s="195">
        <v>0</v>
      </c>
      <c r="Q64" s="195">
        <v>0</v>
      </c>
      <c r="R64" s="195">
        <v>0</v>
      </c>
      <c r="S64" s="195">
        <v>56377361</v>
      </c>
      <c r="T64" s="114">
        <f t="shared" si="1"/>
        <v>56377361</v>
      </c>
      <c r="U64" s="196">
        <v>0</v>
      </c>
      <c r="V64" s="196">
        <v>0</v>
      </c>
      <c r="W64" s="115">
        <f t="shared" si="2"/>
        <v>56377361</v>
      </c>
      <c r="X64" s="116">
        <f>'SUIVI 2026'!M63</f>
        <v>56377361</v>
      </c>
      <c r="Y64" s="117">
        <f t="shared" si="3"/>
        <v>0</v>
      </c>
      <c r="Z64" s="128"/>
      <c r="AA64" s="181">
        <f t="shared" si="4"/>
        <v>0</v>
      </c>
      <c r="AB64" s="182">
        <f t="shared" si="5"/>
        <v>0</v>
      </c>
      <c r="AC64" s="181">
        <f>SUM(AA5:AA64)</f>
        <v>0</v>
      </c>
      <c r="AD64" s="182">
        <f>SUM(AB5:AB64)</f>
        <v>0</v>
      </c>
      <c r="AE64" s="183">
        <f t="shared" si="6"/>
        <v>0</v>
      </c>
    </row>
    <row r="65" spans="1:31" ht="15.95" customHeight="1" x14ac:dyDescent="0.25">
      <c r="A65" s="124">
        <v>61</v>
      </c>
      <c r="B65" s="125">
        <v>46107</v>
      </c>
      <c r="C65" s="126" t="s">
        <v>204</v>
      </c>
      <c r="D65" s="127">
        <v>9</v>
      </c>
      <c r="E65" s="194">
        <v>0</v>
      </c>
      <c r="F65" s="194">
        <v>0</v>
      </c>
      <c r="G65" s="194">
        <v>0</v>
      </c>
      <c r="H65" s="194">
        <v>0</v>
      </c>
      <c r="I65" s="194">
        <v>0</v>
      </c>
      <c r="J65" s="113">
        <f t="shared" si="0"/>
        <v>0</v>
      </c>
      <c r="K65" s="195">
        <v>0</v>
      </c>
      <c r="L65" s="195">
        <v>0</v>
      </c>
      <c r="M65" s="195">
        <v>0</v>
      </c>
      <c r="N65" s="195">
        <v>0</v>
      </c>
      <c r="O65" s="195">
        <v>0</v>
      </c>
      <c r="P65" s="195">
        <v>0</v>
      </c>
      <c r="Q65" s="195">
        <v>0</v>
      </c>
      <c r="R65" s="195">
        <v>0</v>
      </c>
      <c r="S65" s="195">
        <v>56377361</v>
      </c>
      <c r="T65" s="114">
        <f t="shared" si="1"/>
        <v>56377361</v>
      </c>
      <c r="U65" s="196">
        <v>0</v>
      </c>
      <c r="V65" s="196">
        <v>0</v>
      </c>
      <c r="W65" s="115">
        <f t="shared" si="2"/>
        <v>56377361</v>
      </c>
      <c r="X65" s="116">
        <f>'SUIVI 2026'!M64</f>
        <v>56377361</v>
      </c>
      <c r="Y65" s="117">
        <f t="shared" si="3"/>
        <v>0</v>
      </c>
      <c r="Z65" s="128"/>
      <c r="AA65" s="178">
        <f t="shared" si="4"/>
        <v>0</v>
      </c>
      <c r="AB65" s="179">
        <f t="shared" si="5"/>
        <v>0</v>
      </c>
      <c r="AC65" s="178">
        <f>SUM(AA5:AA65)</f>
        <v>0</v>
      </c>
      <c r="AD65" s="179">
        <f>SUM(AB5:AB65)</f>
        <v>0</v>
      </c>
      <c r="AE65" s="180">
        <f t="shared" si="6"/>
        <v>0</v>
      </c>
    </row>
    <row r="66" spans="1:31" ht="15.95" customHeight="1" x14ac:dyDescent="0.25">
      <c r="A66" s="124">
        <v>62</v>
      </c>
      <c r="B66" s="125">
        <v>46108</v>
      </c>
      <c r="C66" s="126" t="s">
        <v>205</v>
      </c>
      <c r="D66" s="127">
        <v>9</v>
      </c>
      <c r="E66" s="194">
        <v>0</v>
      </c>
      <c r="F66" s="194">
        <v>0</v>
      </c>
      <c r="G66" s="194">
        <v>0</v>
      </c>
      <c r="H66" s="194">
        <v>0</v>
      </c>
      <c r="I66" s="194">
        <v>0</v>
      </c>
      <c r="J66" s="113">
        <f t="shared" si="0"/>
        <v>0</v>
      </c>
      <c r="K66" s="195">
        <v>0</v>
      </c>
      <c r="L66" s="195">
        <v>0</v>
      </c>
      <c r="M66" s="195">
        <v>0</v>
      </c>
      <c r="N66" s="195">
        <v>0</v>
      </c>
      <c r="O66" s="195">
        <v>0</v>
      </c>
      <c r="P66" s="195">
        <v>0</v>
      </c>
      <c r="Q66" s="195">
        <v>0</v>
      </c>
      <c r="R66" s="195">
        <v>0</v>
      </c>
      <c r="S66" s="195">
        <v>56377361</v>
      </c>
      <c r="T66" s="114">
        <f t="shared" si="1"/>
        <v>56377361</v>
      </c>
      <c r="U66" s="196">
        <v>0</v>
      </c>
      <c r="V66" s="196">
        <v>0</v>
      </c>
      <c r="W66" s="115">
        <f t="shared" si="2"/>
        <v>56377361</v>
      </c>
      <c r="X66" s="116">
        <f>'SUIVI 2026'!M65</f>
        <v>56377361</v>
      </c>
      <c r="Y66" s="117">
        <f t="shared" si="3"/>
        <v>0</v>
      </c>
      <c r="Z66" s="128"/>
      <c r="AA66" s="181">
        <f t="shared" si="4"/>
        <v>0</v>
      </c>
      <c r="AB66" s="182">
        <f t="shared" si="5"/>
        <v>0</v>
      </c>
      <c r="AC66" s="181">
        <f>SUM(AA5:AA66)</f>
        <v>0</v>
      </c>
      <c r="AD66" s="182">
        <f>SUM(AB5:AB66)</f>
        <v>0</v>
      </c>
      <c r="AE66" s="183">
        <f t="shared" si="6"/>
        <v>0</v>
      </c>
    </row>
    <row r="67" spans="1:31" ht="15.95" customHeight="1" x14ac:dyDescent="0.25">
      <c r="A67" s="124">
        <v>63</v>
      </c>
      <c r="B67" s="125">
        <v>46111</v>
      </c>
      <c r="C67" s="126" t="s">
        <v>206</v>
      </c>
      <c r="D67" s="127">
        <v>9</v>
      </c>
      <c r="E67" s="194">
        <v>0</v>
      </c>
      <c r="F67" s="194">
        <v>0</v>
      </c>
      <c r="G67" s="194">
        <v>0</v>
      </c>
      <c r="H67" s="194">
        <v>0</v>
      </c>
      <c r="I67" s="194">
        <v>0</v>
      </c>
      <c r="J67" s="113">
        <f t="shared" si="0"/>
        <v>0</v>
      </c>
      <c r="K67" s="195">
        <v>0</v>
      </c>
      <c r="L67" s="195">
        <v>0</v>
      </c>
      <c r="M67" s="195">
        <v>0</v>
      </c>
      <c r="N67" s="195">
        <v>0</v>
      </c>
      <c r="O67" s="195">
        <v>0</v>
      </c>
      <c r="P67" s="195">
        <v>0</v>
      </c>
      <c r="Q67" s="195">
        <v>0</v>
      </c>
      <c r="R67" s="195">
        <v>0</v>
      </c>
      <c r="S67" s="195">
        <v>56377361</v>
      </c>
      <c r="T67" s="114">
        <f t="shared" si="1"/>
        <v>56377361</v>
      </c>
      <c r="U67" s="196">
        <v>0</v>
      </c>
      <c r="V67" s="196">
        <v>0</v>
      </c>
      <c r="W67" s="115">
        <f t="shared" si="2"/>
        <v>56377361</v>
      </c>
      <c r="X67" s="116">
        <f>'SUIVI 2026'!M66</f>
        <v>56377361</v>
      </c>
      <c r="Y67" s="117">
        <f t="shared" si="3"/>
        <v>0</v>
      </c>
      <c r="Z67" s="128"/>
      <c r="AA67" s="178">
        <f t="shared" si="4"/>
        <v>0</v>
      </c>
      <c r="AB67" s="179">
        <f t="shared" si="5"/>
        <v>0</v>
      </c>
      <c r="AC67" s="178">
        <f>SUM(AA5:AA67)</f>
        <v>0</v>
      </c>
      <c r="AD67" s="179">
        <f>SUM(AB5:AB67)</f>
        <v>0</v>
      </c>
      <c r="AE67" s="180">
        <f t="shared" si="6"/>
        <v>0</v>
      </c>
    </row>
    <row r="68" spans="1:31" ht="15.95" customHeight="1" x14ac:dyDescent="0.25">
      <c r="A68" s="124">
        <v>64</v>
      </c>
      <c r="B68" s="125">
        <v>46112</v>
      </c>
      <c r="C68" s="126" t="s">
        <v>207</v>
      </c>
      <c r="D68" s="127">
        <v>9</v>
      </c>
      <c r="E68" s="194">
        <v>0</v>
      </c>
      <c r="F68" s="194">
        <v>0</v>
      </c>
      <c r="G68" s="194">
        <v>0</v>
      </c>
      <c r="H68" s="194">
        <v>0</v>
      </c>
      <c r="I68" s="194">
        <v>0</v>
      </c>
      <c r="J68" s="113">
        <f t="shared" si="0"/>
        <v>0</v>
      </c>
      <c r="K68" s="195">
        <v>0</v>
      </c>
      <c r="L68" s="195">
        <v>0</v>
      </c>
      <c r="M68" s="195">
        <v>0</v>
      </c>
      <c r="N68" s="195">
        <v>0</v>
      </c>
      <c r="O68" s="195">
        <v>0</v>
      </c>
      <c r="P68" s="195">
        <v>0</v>
      </c>
      <c r="Q68" s="195">
        <v>0</v>
      </c>
      <c r="R68" s="195">
        <v>0</v>
      </c>
      <c r="S68" s="195">
        <v>56377361</v>
      </c>
      <c r="T68" s="114">
        <f t="shared" si="1"/>
        <v>56377361</v>
      </c>
      <c r="U68" s="196">
        <v>0</v>
      </c>
      <c r="V68" s="196">
        <v>0</v>
      </c>
      <c r="W68" s="115">
        <f t="shared" si="2"/>
        <v>56377361</v>
      </c>
      <c r="X68" s="116">
        <f>'SUIVI 2026'!M67</f>
        <v>56377361</v>
      </c>
      <c r="Y68" s="117">
        <f t="shared" si="3"/>
        <v>0</v>
      </c>
      <c r="Z68" s="128"/>
      <c r="AA68" s="181">
        <f t="shared" si="4"/>
        <v>0</v>
      </c>
      <c r="AB68" s="182">
        <f t="shared" si="5"/>
        <v>0</v>
      </c>
      <c r="AC68" s="181">
        <f>SUM(AA5:AA68)</f>
        <v>0</v>
      </c>
      <c r="AD68" s="182">
        <f>SUM(AB5:AB68)</f>
        <v>0</v>
      </c>
      <c r="AE68" s="183">
        <f t="shared" si="6"/>
        <v>0</v>
      </c>
    </row>
    <row r="69" spans="1:31" ht="15.95" customHeight="1" x14ac:dyDescent="0.25">
      <c r="A69" s="129">
        <v>65</v>
      </c>
      <c r="B69" s="130">
        <v>46113</v>
      </c>
      <c r="C69" s="131" t="s">
        <v>208</v>
      </c>
      <c r="D69" s="132">
        <v>10</v>
      </c>
      <c r="E69" s="194">
        <v>0</v>
      </c>
      <c r="F69" s="194">
        <v>0</v>
      </c>
      <c r="G69" s="194">
        <v>0</v>
      </c>
      <c r="H69" s="194">
        <v>0</v>
      </c>
      <c r="I69" s="194">
        <v>0</v>
      </c>
      <c r="J69" s="113">
        <f t="shared" ref="J69:J132" si="7">E69+F69+G69+H69+I69</f>
        <v>0</v>
      </c>
      <c r="K69" s="195">
        <v>0</v>
      </c>
      <c r="L69" s="195">
        <v>0</v>
      </c>
      <c r="M69" s="195">
        <v>0</v>
      </c>
      <c r="N69" s="195">
        <v>0</v>
      </c>
      <c r="O69" s="195">
        <v>0</v>
      </c>
      <c r="P69" s="195">
        <v>0</v>
      </c>
      <c r="Q69" s="195">
        <v>0</v>
      </c>
      <c r="R69" s="195">
        <v>0</v>
      </c>
      <c r="S69" s="195">
        <v>56377361</v>
      </c>
      <c r="T69" s="114">
        <f t="shared" ref="T69:T132" si="8">K69+L69+M69+N69+O69+P69+Q69+R69+S69</f>
        <v>56377361</v>
      </c>
      <c r="U69" s="196">
        <v>0</v>
      </c>
      <c r="V69" s="196">
        <v>0</v>
      </c>
      <c r="W69" s="115">
        <f t="shared" ref="W69:W132" si="9">J69+T69+U69+V69</f>
        <v>56377361</v>
      </c>
      <c r="X69" s="116">
        <f>'SUIVI 2026'!M68</f>
        <v>56377361</v>
      </c>
      <c r="Y69" s="117">
        <f t="shared" ref="Y69:Y132" si="10">W69-X69</f>
        <v>0</v>
      </c>
      <c r="Z69" s="133"/>
      <c r="AA69" s="178">
        <f t="shared" ref="AA69:AA132" si="11">IF(Y69&gt;0,Y69,0)</f>
        <v>0</v>
      </c>
      <c r="AB69" s="179">
        <f t="shared" ref="AB69:AB132" si="12">IF(Y69&lt;0,Y69,0)</f>
        <v>0</v>
      </c>
      <c r="AC69" s="178">
        <f>SUM(AA5:AA69)</f>
        <v>0</v>
      </c>
      <c r="AD69" s="179">
        <f>SUM(AB5:AB69)</f>
        <v>0</v>
      </c>
      <c r="AE69" s="180">
        <f t="shared" ref="AE69:AE132" si="13">AC69+AD69</f>
        <v>0</v>
      </c>
    </row>
    <row r="70" spans="1:31" ht="15.95" customHeight="1" x14ac:dyDescent="0.25">
      <c r="A70" s="129">
        <v>66</v>
      </c>
      <c r="B70" s="130">
        <v>46114</v>
      </c>
      <c r="C70" s="131" t="s">
        <v>204</v>
      </c>
      <c r="D70" s="132">
        <v>10</v>
      </c>
      <c r="E70" s="194">
        <v>0</v>
      </c>
      <c r="F70" s="194">
        <v>0</v>
      </c>
      <c r="G70" s="194">
        <v>0</v>
      </c>
      <c r="H70" s="194">
        <v>0</v>
      </c>
      <c r="I70" s="194">
        <v>0</v>
      </c>
      <c r="J70" s="113">
        <f t="shared" si="7"/>
        <v>0</v>
      </c>
      <c r="K70" s="195">
        <v>0</v>
      </c>
      <c r="L70" s="195">
        <v>0</v>
      </c>
      <c r="M70" s="195">
        <v>0</v>
      </c>
      <c r="N70" s="195">
        <v>0</v>
      </c>
      <c r="O70" s="195">
        <v>0</v>
      </c>
      <c r="P70" s="195">
        <v>0</v>
      </c>
      <c r="Q70" s="195">
        <v>0</v>
      </c>
      <c r="R70" s="195">
        <v>0</v>
      </c>
      <c r="S70" s="195">
        <v>56377361</v>
      </c>
      <c r="T70" s="114">
        <f t="shared" si="8"/>
        <v>56377361</v>
      </c>
      <c r="U70" s="196">
        <v>0</v>
      </c>
      <c r="V70" s="196">
        <v>0</v>
      </c>
      <c r="W70" s="115">
        <f t="shared" si="9"/>
        <v>56377361</v>
      </c>
      <c r="X70" s="116">
        <f>'SUIVI 2026'!M69</f>
        <v>56377361</v>
      </c>
      <c r="Y70" s="117">
        <f t="shared" si="10"/>
        <v>0</v>
      </c>
      <c r="Z70" s="133"/>
      <c r="AA70" s="181">
        <f t="shared" si="11"/>
        <v>0</v>
      </c>
      <c r="AB70" s="182">
        <f t="shared" si="12"/>
        <v>0</v>
      </c>
      <c r="AC70" s="181">
        <f>SUM(AA5:AA70)</f>
        <v>0</v>
      </c>
      <c r="AD70" s="182">
        <f>SUM(AB5:AB70)</f>
        <v>0</v>
      </c>
      <c r="AE70" s="183">
        <f t="shared" si="13"/>
        <v>0</v>
      </c>
    </row>
    <row r="71" spans="1:31" ht="15.95" customHeight="1" x14ac:dyDescent="0.25">
      <c r="A71" s="129">
        <v>67</v>
      </c>
      <c r="B71" s="130">
        <v>46115</v>
      </c>
      <c r="C71" s="131" t="s">
        <v>205</v>
      </c>
      <c r="D71" s="132">
        <v>10</v>
      </c>
      <c r="E71" s="194">
        <v>0</v>
      </c>
      <c r="F71" s="194">
        <v>0</v>
      </c>
      <c r="G71" s="194">
        <v>0</v>
      </c>
      <c r="H71" s="194">
        <v>0</v>
      </c>
      <c r="I71" s="194">
        <v>0</v>
      </c>
      <c r="J71" s="113">
        <f t="shared" si="7"/>
        <v>0</v>
      </c>
      <c r="K71" s="195">
        <v>0</v>
      </c>
      <c r="L71" s="195">
        <v>0</v>
      </c>
      <c r="M71" s="195">
        <v>0</v>
      </c>
      <c r="N71" s="195">
        <v>0</v>
      </c>
      <c r="O71" s="195">
        <v>0</v>
      </c>
      <c r="P71" s="195">
        <v>0</v>
      </c>
      <c r="Q71" s="195">
        <v>0</v>
      </c>
      <c r="R71" s="195">
        <v>0</v>
      </c>
      <c r="S71" s="195">
        <v>56377361</v>
      </c>
      <c r="T71" s="114">
        <f t="shared" si="8"/>
        <v>56377361</v>
      </c>
      <c r="U71" s="196">
        <v>0</v>
      </c>
      <c r="V71" s="196">
        <v>0</v>
      </c>
      <c r="W71" s="115">
        <f t="shared" si="9"/>
        <v>56377361</v>
      </c>
      <c r="X71" s="116">
        <f>'SUIVI 2026'!M70</f>
        <v>56377361</v>
      </c>
      <c r="Y71" s="117">
        <f t="shared" si="10"/>
        <v>0</v>
      </c>
      <c r="Z71" s="133"/>
      <c r="AA71" s="178">
        <f t="shared" si="11"/>
        <v>0</v>
      </c>
      <c r="AB71" s="179">
        <f t="shared" si="12"/>
        <v>0</v>
      </c>
      <c r="AC71" s="178">
        <f>SUM(AA5:AA71)</f>
        <v>0</v>
      </c>
      <c r="AD71" s="179">
        <f>SUM(AB5:AB71)</f>
        <v>0</v>
      </c>
      <c r="AE71" s="180">
        <f t="shared" si="13"/>
        <v>0</v>
      </c>
    </row>
    <row r="72" spans="1:31" ht="15.95" customHeight="1" x14ac:dyDescent="0.25">
      <c r="A72" s="129">
        <v>68</v>
      </c>
      <c r="B72" s="130">
        <v>46118</v>
      </c>
      <c r="C72" s="131" t="s">
        <v>206</v>
      </c>
      <c r="D72" s="132">
        <v>10</v>
      </c>
      <c r="E72" s="194">
        <v>0</v>
      </c>
      <c r="F72" s="194">
        <v>0</v>
      </c>
      <c r="G72" s="194">
        <v>0</v>
      </c>
      <c r="H72" s="194">
        <v>0</v>
      </c>
      <c r="I72" s="194">
        <v>0</v>
      </c>
      <c r="J72" s="113">
        <f t="shared" si="7"/>
        <v>0</v>
      </c>
      <c r="K72" s="195">
        <v>0</v>
      </c>
      <c r="L72" s="195">
        <v>0</v>
      </c>
      <c r="M72" s="195">
        <v>0</v>
      </c>
      <c r="N72" s="195">
        <v>0</v>
      </c>
      <c r="O72" s="195">
        <v>0</v>
      </c>
      <c r="P72" s="195">
        <v>0</v>
      </c>
      <c r="Q72" s="195">
        <v>0</v>
      </c>
      <c r="R72" s="195">
        <v>0</v>
      </c>
      <c r="S72" s="195">
        <v>56377361</v>
      </c>
      <c r="T72" s="114">
        <f t="shared" si="8"/>
        <v>56377361</v>
      </c>
      <c r="U72" s="196">
        <v>0</v>
      </c>
      <c r="V72" s="196">
        <v>0</v>
      </c>
      <c r="W72" s="115">
        <f t="shared" si="9"/>
        <v>56377361</v>
      </c>
      <c r="X72" s="116">
        <f>'SUIVI 2026'!M71</f>
        <v>56377361</v>
      </c>
      <c r="Y72" s="117">
        <f t="shared" si="10"/>
        <v>0</v>
      </c>
      <c r="Z72" s="133"/>
      <c r="AA72" s="181">
        <f t="shared" si="11"/>
        <v>0</v>
      </c>
      <c r="AB72" s="182">
        <f t="shared" si="12"/>
        <v>0</v>
      </c>
      <c r="AC72" s="181">
        <f>SUM(AA5:AA72)</f>
        <v>0</v>
      </c>
      <c r="AD72" s="182">
        <f>SUM(AB5:AB72)</f>
        <v>0</v>
      </c>
      <c r="AE72" s="183">
        <f t="shared" si="13"/>
        <v>0</v>
      </c>
    </row>
    <row r="73" spans="1:31" ht="15.95" customHeight="1" x14ac:dyDescent="0.25">
      <c r="A73" s="129">
        <v>69</v>
      </c>
      <c r="B73" s="130">
        <v>46119</v>
      </c>
      <c r="C73" s="131" t="s">
        <v>207</v>
      </c>
      <c r="D73" s="132">
        <v>10</v>
      </c>
      <c r="E73" s="194">
        <v>0</v>
      </c>
      <c r="F73" s="194">
        <v>0</v>
      </c>
      <c r="G73" s="194">
        <v>0</v>
      </c>
      <c r="H73" s="194">
        <v>0</v>
      </c>
      <c r="I73" s="194">
        <v>0</v>
      </c>
      <c r="J73" s="113">
        <f t="shared" si="7"/>
        <v>0</v>
      </c>
      <c r="K73" s="195">
        <v>0</v>
      </c>
      <c r="L73" s="195">
        <v>0</v>
      </c>
      <c r="M73" s="195">
        <v>0</v>
      </c>
      <c r="N73" s="195">
        <v>0</v>
      </c>
      <c r="O73" s="195">
        <v>0</v>
      </c>
      <c r="P73" s="195">
        <v>0</v>
      </c>
      <c r="Q73" s="195">
        <v>0</v>
      </c>
      <c r="R73" s="195">
        <v>0</v>
      </c>
      <c r="S73" s="195">
        <v>56377361</v>
      </c>
      <c r="T73" s="114">
        <f t="shared" si="8"/>
        <v>56377361</v>
      </c>
      <c r="U73" s="196">
        <v>0</v>
      </c>
      <c r="V73" s="196">
        <v>0</v>
      </c>
      <c r="W73" s="115">
        <f t="shared" si="9"/>
        <v>56377361</v>
      </c>
      <c r="X73" s="116">
        <f>'SUIVI 2026'!M72</f>
        <v>56377361</v>
      </c>
      <c r="Y73" s="117">
        <f t="shared" si="10"/>
        <v>0</v>
      </c>
      <c r="Z73" s="133"/>
      <c r="AA73" s="178">
        <f t="shared" si="11"/>
        <v>0</v>
      </c>
      <c r="AB73" s="179">
        <f t="shared" si="12"/>
        <v>0</v>
      </c>
      <c r="AC73" s="178">
        <f>SUM(AA5:AA73)</f>
        <v>0</v>
      </c>
      <c r="AD73" s="179">
        <f>SUM(AB5:AB73)</f>
        <v>0</v>
      </c>
      <c r="AE73" s="180">
        <f t="shared" si="13"/>
        <v>0</v>
      </c>
    </row>
    <row r="74" spans="1:31" ht="15.95" customHeight="1" x14ac:dyDescent="0.25">
      <c r="A74" s="129">
        <v>70</v>
      </c>
      <c r="B74" s="130">
        <v>46120</v>
      </c>
      <c r="C74" s="131" t="s">
        <v>208</v>
      </c>
      <c r="D74" s="132">
        <v>10</v>
      </c>
      <c r="E74" s="194">
        <v>0</v>
      </c>
      <c r="F74" s="194">
        <v>0</v>
      </c>
      <c r="G74" s="194">
        <v>0</v>
      </c>
      <c r="H74" s="194">
        <v>0</v>
      </c>
      <c r="I74" s="194">
        <v>0</v>
      </c>
      <c r="J74" s="113">
        <f t="shared" si="7"/>
        <v>0</v>
      </c>
      <c r="K74" s="195">
        <v>0</v>
      </c>
      <c r="L74" s="195">
        <v>0</v>
      </c>
      <c r="M74" s="195">
        <v>0</v>
      </c>
      <c r="N74" s="195">
        <v>0</v>
      </c>
      <c r="O74" s="195">
        <v>0</v>
      </c>
      <c r="P74" s="195">
        <v>0</v>
      </c>
      <c r="Q74" s="195">
        <v>0</v>
      </c>
      <c r="R74" s="195">
        <v>0</v>
      </c>
      <c r="S74" s="195">
        <v>56377361</v>
      </c>
      <c r="T74" s="114">
        <f t="shared" si="8"/>
        <v>56377361</v>
      </c>
      <c r="U74" s="196">
        <v>0</v>
      </c>
      <c r="V74" s="196">
        <v>0</v>
      </c>
      <c r="W74" s="115">
        <f t="shared" si="9"/>
        <v>56377361</v>
      </c>
      <c r="X74" s="116">
        <f>'SUIVI 2026'!M73</f>
        <v>56377361</v>
      </c>
      <c r="Y74" s="117">
        <f t="shared" si="10"/>
        <v>0</v>
      </c>
      <c r="Z74" s="133"/>
      <c r="AA74" s="181">
        <f t="shared" si="11"/>
        <v>0</v>
      </c>
      <c r="AB74" s="182">
        <f t="shared" si="12"/>
        <v>0</v>
      </c>
      <c r="AC74" s="181">
        <f>SUM(AA5:AA74)</f>
        <v>0</v>
      </c>
      <c r="AD74" s="182">
        <f>SUM(AB5:AB74)</f>
        <v>0</v>
      </c>
      <c r="AE74" s="183">
        <f t="shared" si="13"/>
        <v>0</v>
      </c>
    </row>
    <row r="75" spans="1:31" ht="15.95" customHeight="1" x14ac:dyDescent="0.25">
      <c r="A75" s="129">
        <v>71</v>
      </c>
      <c r="B75" s="130">
        <v>46121</v>
      </c>
      <c r="C75" s="131" t="s">
        <v>204</v>
      </c>
      <c r="D75" s="132">
        <v>10</v>
      </c>
      <c r="E75" s="194">
        <v>0</v>
      </c>
      <c r="F75" s="194">
        <v>0</v>
      </c>
      <c r="G75" s="194">
        <v>0</v>
      </c>
      <c r="H75" s="194">
        <v>0</v>
      </c>
      <c r="I75" s="194">
        <v>0</v>
      </c>
      <c r="J75" s="113">
        <f t="shared" si="7"/>
        <v>0</v>
      </c>
      <c r="K75" s="195">
        <v>0</v>
      </c>
      <c r="L75" s="195">
        <v>0</v>
      </c>
      <c r="M75" s="195">
        <v>0</v>
      </c>
      <c r="N75" s="195">
        <v>0</v>
      </c>
      <c r="O75" s="195">
        <v>0</v>
      </c>
      <c r="P75" s="195">
        <v>0</v>
      </c>
      <c r="Q75" s="195">
        <v>0</v>
      </c>
      <c r="R75" s="195">
        <v>0</v>
      </c>
      <c r="S75" s="195">
        <v>56377361</v>
      </c>
      <c r="T75" s="114">
        <f t="shared" si="8"/>
        <v>56377361</v>
      </c>
      <c r="U75" s="196">
        <v>0</v>
      </c>
      <c r="V75" s="196">
        <v>0</v>
      </c>
      <c r="W75" s="115">
        <f t="shared" si="9"/>
        <v>56377361</v>
      </c>
      <c r="X75" s="116">
        <f>'SUIVI 2026'!M74</f>
        <v>56377361</v>
      </c>
      <c r="Y75" s="117">
        <f t="shared" si="10"/>
        <v>0</v>
      </c>
      <c r="Z75" s="133"/>
      <c r="AA75" s="178">
        <f t="shared" si="11"/>
        <v>0</v>
      </c>
      <c r="AB75" s="179">
        <f t="shared" si="12"/>
        <v>0</v>
      </c>
      <c r="AC75" s="178">
        <f>SUM(AA5:AA75)</f>
        <v>0</v>
      </c>
      <c r="AD75" s="179">
        <f>SUM(AB5:AB75)</f>
        <v>0</v>
      </c>
      <c r="AE75" s="180">
        <f t="shared" si="13"/>
        <v>0</v>
      </c>
    </row>
    <row r="76" spans="1:31" ht="15.95" customHeight="1" x14ac:dyDescent="0.25">
      <c r="A76" s="129">
        <v>72</v>
      </c>
      <c r="B76" s="130">
        <v>46122</v>
      </c>
      <c r="C76" s="131" t="s">
        <v>205</v>
      </c>
      <c r="D76" s="132">
        <v>10</v>
      </c>
      <c r="E76" s="194">
        <v>0</v>
      </c>
      <c r="F76" s="194">
        <v>0</v>
      </c>
      <c r="G76" s="194">
        <v>0</v>
      </c>
      <c r="H76" s="194">
        <v>0</v>
      </c>
      <c r="I76" s="194">
        <v>0</v>
      </c>
      <c r="J76" s="113">
        <f t="shared" si="7"/>
        <v>0</v>
      </c>
      <c r="K76" s="195">
        <v>0</v>
      </c>
      <c r="L76" s="195">
        <v>0</v>
      </c>
      <c r="M76" s="195">
        <v>0</v>
      </c>
      <c r="N76" s="195">
        <v>0</v>
      </c>
      <c r="O76" s="195">
        <v>0</v>
      </c>
      <c r="P76" s="195">
        <v>0</v>
      </c>
      <c r="Q76" s="195">
        <v>0</v>
      </c>
      <c r="R76" s="195">
        <v>0</v>
      </c>
      <c r="S76" s="195">
        <v>56377361</v>
      </c>
      <c r="T76" s="114">
        <f t="shared" si="8"/>
        <v>56377361</v>
      </c>
      <c r="U76" s="196">
        <v>0</v>
      </c>
      <c r="V76" s="196">
        <v>0</v>
      </c>
      <c r="W76" s="115">
        <f t="shared" si="9"/>
        <v>56377361</v>
      </c>
      <c r="X76" s="116">
        <f>'SUIVI 2026'!M75</f>
        <v>56377361</v>
      </c>
      <c r="Y76" s="117">
        <f t="shared" si="10"/>
        <v>0</v>
      </c>
      <c r="Z76" s="133"/>
      <c r="AA76" s="181">
        <f t="shared" si="11"/>
        <v>0</v>
      </c>
      <c r="AB76" s="182">
        <f t="shared" si="12"/>
        <v>0</v>
      </c>
      <c r="AC76" s="181">
        <f>SUM(AA5:AA76)</f>
        <v>0</v>
      </c>
      <c r="AD76" s="182">
        <f>SUM(AB5:AB76)</f>
        <v>0</v>
      </c>
      <c r="AE76" s="183">
        <f t="shared" si="13"/>
        <v>0</v>
      </c>
    </row>
    <row r="77" spans="1:31" ht="15.95" customHeight="1" x14ac:dyDescent="0.25">
      <c r="A77" s="129">
        <v>73</v>
      </c>
      <c r="B77" s="130">
        <v>46125</v>
      </c>
      <c r="C77" s="131" t="s">
        <v>206</v>
      </c>
      <c r="D77" s="132">
        <v>11</v>
      </c>
      <c r="E77" s="194">
        <v>0</v>
      </c>
      <c r="F77" s="194">
        <v>0</v>
      </c>
      <c r="G77" s="194">
        <v>0</v>
      </c>
      <c r="H77" s="194">
        <v>0</v>
      </c>
      <c r="I77" s="194">
        <v>0</v>
      </c>
      <c r="J77" s="113">
        <f t="shared" si="7"/>
        <v>0</v>
      </c>
      <c r="K77" s="195">
        <v>0</v>
      </c>
      <c r="L77" s="195">
        <v>0</v>
      </c>
      <c r="M77" s="195">
        <v>0</v>
      </c>
      <c r="N77" s="195">
        <v>0</v>
      </c>
      <c r="O77" s="195">
        <v>0</v>
      </c>
      <c r="P77" s="195">
        <v>0</v>
      </c>
      <c r="Q77" s="195">
        <v>0</v>
      </c>
      <c r="R77" s="195">
        <v>0</v>
      </c>
      <c r="S77" s="195">
        <v>56377361</v>
      </c>
      <c r="T77" s="114">
        <f t="shared" si="8"/>
        <v>56377361</v>
      </c>
      <c r="U77" s="196">
        <v>0</v>
      </c>
      <c r="V77" s="196">
        <v>0</v>
      </c>
      <c r="W77" s="115">
        <f t="shared" si="9"/>
        <v>56377361</v>
      </c>
      <c r="X77" s="116">
        <f>'SUIVI 2026'!M76</f>
        <v>56377361</v>
      </c>
      <c r="Y77" s="117">
        <f t="shared" si="10"/>
        <v>0</v>
      </c>
      <c r="Z77" s="133"/>
      <c r="AA77" s="178">
        <f t="shared" si="11"/>
        <v>0</v>
      </c>
      <c r="AB77" s="179">
        <f t="shared" si="12"/>
        <v>0</v>
      </c>
      <c r="AC77" s="178">
        <f>SUM(AA5:AA77)</f>
        <v>0</v>
      </c>
      <c r="AD77" s="179">
        <f>SUM(AB5:AB77)</f>
        <v>0</v>
      </c>
      <c r="AE77" s="180">
        <f t="shared" si="13"/>
        <v>0</v>
      </c>
    </row>
    <row r="78" spans="1:31" ht="15.95" customHeight="1" x14ac:dyDescent="0.25">
      <c r="A78" s="129">
        <v>74</v>
      </c>
      <c r="B78" s="130">
        <v>46126</v>
      </c>
      <c r="C78" s="131" t="s">
        <v>207</v>
      </c>
      <c r="D78" s="132">
        <v>11</v>
      </c>
      <c r="E78" s="194">
        <v>0</v>
      </c>
      <c r="F78" s="194">
        <v>0</v>
      </c>
      <c r="G78" s="194">
        <v>0</v>
      </c>
      <c r="H78" s="194">
        <v>0</v>
      </c>
      <c r="I78" s="194">
        <v>0</v>
      </c>
      <c r="J78" s="113">
        <f t="shared" si="7"/>
        <v>0</v>
      </c>
      <c r="K78" s="195">
        <v>0</v>
      </c>
      <c r="L78" s="195">
        <v>0</v>
      </c>
      <c r="M78" s="195">
        <v>0</v>
      </c>
      <c r="N78" s="195">
        <v>0</v>
      </c>
      <c r="O78" s="195">
        <v>0</v>
      </c>
      <c r="P78" s="195">
        <v>0</v>
      </c>
      <c r="Q78" s="195">
        <v>0</v>
      </c>
      <c r="R78" s="195">
        <v>0</v>
      </c>
      <c r="S78" s="195">
        <v>56377361</v>
      </c>
      <c r="T78" s="114">
        <f t="shared" si="8"/>
        <v>56377361</v>
      </c>
      <c r="U78" s="196">
        <v>0</v>
      </c>
      <c r="V78" s="196">
        <v>0</v>
      </c>
      <c r="W78" s="115">
        <f t="shared" si="9"/>
        <v>56377361</v>
      </c>
      <c r="X78" s="116">
        <f>'SUIVI 2026'!M77</f>
        <v>56377361</v>
      </c>
      <c r="Y78" s="117">
        <f t="shared" si="10"/>
        <v>0</v>
      </c>
      <c r="Z78" s="133"/>
      <c r="AA78" s="181">
        <f t="shared" si="11"/>
        <v>0</v>
      </c>
      <c r="AB78" s="182">
        <f t="shared" si="12"/>
        <v>0</v>
      </c>
      <c r="AC78" s="181">
        <f>SUM(AA5:AA78)</f>
        <v>0</v>
      </c>
      <c r="AD78" s="182">
        <f>SUM(AB5:AB78)</f>
        <v>0</v>
      </c>
      <c r="AE78" s="183">
        <f t="shared" si="13"/>
        <v>0</v>
      </c>
    </row>
    <row r="79" spans="1:31" ht="15.95" customHeight="1" x14ac:dyDescent="0.25">
      <c r="A79" s="129">
        <v>75</v>
      </c>
      <c r="B79" s="130">
        <v>46127</v>
      </c>
      <c r="C79" s="131" t="s">
        <v>208</v>
      </c>
      <c r="D79" s="132">
        <v>11</v>
      </c>
      <c r="E79" s="194">
        <v>0</v>
      </c>
      <c r="F79" s="194">
        <v>0</v>
      </c>
      <c r="G79" s="194">
        <v>0</v>
      </c>
      <c r="H79" s="194">
        <v>0</v>
      </c>
      <c r="I79" s="194">
        <v>0</v>
      </c>
      <c r="J79" s="113">
        <f t="shared" si="7"/>
        <v>0</v>
      </c>
      <c r="K79" s="195">
        <v>0</v>
      </c>
      <c r="L79" s="195">
        <v>0</v>
      </c>
      <c r="M79" s="195">
        <v>0</v>
      </c>
      <c r="N79" s="195">
        <v>0</v>
      </c>
      <c r="O79" s="195">
        <v>0</v>
      </c>
      <c r="P79" s="195">
        <v>0</v>
      </c>
      <c r="Q79" s="195">
        <v>0</v>
      </c>
      <c r="R79" s="195">
        <v>0</v>
      </c>
      <c r="S79" s="195">
        <v>56377361</v>
      </c>
      <c r="T79" s="114">
        <f t="shared" si="8"/>
        <v>56377361</v>
      </c>
      <c r="U79" s="196">
        <v>0</v>
      </c>
      <c r="V79" s="196">
        <v>0</v>
      </c>
      <c r="W79" s="115">
        <f t="shared" si="9"/>
        <v>56377361</v>
      </c>
      <c r="X79" s="116">
        <f>'SUIVI 2026'!M78</f>
        <v>56377361</v>
      </c>
      <c r="Y79" s="117">
        <f t="shared" si="10"/>
        <v>0</v>
      </c>
      <c r="Z79" s="133"/>
      <c r="AA79" s="178">
        <f t="shared" si="11"/>
        <v>0</v>
      </c>
      <c r="AB79" s="179">
        <f t="shared" si="12"/>
        <v>0</v>
      </c>
      <c r="AC79" s="178">
        <f>SUM(AA5:AA79)</f>
        <v>0</v>
      </c>
      <c r="AD79" s="179">
        <f>SUM(AB5:AB79)</f>
        <v>0</v>
      </c>
      <c r="AE79" s="180">
        <f t="shared" si="13"/>
        <v>0</v>
      </c>
    </row>
    <row r="80" spans="1:31" ht="15.95" customHeight="1" x14ac:dyDescent="0.25">
      <c r="A80" s="129">
        <v>76</v>
      </c>
      <c r="B80" s="130">
        <v>46128</v>
      </c>
      <c r="C80" s="131" t="s">
        <v>204</v>
      </c>
      <c r="D80" s="132">
        <v>11</v>
      </c>
      <c r="E80" s="194">
        <v>0</v>
      </c>
      <c r="F80" s="194">
        <v>0</v>
      </c>
      <c r="G80" s="194">
        <v>0</v>
      </c>
      <c r="H80" s="194">
        <v>0</v>
      </c>
      <c r="I80" s="194">
        <v>0</v>
      </c>
      <c r="J80" s="113">
        <f t="shared" si="7"/>
        <v>0</v>
      </c>
      <c r="K80" s="195">
        <v>0</v>
      </c>
      <c r="L80" s="195">
        <v>0</v>
      </c>
      <c r="M80" s="195">
        <v>0</v>
      </c>
      <c r="N80" s="195">
        <v>0</v>
      </c>
      <c r="O80" s="195">
        <v>0</v>
      </c>
      <c r="P80" s="195">
        <v>0</v>
      </c>
      <c r="Q80" s="195">
        <v>0</v>
      </c>
      <c r="R80" s="195">
        <v>0</v>
      </c>
      <c r="S80" s="195">
        <v>56377361</v>
      </c>
      <c r="T80" s="114">
        <f t="shared" si="8"/>
        <v>56377361</v>
      </c>
      <c r="U80" s="196">
        <v>0</v>
      </c>
      <c r="V80" s="196">
        <v>0</v>
      </c>
      <c r="W80" s="115">
        <f t="shared" si="9"/>
        <v>56377361</v>
      </c>
      <c r="X80" s="116">
        <f>'SUIVI 2026'!M79</f>
        <v>56377361</v>
      </c>
      <c r="Y80" s="117">
        <f t="shared" si="10"/>
        <v>0</v>
      </c>
      <c r="Z80" s="133"/>
      <c r="AA80" s="181">
        <f t="shared" si="11"/>
        <v>0</v>
      </c>
      <c r="AB80" s="182">
        <f t="shared" si="12"/>
        <v>0</v>
      </c>
      <c r="AC80" s="181">
        <f>SUM(AA5:AA80)</f>
        <v>0</v>
      </c>
      <c r="AD80" s="182">
        <f>SUM(AB5:AB80)</f>
        <v>0</v>
      </c>
      <c r="AE80" s="183">
        <f t="shared" si="13"/>
        <v>0</v>
      </c>
    </row>
    <row r="81" spans="1:31" ht="15.95" customHeight="1" x14ac:dyDescent="0.25">
      <c r="A81" s="129">
        <v>77</v>
      </c>
      <c r="B81" s="130">
        <v>46129</v>
      </c>
      <c r="C81" s="131" t="s">
        <v>205</v>
      </c>
      <c r="D81" s="132">
        <v>11</v>
      </c>
      <c r="E81" s="194">
        <v>0</v>
      </c>
      <c r="F81" s="194">
        <v>0</v>
      </c>
      <c r="G81" s="194">
        <v>0</v>
      </c>
      <c r="H81" s="194">
        <v>0</v>
      </c>
      <c r="I81" s="194">
        <v>0</v>
      </c>
      <c r="J81" s="113">
        <f t="shared" si="7"/>
        <v>0</v>
      </c>
      <c r="K81" s="195">
        <v>0</v>
      </c>
      <c r="L81" s="195">
        <v>0</v>
      </c>
      <c r="M81" s="195">
        <v>0</v>
      </c>
      <c r="N81" s="195">
        <v>0</v>
      </c>
      <c r="O81" s="195">
        <v>0</v>
      </c>
      <c r="P81" s="195">
        <v>0</v>
      </c>
      <c r="Q81" s="195">
        <v>0</v>
      </c>
      <c r="R81" s="195">
        <v>0</v>
      </c>
      <c r="S81" s="195">
        <v>56377361</v>
      </c>
      <c r="T81" s="114">
        <f t="shared" si="8"/>
        <v>56377361</v>
      </c>
      <c r="U81" s="196">
        <v>0</v>
      </c>
      <c r="V81" s="196">
        <v>0</v>
      </c>
      <c r="W81" s="115">
        <f t="shared" si="9"/>
        <v>56377361</v>
      </c>
      <c r="X81" s="116">
        <f>'SUIVI 2026'!M80</f>
        <v>56377361</v>
      </c>
      <c r="Y81" s="117">
        <f t="shared" si="10"/>
        <v>0</v>
      </c>
      <c r="Z81" s="133"/>
      <c r="AA81" s="178">
        <f t="shared" si="11"/>
        <v>0</v>
      </c>
      <c r="AB81" s="179">
        <f t="shared" si="12"/>
        <v>0</v>
      </c>
      <c r="AC81" s="178">
        <f>SUM(AA5:AA81)</f>
        <v>0</v>
      </c>
      <c r="AD81" s="179">
        <f>SUM(AB5:AB81)</f>
        <v>0</v>
      </c>
      <c r="AE81" s="180">
        <f t="shared" si="13"/>
        <v>0</v>
      </c>
    </row>
    <row r="82" spans="1:31" ht="15.95" customHeight="1" x14ac:dyDescent="0.25">
      <c r="A82" s="129">
        <v>78</v>
      </c>
      <c r="B82" s="130">
        <v>46132</v>
      </c>
      <c r="C82" s="131" t="s">
        <v>206</v>
      </c>
      <c r="D82" s="132">
        <v>11</v>
      </c>
      <c r="E82" s="194">
        <v>0</v>
      </c>
      <c r="F82" s="194">
        <v>0</v>
      </c>
      <c r="G82" s="194">
        <v>0</v>
      </c>
      <c r="H82" s="194">
        <v>0</v>
      </c>
      <c r="I82" s="194">
        <v>0</v>
      </c>
      <c r="J82" s="113">
        <f t="shared" si="7"/>
        <v>0</v>
      </c>
      <c r="K82" s="195">
        <v>0</v>
      </c>
      <c r="L82" s="195">
        <v>0</v>
      </c>
      <c r="M82" s="195">
        <v>0</v>
      </c>
      <c r="N82" s="195">
        <v>0</v>
      </c>
      <c r="O82" s="195">
        <v>0</v>
      </c>
      <c r="P82" s="195">
        <v>0</v>
      </c>
      <c r="Q82" s="195">
        <v>0</v>
      </c>
      <c r="R82" s="195">
        <v>0</v>
      </c>
      <c r="S82" s="195">
        <v>56377361</v>
      </c>
      <c r="T82" s="114">
        <f t="shared" si="8"/>
        <v>56377361</v>
      </c>
      <c r="U82" s="196">
        <v>0</v>
      </c>
      <c r="V82" s="196">
        <v>0</v>
      </c>
      <c r="W82" s="115">
        <f t="shared" si="9"/>
        <v>56377361</v>
      </c>
      <c r="X82" s="116">
        <f>'SUIVI 2026'!M81</f>
        <v>56377361</v>
      </c>
      <c r="Y82" s="117">
        <f t="shared" si="10"/>
        <v>0</v>
      </c>
      <c r="Z82" s="133"/>
      <c r="AA82" s="181">
        <f t="shared" si="11"/>
        <v>0</v>
      </c>
      <c r="AB82" s="182">
        <f t="shared" si="12"/>
        <v>0</v>
      </c>
      <c r="AC82" s="181">
        <f>SUM(AA5:AA82)</f>
        <v>0</v>
      </c>
      <c r="AD82" s="182">
        <f>SUM(AB5:AB82)</f>
        <v>0</v>
      </c>
      <c r="AE82" s="183">
        <f t="shared" si="13"/>
        <v>0</v>
      </c>
    </row>
    <row r="83" spans="1:31" ht="15.95" customHeight="1" x14ac:dyDescent="0.25">
      <c r="A83" s="129">
        <v>79</v>
      </c>
      <c r="B83" s="130">
        <v>46133</v>
      </c>
      <c r="C83" s="131" t="s">
        <v>207</v>
      </c>
      <c r="D83" s="132">
        <v>12</v>
      </c>
      <c r="E83" s="194">
        <v>0</v>
      </c>
      <c r="F83" s="194">
        <v>0</v>
      </c>
      <c r="G83" s="194">
        <v>0</v>
      </c>
      <c r="H83" s="194">
        <v>0</v>
      </c>
      <c r="I83" s="194">
        <v>0</v>
      </c>
      <c r="J83" s="113">
        <f t="shared" si="7"/>
        <v>0</v>
      </c>
      <c r="K83" s="195">
        <v>0</v>
      </c>
      <c r="L83" s="195">
        <v>0</v>
      </c>
      <c r="M83" s="195">
        <v>0</v>
      </c>
      <c r="N83" s="195">
        <v>0</v>
      </c>
      <c r="O83" s="195">
        <v>0</v>
      </c>
      <c r="P83" s="195">
        <v>0</v>
      </c>
      <c r="Q83" s="195">
        <v>0</v>
      </c>
      <c r="R83" s="195">
        <v>0</v>
      </c>
      <c r="S83" s="195">
        <v>56377361</v>
      </c>
      <c r="T83" s="114">
        <f t="shared" si="8"/>
        <v>56377361</v>
      </c>
      <c r="U83" s="196">
        <v>0</v>
      </c>
      <c r="V83" s="196">
        <v>0</v>
      </c>
      <c r="W83" s="115">
        <f t="shared" si="9"/>
        <v>56377361</v>
      </c>
      <c r="X83" s="116">
        <f>'SUIVI 2026'!M82</f>
        <v>56377361</v>
      </c>
      <c r="Y83" s="117">
        <f t="shared" si="10"/>
        <v>0</v>
      </c>
      <c r="Z83" s="133"/>
      <c r="AA83" s="178">
        <f t="shared" si="11"/>
        <v>0</v>
      </c>
      <c r="AB83" s="179">
        <f t="shared" si="12"/>
        <v>0</v>
      </c>
      <c r="AC83" s="178">
        <f>SUM(AA5:AA83)</f>
        <v>0</v>
      </c>
      <c r="AD83" s="179">
        <f>SUM(AB5:AB83)</f>
        <v>0</v>
      </c>
      <c r="AE83" s="180">
        <f t="shared" si="13"/>
        <v>0</v>
      </c>
    </row>
    <row r="84" spans="1:31" ht="15.95" customHeight="1" x14ac:dyDescent="0.25">
      <c r="A84" s="129">
        <v>80</v>
      </c>
      <c r="B84" s="130">
        <v>46134</v>
      </c>
      <c r="C84" s="131" t="s">
        <v>208</v>
      </c>
      <c r="D84" s="132">
        <v>12</v>
      </c>
      <c r="E84" s="194">
        <v>0</v>
      </c>
      <c r="F84" s="194">
        <v>0</v>
      </c>
      <c r="G84" s="194">
        <v>0</v>
      </c>
      <c r="H84" s="194">
        <v>0</v>
      </c>
      <c r="I84" s="194">
        <v>0</v>
      </c>
      <c r="J84" s="113">
        <f t="shared" si="7"/>
        <v>0</v>
      </c>
      <c r="K84" s="195">
        <v>0</v>
      </c>
      <c r="L84" s="195">
        <v>0</v>
      </c>
      <c r="M84" s="195">
        <v>0</v>
      </c>
      <c r="N84" s="195">
        <v>0</v>
      </c>
      <c r="O84" s="195">
        <v>0</v>
      </c>
      <c r="P84" s="195">
        <v>0</v>
      </c>
      <c r="Q84" s="195">
        <v>0</v>
      </c>
      <c r="R84" s="195">
        <v>0</v>
      </c>
      <c r="S84" s="195">
        <v>56377361</v>
      </c>
      <c r="T84" s="114">
        <f t="shared" si="8"/>
        <v>56377361</v>
      </c>
      <c r="U84" s="196">
        <v>0</v>
      </c>
      <c r="V84" s="196">
        <v>0</v>
      </c>
      <c r="W84" s="115">
        <f t="shared" si="9"/>
        <v>56377361</v>
      </c>
      <c r="X84" s="116">
        <f>'SUIVI 2026'!M83</f>
        <v>56377361</v>
      </c>
      <c r="Y84" s="117">
        <f t="shared" si="10"/>
        <v>0</v>
      </c>
      <c r="Z84" s="133"/>
      <c r="AA84" s="181">
        <f t="shared" si="11"/>
        <v>0</v>
      </c>
      <c r="AB84" s="182">
        <f t="shared" si="12"/>
        <v>0</v>
      </c>
      <c r="AC84" s="181">
        <f>SUM(AA5:AA84)</f>
        <v>0</v>
      </c>
      <c r="AD84" s="182">
        <f>SUM(AB5:AB84)</f>
        <v>0</v>
      </c>
      <c r="AE84" s="183">
        <f t="shared" si="13"/>
        <v>0</v>
      </c>
    </row>
    <row r="85" spans="1:31" ht="15.95" customHeight="1" x14ac:dyDescent="0.25">
      <c r="A85" s="129">
        <v>81</v>
      </c>
      <c r="B85" s="130">
        <v>46135</v>
      </c>
      <c r="C85" s="131" t="s">
        <v>204</v>
      </c>
      <c r="D85" s="132">
        <v>12</v>
      </c>
      <c r="E85" s="194">
        <v>0</v>
      </c>
      <c r="F85" s="194">
        <v>0</v>
      </c>
      <c r="G85" s="194">
        <v>0</v>
      </c>
      <c r="H85" s="194">
        <v>0</v>
      </c>
      <c r="I85" s="194">
        <v>0</v>
      </c>
      <c r="J85" s="113">
        <f t="shared" si="7"/>
        <v>0</v>
      </c>
      <c r="K85" s="195">
        <v>0</v>
      </c>
      <c r="L85" s="195">
        <v>0</v>
      </c>
      <c r="M85" s="195">
        <v>0</v>
      </c>
      <c r="N85" s="195">
        <v>0</v>
      </c>
      <c r="O85" s="195">
        <v>0</v>
      </c>
      <c r="P85" s="195">
        <v>0</v>
      </c>
      <c r="Q85" s="195">
        <v>0</v>
      </c>
      <c r="R85" s="195">
        <v>0</v>
      </c>
      <c r="S85" s="195">
        <v>56377361</v>
      </c>
      <c r="T85" s="114">
        <f t="shared" si="8"/>
        <v>56377361</v>
      </c>
      <c r="U85" s="196">
        <v>0</v>
      </c>
      <c r="V85" s="196">
        <v>0</v>
      </c>
      <c r="W85" s="115">
        <f t="shared" si="9"/>
        <v>56377361</v>
      </c>
      <c r="X85" s="116">
        <f>'SUIVI 2026'!M84</f>
        <v>56377361</v>
      </c>
      <c r="Y85" s="117">
        <f t="shared" si="10"/>
        <v>0</v>
      </c>
      <c r="Z85" s="133"/>
      <c r="AA85" s="178">
        <f t="shared" si="11"/>
        <v>0</v>
      </c>
      <c r="AB85" s="179">
        <f t="shared" si="12"/>
        <v>0</v>
      </c>
      <c r="AC85" s="178">
        <f>SUM(AA5:AA85)</f>
        <v>0</v>
      </c>
      <c r="AD85" s="179">
        <f>SUM(AB5:AB85)</f>
        <v>0</v>
      </c>
      <c r="AE85" s="180">
        <f t="shared" si="13"/>
        <v>0</v>
      </c>
    </row>
    <row r="86" spans="1:31" ht="15.95" customHeight="1" x14ac:dyDescent="0.25">
      <c r="A86" s="129">
        <v>82</v>
      </c>
      <c r="B86" s="130">
        <v>46136</v>
      </c>
      <c r="C86" s="131" t="s">
        <v>205</v>
      </c>
      <c r="D86" s="132">
        <v>12</v>
      </c>
      <c r="E86" s="194">
        <v>0</v>
      </c>
      <c r="F86" s="194">
        <v>0</v>
      </c>
      <c r="G86" s="194">
        <v>0</v>
      </c>
      <c r="H86" s="194">
        <v>0</v>
      </c>
      <c r="I86" s="194">
        <v>0</v>
      </c>
      <c r="J86" s="113">
        <f t="shared" si="7"/>
        <v>0</v>
      </c>
      <c r="K86" s="195">
        <v>0</v>
      </c>
      <c r="L86" s="195">
        <v>0</v>
      </c>
      <c r="M86" s="195">
        <v>0</v>
      </c>
      <c r="N86" s="195">
        <v>0</v>
      </c>
      <c r="O86" s="195">
        <v>0</v>
      </c>
      <c r="P86" s="195">
        <v>0</v>
      </c>
      <c r="Q86" s="195">
        <v>0</v>
      </c>
      <c r="R86" s="195">
        <v>0</v>
      </c>
      <c r="S86" s="195">
        <v>56377361</v>
      </c>
      <c r="T86" s="114">
        <f t="shared" si="8"/>
        <v>56377361</v>
      </c>
      <c r="U86" s="196">
        <v>0</v>
      </c>
      <c r="V86" s="196">
        <v>0</v>
      </c>
      <c r="W86" s="115">
        <f t="shared" si="9"/>
        <v>56377361</v>
      </c>
      <c r="X86" s="116">
        <f>'SUIVI 2026'!M85</f>
        <v>56377361</v>
      </c>
      <c r="Y86" s="117">
        <f t="shared" si="10"/>
        <v>0</v>
      </c>
      <c r="Z86" s="133"/>
      <c r="AA86" s="181">
        <f t="shared" si="11"/>
        <v>0</v>
      </c>
      <c r="AB86" s="182">
        <f t="shared" si="12"/>
        <v>0</v>
      </c>
      <c r="AC86" s="181">
        <f>SUM(AA5:AA86)</f>
        <v>0</v>
      </c>
      <c r="AD86" s="182">
        <f>SUM(AB5:AB86)</f>
        <v>0</v>
      </c>
      <c r="AE86" s="183">
        <f t="shared" si="13"/>
        <v>0</v>
      </c>
    </row>
    <row r="87" spans="1:31" ht="15.95" customHeight="1" x14ac:dyDescent="0.25">
      <c r="A87" s="129">
        <v>83</v>
      </c>
      <c r="B87" s="130">
        <v>46139</v>
      </c>
      <c r="C87" s="131" t="s">
        <v>206</v>
      </c>
      <c r="D87" s="132">
        <v>12</v>
      </c>
      <c r="E87" s="194">
        <v>0</v>
      </c>
      <c r="F87" s="194">
        <v>0</v>
      </c>
      <c r="G87" s="194">
        <v>0</v>
      </c>
      <c r="H87" s="194">
        <v>0</v>
      </c>
      <c r="I87" s="194">
        <v>0</v>
      </c>
      <c r="J87" s="113">
        <f t="shared" si="7"/>
        <v>0</v>
      </c>
      <c r="K87" s="195">
        <v>0</v>
      </c>
      <c r="L87" s="195">
        <v>0</v>
      </c>
      <c r="M87" s="195">
        <v>0</v>
      </c>
      <c r="N87" s="195">
        <v>0</v>
      </c>
      <c r="O87" s="195">
        <v>0</v>
      </c>
      <c r="P87" s="195">
        <v>0</v>
      </c>
      <c r="Q87" s="195">
        <v>0</v>
      </c>
      <c r="R87" s="195">
        <v>0</v>
      </c>
      <c r="S87" s="195">
        <v>56377361</v>
      </c>
      <c r="T87" s="114">
        <f t="shared" si="8"/>
        <v>56377361</v>
      </c>
      <c r="U87" s="196">
        <v>0</v>
      </c>
      <c r="V87" s="196">
        <v>0</v>
      </c>
      <c r="W87" s="115">
        <f t="shared" si="9"/>
        <v>56377361</v>
      </c>
      <c r="X87" s="116">
        <f>'SUIVI 2026'!M86</f>
        <v>56377361</v>
      </c>
      <c r="Y87" s="117">
        <f t="shared" si="10"/>
        <v>0</v>
      </c>
      <c r="Z87" s="133"/>
      <c r="AA87" s="178">
        <f t="shared" si="11"/>
        <v>0</v>
      </c>
      <c r="AB87" s="179">
        <f t="shared" si="12"/>
        <v>0</v>
      </c>
      <c r="AC87" s="178">
        <f>SUM(AA5:AA87)</f>
        <v>0</v>
      </c>
      <c r="AD87" s="179">
        <f>SUM(AB5:AB87)</f>
        <v>0</v>
      </c>
      <c r="AE87" s="180">
        <f t="shared" si="13"/>
        <v>0</v>
      </c>
    </row>
    <row r="88" spans="1:31" ht="15.95" customHeight="1" x14ac:dyDescent="0.25">
      <c r="A88" s="129">
        <v>84</v>
      </c>
      <c r="B88" s="130">
        <v>46140</v>
      </c>
      <c r="C88" s="131" t="s">
        <v>207</v>
      </c>
      <c r="D88" s="132">
        <v>12</v>
      </c>
      <c r="E88" s="194">
        <v>0</v>
      </c>
      <c r="F88" s="194">
        <v>0</v>
      </c>
      <c r="G88" s="194">
        <v>0</v>
      </c>
      <c r="H88" s="194">
        <v>0</v>
      </c>
      <c r="I88" s="194">
        <v>0</v>
      </c>
      <c r="J88" s="113">
        <f t="shared" si="7"/>
        <v>0</v>
      </c>
      <c r="K88" s="195">
        <v>0</v>
      </c>
      <c r="L88" s="195">
        <v>0</v>
      </c>
      <c r="M88" s="195">
        <v>0</v>
      </c>
      <c r="N88" s="195">
        <v>0</v>
      </c>
      <c r="O88" s="195">
        <v>0</v>
      </c>
      <c r="P88" s="195">
        <v>0</v>
      </c>
      <c r="Q88" s="195">
        <v>0</v>
      </c>
      <c r="R88" s="195">
        <v>0</v>
      </c>
      <c r="S88" s="195">
        <v>56377361</v>
      </c>
      <c r="T88" s="114">
        <f t="shared" si="8"/>
        <v>56377361</v>
      </c>
      <c r="U88" s="196">
        <v>0</v>
      </c>
      <c r="V88" s="196">
        <v>0</v>
      </c>
      <c r="W88" s="115">
        <f t="shared" si="9"/>
        <v>56377361</v>
      </c>
      <c r="X88" s="116">
        <f>'SUIVI 2026'!M87</f>
        <v>56377361</v>
      </c>
      <c r="Y88" s="117">
        <f t="shared" si="10"/>
        <v>0</v>
      </c>
      <c r="Z88" s="133"/>
      <c r="AA88" s="181">
        <f t="shared" si="11"/>
        <v>0</v>
      </c>
      <c r="AB88" s="182">
        <f t="shared" si="12"/>
        <v>0</v>
      </c>
      <c r="AC88" s="181">
        <f>SUM(AA5:AA88)</f>
        <v>0</v>
      </c>
      <c r="AD88" s="182">
        <f>SUM(AB5:AB88)</f>
        <v>0</v>
      </c>
      <c r="AE88" s="183">
        <f t="shared" si="13"/>
        <v>0</v>
      </c>
    </row>
    <row r="89" spans="1:31" ht="15.95" customHeight="1" x14ac:dyDescent="0.25">
      <c r="A89" s="129">
        <v>85</v>
      </c>
      <c r="B89" s="130">
        <v>46141</v>
      </c>
      <c r="C89" s="131" t="s">
        <v>208</v>
      </c>
      <c r="D89" s="132">
        <v>12</v>
      </c>
      <c r="E89" s="194">
        <v>0</v>
      </c>
      <c r="F89" s="194">
        <v>0</v>
      </c>
      <c r="G89" s="194">
        <v>0</v>
      </c>
      <c r="H89" s="194">
        <v>0</v>
      </c>
      <c r="I89" s="194">
        <v>0</v>
      </c>
      <c r="J89" s="113">
        <f t="shared" si="7"/>
        <v>0</v>
      </c>
      <c r="K89" s="195">
        <v>0</v>
      </c>
      <c r="L89" s="195">
        <v>0</v>
      </c>
      <c r="M89" s="195">
        <v>0</v>
      </c>
      <c r="N89" s="195">
        <v>0</v>
      </c>
      <c r="O89" s="195">
        <v>0</v>
      </c>
      <c r="P89" s="195">
        <v>0</v>
      </c>
      <c r="Q89" s="195">
        <v>0</v>
      </c>
      <c r="R89" s="195">
        <v>0</v>
      </c>
      <c r="S89" s="195">
        <v>56377361</v>
      </c>
      <c r="T89" s="114">
        <f t="shared" si="8"/>
        <v>56377361</v>
      </c>
      <c r="U89" s="196">
        <v>0</v>
      </c>
      <c r="V89" s="196">
        <v>0</v>
      </c>
      <c r="W89" s="115">
        <f t="shared" si="9"/>
        <v>56377361</v>
      </c>
      <c r="X89" s="116">
        <f>'SUIVI 2026'!M88</f>
        <v>56377361</v>
      </c>
      <c r="Y89" s="117">
        <f t="shared" si="10"/>
        <v>0</v>
      </c>
      <c r="Z89" s="133"/>
      <c r="AA89" s="178">
        <f t="shared" si="11"/>
        <v>0</v>
      </c>
      <c r="AB89" s="179">
        <f t="shared" si="12"/>
        <v>0</v>
      </c>
      <c r="AC89" s="178">
        <f>SUM(AA5:AA89)</f>
        <v>0</v>
      </c>
      <c r="AD89" s="179">
        <f>SUM(AB5:AB89)</f>
        <v>0</v>
      </c>
      <c r="AE89" s="180">
        <f t="shared" si="13"/>
        <v>0</v>
      </c>
    </row>
    <row r="90" spans="1:31" ht="15.95" customHeight="1" x14ac:dyDescent="0.25">
      <c r="A90" s="129">
        <v>86</v>
      </c>
      <c r="B90" s="130">
        <v>46142</v>
      </c>
      <c r="C90" s="131" t="s">
        <v>204</v>
      </c>
      <c r="D90" s="132">
        <v>12</v>
      </c>
      <c r="E90" s="194">
        <v>0</v>
      </c>
      <c r="F90" s="194">
        <v>0</v>
      </c>
      <c r="G90" s="194">
        <v>0</v>
      </c>
      <c r="H90" s="194">
        <v>0</v>
      </c>
      <c r="I90" s="194">
        <v>0</v>
      </c>
      <c r="J90" s="113">
        <f t="shared" si="7"/>
        <v>0</v>
      </c>
      <c r="K90" s="195">
        <v>0</v>
      </c>
      <c r="L90" s="195">
        <v>0</v>
      </c>
      <c r="M90" s="195">
        <v>0</v>
      </c>
      <c r="N90" s="195">
        <v>0</v>
      </c>
      <c r="O90" s="195">
        <v>0</v>
      </c>
      <c r="P90" s="195">
        <v>0</v>
      </c>
      <c r="Q90" s="195">
        <v>0</v>
      </c>
      <c r="R90" s="195">
        <v>0</v>
      </c>
      <c r="S90" s="195">
        <v>56377361</v>
      </c>
      <c r="T90" s="114">
        <f t="shared" si="8"/>
        <v>56377361</v>
      </c>
      <c r="U90" s="196">
        <v>0</v>
      </c>
      <c r="V90" s="196">
        <v>0</v>
      </c>
      <c r="W90" s="115">
        <f t="shared" si="9"/>
        <v>56377361</v>
      </c>
      <c r="X90" s="116">
        <f>'SUIVI 2026'!M89</f>
        <v>56377361</v>
      </c>
      <c r="Y90" s="117">
        <f t="shared" si="10"/>
        <v>0</v>
      </c>
      <c r="Z90" s="133"/>
      <c r="AA90" s="181">
        <f t="shared" si="11"/>
        <v>0</v>
      </c>
      <c r="AB90" s="182">
        <f t="shared" si="12"/>
        <v>0</v>
      </c>
      <c r="AC90" s="181">
        <f>SUM(AA5:AA90)</f>
        <v>0</v>
      </c>
      <c r="AD90" s="182">
        <f>SUM(AB5:AB90)</f>
        <v>0</v>
      </c>
      <c r="AE90" s="183">
        <f t="shared" si="13"/>
        <v>0</v>
      </c>
    </row>
    <row r="91" spans="1:31" ht="15.95" customHeight="1" x14ac:dyDescent="0.25">
      <c r="A91" s="134">
        <v>87</v>
      </c>
      <c r="B91" s="135">
        <v>46143</v>
      </c>
      <c r="C91" s="136" t="s">
        <v>205</v>
      </c>
      <c r="D91" s="137">
        <v>13</v>
      </c>
      <c r="E91" s="194">
        <v>0</v>
      </c>
      <c r="F91" s="194">
        <v>0</v>
      </c>
      <c r="G91" s="194">
        <v>0</v>
      </c>
      <c r="H91" s="194">
        <v>0</v>
      </c>
      <c r="I91" s="194">
        <v>0</v>
      </c>
      <c r="J91" s="113">
        <f t="shared" si="7"/>
        <v>0</v>
      </c>
      <c r="K91" s="195">
        <v>0</v>
      </c>
      <c r="L91" s="195">
        <v>0</v>
      </c>
      <c r="M91" s="195">
        <v>0</v>
      </c>
      <c r="N91" s="195">
        <v>0</v>
      </c>
      <c r="O91" s="195">
        <v>0</v>
      </c>
      <c r="P91" s="195">
        <v>0</v>
      </c>
      <c r="Q91" s="195">
        <v>0</v>
      </c>
      <c r="R91" s="195">
        <v>0</v>
      </c>
      <c r="S91" s="195">
        <v>56377361</v>
      </c>
      <c r="T91" s="114">
        <f t="shared" si="8"/>
        <v>56377361</v>
      </c>
      <c r="U91" s="196">
        <v>0</v>
      </c>
      <c r="V91" s="196">
        <v>0</v>
      </c>
      <c r="W91" s="115">
        <f t="shared" si="9"/>
        <v>56377361</v>
      </c>
      <c r="X91" s="116">
        <f>'SUIVI 2026'!M90</f>
        <v>56377361</v>
      </c>
      <c r="Y91" s="117">
        <f t="shared" si="10"/>
        <v>0</v>
      </c>
      <c r="Z91" s="138"/>
      <c r="AA91" s="178">
        <f t="shared" si="11"/>
        <v>0</v>
      </c>
      <c r="AB91" s="179">
        <f t="shared" si="12"/>
        <v>0</v>
      </c>
      <c r="AC91" s="178">
        <f>SUM(AA5:AA91)</f>
        <v>0</v>
      </c>
      <c r="AD91" s="179">
        <f>SUM(AB5:AB91)</f>
        <v>0</v>
      </c>
      <c r="AE91" s="180">
        <f t="shared" si="13"/>
        <v>0</v>
      </c>
    </row>
    <row r="92" spans="1:31" ht="15.95" customHeight="1" x14ac:dyDescent="0.25">
      <c r="A92" s="134">
        <v>88</v>
      </c>
      <c r="B92" s="135">
        <v>46146</v>
      </c>
      <c r="C92" s="136" t="s">
        <v>206</v>
      </c>
      <c r="D92" s="137">
        <v>13</v>
      </c>
      <c r="E92" s="194">
        <v>0</v>
      </c>
      <c r="F92" s="194">
        <v>0</v>
      </c>
      <c r="G92" s="194">
        <v>0</v>
      </c>
      <c r="H92" s="194">
        <v>0</v>
      </c>
      <c r="I92" s="194">
        <v>0</v>
      </c>
      <c r="J92" s="113">
        <f t="shared" si="7"/>
        <v>0</v>
      </c>
      <c r="K92" s="195">
        <v>0</v>
      </c>
      <c r="L92" s="195">
        <v>0</v>
      </c>
      <c r="M92" s="195">
        <v>0</v>
      </c>
      <c r="N92" s="195">
        <v>0</v>
      </c>
      <c r="O92" s="195">
        <v>0</v>
      </c>
      <c r="P92" s="195">
        <v>0</v>
      </c>
      <c r="Q92" s="195">
        <v>0</v>
      </c>
      <c r="R92" s="195">
        <v>0</v>
      </c>
      <c r="S92" s="195">
        <v>56377361</v>
      </c>
      <c r="T92" s="114">
        <f t="shared" si="8"/>
        <v>56377361</v>
      </c>
      <c r="U92" s="196">
        <v>0</v>
      </c>
      <c r="V92" s="196">
        <v>0</v>
      </c>
      <c r="W92" s="115">
        <f t="shared" si="9"/>
        <v>56377361</v>
      </c>
      <c r="X92" s="116">
        <f>'SUIVI 2026'!M91</f>
        <v>56377361</v>
      </c>
      <c r="Y92" s="117">
        <f t="shared" si="10"/>
        <v>0</v>
      </c>
      <c r="Z92" s="138"/>
      <c r="AA92" s="181">
        <f t="shared" si="11"/>
        <v>0</v>
      </c>
      <c r="AB92" s="182">
        <f t="shared" si="12"/>
        <v>0</v>
      </c>
      <c r="AC92" s="181">
        <f>SUM(AA5:AA92)</f>
        <v>0</v>
      </c>
      <c r="AD92" s="182">
        <f>SUM(AB5:AB92)</f>
        <v>0</v>
      </c>
      <c r="AE92" s="183">
        <f t="shared" si="13"/>
        <v>0</v>
      </c>
    </row>
    <row r="93" spans="1:31" ht="15.95" customHeight="1" x14ac:dyDescent="0.25">
      <c r="A93" s="134">
        <v>89</v>
      </c>
      <c r="B93" s="135">
        <v>46147</v>
      </c>
      <c r="C93" s="136" t="s">
        <v>207</v>
      </c>
      <c r="D93" s="137">
        <v>13</v>
      </c>
      <c r="E93" s="194">
        <v>0</v>
      </c>
      <c r="F93" s="194">
        <v>0</v>
      </c>
      <c r="G93" s="194">
        <v>0</v>
      </c>
      <c r="H93" s="194">
        <v>0</v>
      </c>
      <c r="I93" s="194">
        <v>0</v>
      </c>
      <c r="J93" s="113">
        <f t="shared" si="7"/>
        <v>0</v>
      </c>
      <c r="K93" s="195">
        <v>0</v>
      </c>
      <c r="L93" s="195">
        <v>0</v>
      </c>
      <c r="M93" s="195">
        <v>0</v>
      </c>
      <c r="N93" s="195">
        <v>0</v>
      </c>
      <c r="O93" s="195">
        <v>0</v>
      </c>
      <c r="P93" s="195">
        <v>0</v>
      </c>
      <c r="Q93" s="195">
        <v>0</v>
      </c>
      <c r="R93" s="195">
        <v>0</v>
      </c>
      <c r="S93" s="195">
        <v>56377361</v>
      </c>
      <c r="T93" s="114">
        <f t="shared" si="8"/>
        <v>56377361</v>
      </c>
      <c r="U93" s="196">
        <v>0</v>
      </c>
      <c r="V93" s="196">
        <v>0</v>
      </c>
      <c r="W93" s="115">
        <f t="shared" si="9"/>
        <v>56377361</v>
      </c>
      <c r="X93" s="116">
        <f>'SUIVI 2026'!M92</f>
        <v>56377361</v>
      </c>
      <c r="Y93" s="117">
        <f t="shared" si="10"/>
        <v>0</v>
      </c>
      <c r="Z93" s="138"/>
      <c r="AA93" s="178">
        <f t="shared" si="11"/>
        <v>0</v>
      </c>
      <c r="AB93" s="179">
        <f t="shared" si="12"/>
        <v>0</v>
      </c>
      <c r="AC93" s="178">
        <f>SUM(AA5:AA93)</f>
        <v>0</v>
      </c>
      <c r="AD93" s="179">
        <f>SUM(AB5:AB93)</f>
        <v>0</v>
      </c>
      <c r="AE93" s="180">
        <f t="shared" si="13"/>
        <v>0</v>
      </c>
    </row>
    <row r="94" spans="1:31" ht="15.95" customHeight="1" x14ac:dyDescent="0.25">
      <c r="A94" s="134">
        <v>90</v>
      </c>
      <c r="B94" s="135">
        <v>46148</v>
      </c>
      <c r="C94" s="136" t="s">
        <v>208</v>
      </c>
      <c r="D94" s="137">
        <v>13</v>
      </c>
      <c r="E94" s="194">
        <v>0</v>
      </c>
      <c r="F94" s="194">
        <v>0</v>
      </c>
      <c r="G94" s="194">
        <v>0</v>
      </c>
      <c r="H94" s="194">
        <v>0</v>
      </c>
      <c r="I94" s="194">
        <v>0</v>
      </c>
      <c r="J94" s="113">
        <f t="shared" si="7"/>
        <v>0</v>
      </c>
      <c r="K94" s="195">
        <v>0</v>
      </c>
      <c r="L94" s="195">
        <v>0</v>
      </c>
      <c r="M94" s="195">
        <v>0</v>
      </c>
      <c r="N94" s="195">
        <v>0</v>
      </c>
      <c r="O94" s="195">
        <v>0</v>
      </c>
      <c r="P94" s="195">
        <v>0</v>
      </c>
      <c r="Q94" s="195">
        <v>0</v>
      </c>
      <c r="R94" s="195">
        <v>0</v>
      </c>
      <c r="S94" s="195">
        <v>56377361</v>
      </c>
      <c r="T94" s="114">
        <f t="shared" si="8"/>
        <v>56377361</v>
      </c>
      <c r="U94" s="196">
        <v>0</v>
      </c>
      <c r="V94" s="196">
        <v>0</v>
      </c>
      <c r="W94" s="115">
        <f t="shared" si="9"/>
        <v>56377361</v>
      </c>
      <c r="X94" s="116">
        <f>'SUIVI 2026'!M93</f>
        <v>56377361</v>
      </c>
      <c r="Y94" s="117">
        <f t="shared" si="10"/>
        <v>0</v>
      </c>
      <c r="Z94" s="138"/>
      <c r="AA94" s="181">
        <f t="shared" si="11"/>
        <v>0</v>
      </c>
      <c r="AB94" s="182">
        <f t="shared" si="12"/>
        <v>0</v>
      </c>
      <c r="AC94" s="181">
        <f>SUM(AA5:AA94)</f>
        <v>0</v>
      </c>
      <c r="AD94" s="182">
        <f>SUM(AB5:AB94)</f>
        <v>0</v>
      </c>
      <c r="AE94" s="183">
        <f t="shared" si="13"/>
        <v>0</v>
      </c>
    </row>
    <row r="95" spans="1:31" ht="15.95" customHeight="1" x14ac:dyDescent="0.25">
      <c r="A95" s="134">
        <v>91</v>
      </c>
      <c r="B95" s="135">
        <v>46149</v>
      </c>
      <c r="C95" s="136" t="s">
        <v>204</v>
      </c>
      <c r="D95" s="137">
        <v>13</v>
      </c>
      <c r="E95" s="194">
        <v>0</v>
      </c>
      <c r="F95" s="194">
        <v>0</v>
      </c>
      <c r="G95" s="194">
        <v>0</v>
      </c>
      <c r="H95" s="194">
        <v>0</v>
      </c>
      <c r="I95" s="194">
        <v>0</v>
      </c>
      <c r="J95" s="113">
        <f t="shared" si="7"/>
        <v>0</v>
      </c>
      <c r="K95" s="195">
        <v>0</v>
      </c>
      <c r="L95" s="195">
        <v>0</v>
      </c>
      <c r="M95" s="195">
        <v>0</v>
      </c>
      <c r="N95" s="195">
        <v>0</v>
      </c>
      <c r="O95" s="195">
        <v>0</v>
      </c>
      <c r="P95" s="195">
        <v>0</v>
      </c>
      <c r="Q95" s="195">
        <v>0</v>
      </c>
      <c r="R95" s="195">
        <v>0</v>
      </c>
      <c r="S95" s="195">
        <v>56377361</v>
      </c>
      <c r="T95" s="114">
        <f t="shared" si="8"/>
        <v>56377361</v>
      </c>
      <c r="U95" s="196">
        <v>0</v>
      </c>
      <c r="V95" s="196">
        <v>0</v>
      </c>
      <c r="W95" s="115">
        <f t="shared" si="9"/>
        <v>56377361</v>
      </c>
      <c r="X95" s="116">
        <f>'SUIVI 2026'!M94</f>
        <v>56377361</v>
      </c>
      <c r="Y95" s="117">
        <f t="shared" si="10"/>
        <v>0</v>
      </c>
      <c r="Z95" s="138"/>
      <c r="AA95" s="178">
        <f t="shared" si="11"/>
        <v>0</v>
      </c>
      <c r="AB95" s="179">
        <f t="shared" si="12"/>
        <v>0</v>
      </c>
      <c r="AC95" s="178">
        <f>SUM(AA5:AA95)</f>
        <v>0</v>
      </c>
      <c r="AD95" s="179">
        <f>SUM(AB5:AB95)</f>
        <v>0</v>
      </c>
      <c r="AE95" s="180">
        <f t="shared" si="13"/>
        <v>0</v>
      </c>
    </row>
    <row r="96" spans="1:31" ht="15.95" customHeight="1" x14ac:dyDescent="0.25">
      <c r="A96" s="134">
        <v>92</v>
      </c>
      <c r="B96" s="135">
        <v>46150</v>
      </c>
      <c r="C96" s="136" t="s">
        <v>205</v>
      </c>
      <c r="D96" s="137">
        <v>13</v>
      </c>
      <c r="E96" s="194">
        <v>0</v>
      </c>
      <c r="F96" s="194">
        <v>0</v>
      </c>
      <c r="G96" s="194">
        <v>0</v>
      </c>
      <c r="H96" s="194">
        <v>0</v>
      </c>
      <c r="I96" s="194">
        <v>0</v>
      </c>
      <c r="J96" s="113">
        <f t="shared" si="7"/>
        <v>0</v>
      </c>
      <c r="K96" s="195">
        <v>0</v>
      </c>
      <c r="L96" s="195">
        <v>0</v>
      </c>
      <c r="M96" s="195">
        <v>0</v>
      </c>
      <c r="N96" s="195">
        <v>0</v>
      </c>
      <c r="O96" s="195">
        <v>0</v>
      </c>
      <c r="P96" s="195">
        <v>0</v>
      </c>
      <c r="Q96" s="195">
        <v>0</v>
      </c>
      <c r="R96" s="195">
        <v>0</v>
      </c>
      <c r="S96" s="195">
        <v>56377361</v>
      </c>
      <c r="T96" s="114">
        <f t="shared" si="8"/>
        <v>56377361</v>
      </c>
      <c r="U96" s="196">
        <v>0</v>
      </c>
      <c r="V96" s="196">
        <v>0</v>
      </c>
      <c r="W96" s="115">
        <f t="shared" si="9"/>
        <v>56377361</v>
      </c>
      <c r="X96" s="116">
        <f>'SUIVI 2026'!M95</f>
        <v>56377361</v>
      </c>
      <c r="Y96" s="117">
        <f t="shared" si="10"/>
        <v>0</v>
      </c>
      <c r="Z96" s="138"/>
      <c r="AA96" s="181">
        <f t="shared" si="11"/>
        <v>0</v>
      </c>
      <c r="AB96" s="182">
        <f t="shared" si="12"/>
        <v>0</v>
      </c>
      <c r="AC96" s="181">
        <f>SUM(AA5:AA96)</f>
        <v>0</v>
      </c>
      <c r="AD96" s="182">
        <f>SUM(AB5:AB96)</f>
        <v>0</v>
      </c>
      <c r="AE96" s="183">
        <f t="shared" si="13"/>
        <v>0</v>
      </c>
    </row>
    <row r="97" spans="1:31" ht="15.95" customHeight="1" x14ac:dyDescent="0.25">
      <c r="A97" s="134">
        <v>93</v>
      </c>
      <c r="B97" s="135">
        <v>46153</v>
      </c>
      <c r="C97" s="136" t="s">
        <v>206</v>
      </c>
      <c r="D97" s="137">
        <v>14</v>
      </c>
      <c r="E97" s="194">
        <v>0</v>
      </c>
      <c r="F97" s="194">
        <v>0</v>
      </c>
      <c r="G97" s="194">
        <v>0</v>
      </c>
      <c r="H97" s="194">
        <v>0</v>
      </c>
      <c r="I97" s="194">
        <v>0</v>
      </c>
      <c r="J97" s="113">
        <f t="shared" si="7"/>
        <v>0</v>
      </c>
      <c r="K97" s="195">
        <v>0</v>
      </c>
      <c r="L97" s="195">
        <v>0</v>
      </c>
      <c r="M97" s="195">
        <v>0</v>
      </c>
      <c r="N97" s="195">
        <v>0</v>
      </c>
      <c r="O97" s="195">
        <v>0</v>
      </c>
      <c r="P97" s="195">
        <v>0</v>
      </c>
      <c r="Q97" s="195">
        <v>0</v>
      </c>
      <c r="R97" s="195">
        <v>0</v>
      </c>
      <c r="S97" s="195">
        <v>56377361</v>
      </c>
      <c r="T97" s="114">
        <f t="shared" si="8"/>
        <v>56377361</v>
      </c>
      <c r="U97" s="196">
        <v>0</v>
      </c>
      <c r="V97" s="196">
        <v>0</v>
      </c>
      <c r="W97" s="115">
        <f t="shared" si="9"/>
        <v>56377361</v>
      </c>
      <c r="X97" s="116">
        <f>'SUIVI 2026'!M96</f>
        <v>56377361</v>
      </c>
      <c r="Y97" s="117">
        <f t="shared" si="10"/>
        <v>0</v>
      </c>
      <c r="Z97" s="138"/>
      <c r="AA97" s="178">
        <f t="shared" si="11"/>
        <v>0</v>
      </c>
      <c r="AB97" s="179">
        <f t="shared" si="12"/>
        <v>0</v>
      </c>
      <c r="AC97" s="178">
        <f>SUM(AA5:AA97)</f>
        <v>0</v>
      </c>
      <c r="AD97" s="179">
        <f>SUM(AB5:AB97)</f>
        <v>0</v>
      </c>
      <c r="AE97" s="180">
        <f t="shared" si="13"/>
        <v>0</v>
      </c>
    </row>
    <row r="98" spans="1:31" ht="15.95" customHeight="1" x14ac:dyDescent="0.25">
      <c r="A98" s="134">
        <v>94</v>
      </c>
      <c r="B98" s="135">
        <v>46154</v>
      </c>
      <c r="C98" s="136" t="s">
        <v>207</v>
      </c>
      <c r="D98" s="137">
        <v>14</v>
      </c>
      <c r="E98" s="194">
        <v>0</v>
      </c>
      <c r="F98" s="194">
        <v>0</v>
      </c>
      <c r="G98" s="194">
        <v>0</v>
      </c>
      <c r="H98" s="194">
        <v>0</v>
      </c>
      <c r="I98" s="194">
        <v>0</v>
      </c>
      <c r="J98" s="113">
        <f t="shared" si="7"/>
        <v>0</v>
      </c>
      <c r="K98" s="195">
        <v>0</v>
      </c>
      <c r="L98" s="195">
        <v>0</v>
      </c>
      <c r="M98" s="195">
        <v>0</v>
      </c>
      <c r="N98" s="195">
        <v>0</v>
      </c>
      <c r="O98" s="195">
        <v>0</v>
      </c>
      <c r="P98" s="195">
        <v>0</v>
      </c>
      <c r="Q98" s="195">
        <v>0</v>
      </c>
      <c r="R98" s="195">
        <v>0</v>
      </c>
      <c r="S98" s="195">
        <v>56377361</v>
      </c>
      <c r="T98" s="114">
        <f t="shared" si="8"/>
        <v>56377361</v>
      </c>
      <c r="U98" s="196">
        <v>0</v>
      </c>
      <c r="V98" s="196">
        <v>0</v>
      </c>
      <c r="W98" s="115">
        <f t="shared" si="9"/>
        <v>56377361</v>
      </c>
      <c r="X98" s="116">
        <f>'SUIVI 2026'!M97</f>
        <v>56377361</v>
      </c>
      <c r="Y98" s="117">
        <f t="shared" si="10"/>
        <v>0</v>
      </c>
      <c r="Z98" s="138"/>
      <c r="AA98" s="181">
        <f t="shared" si="11"/>
        <v>0</v>
      </c>
      <c r="AB98" s="182">
        <f t="shared" si="12"/>
        <v>0</v>
      </c>
      <c r="AC98" s="181">
        <f>SUM(AA5:AA98)</f>
        <v>0</v>
      </c>
      <c r="AD98" s="182">
        <f>SUM(AB5:AB98)</f>
        <v>0</v>
      </c>
      <c r="AE98" s="183">
        <f t="shared" si="13"/>
        <v>0</v>
      </c>
    </row>
    <row r="99" spans="1:31" ht="15.95" customHeight="1" x14ac:dyDescent="0.25">
      <c r="A99" s="134">
        <v>95</v>
      </c>
      <c r="B99" s="135">
        <v>46155</v>
      </c>
      <c r="C99" s="136" t="s">
        <v>208</v>
      </c>
      <c r="D99" s="137">
        <v>14</v>
      </c>
      <c r="E99" s="194">
        <v>0</v>
      </c>
      <c r="F99" s="194">
        <v>0</v>
      </c>
      <c r="G99" s="194">
        <v>0</v>
      </c>
      <c r="H99" s="194">
        <v>0</v>
      </c>
      <c r="I99" s="194">
        <v>0</v>
      </c>
      <c r="J99" s="113">
        <f t="shared" si="7"/>
        <v>0</v>
      </c>
      <c r="K99" s="195">
        <v>0</v>
      </c>
      <c r="L99" s="195">
        <v>0</v>
      </c>
      <c r="M99" s="195">
        <v>0</v>
      </c>
      <c r="N99" s="195">
        <v>0</v>
      </c>
      <c r="O99" s="195">
        <v>0</v>
      </c>
      <c r="P99" s="195">
        <v>0</v>
      </c>
      <c r="Q99" s="195">
        <v>0</v>
      </c>
      <c r="R99" s="195">
        <v>0</v>
      </c>
      <c r="S99" s="195">
        <v>56377361</v>
      </c>
      <c r="T99" s="114">
        <f t="shared" si="8"/>
        <v>56377361</v>
      </c>
      <c r="U99" s="196">
        <v>0</v>
      </c>
      <c r="V99" s="196">
        <v>0</v>
      </c>
      <c r="W99" s="115">
        <f t="shared" si="9"/>
        <v>56377361</v>
      </c>
      <c r="X99" s="116">
        <f>'SUIVI 2026'!M98</f>
        <v>56377361</v>
      </c>
      <c r="Y99" s="117">
        <f t="shared" si="10"/>
        <v>0</v>
      </c>
      <c r="Z99" s="138"/>
      <c r="AA99" s="178">
        <f t="shared" si="11"/>
        <v>0</v>
      </c>
      <c r="AB99" s="179">
        <f t="shared" si="12"/>
        <v>0</v>
      </c>
      <c r="AC99" s="178">
        <f>SUM(AA5:AA99)</f>
        <v>0</v>
      </c>
      <c r="AD99" s="179">
        <f>SUM(AB5:AB99)</f>
        <v>0</v>
      </c>
      <c r="AE99" s="180">
        <f t="shared" si="13"/>
        <v>0</v>
      </c>
    </row>
    <row r="100" spans="1:31" ht="15.95" customHeight="1" x14ac:dyDescent="0.25">
      <c r="A100" s="134">
        <v>96</v>
      </c>
      <c r="B100" s="135">
        <v>46156</v>
      </c>
      <c r="C100" s="136" t="s">
        <v>204</v>
      </c>
      <c r="D100" s="137">
        <v>14</v>
      </c>
      <c r="E100" s="194">
        <v>0</v>
      </c>
      <c r="F100" s="194">
        <v>0</v>
      </c>
      <c r="G100" s="194">
        <v>0</v>
      </c>
      <c r="H100" s="194">
        <v>0</v>
      </c>
      <c r="I100" s="194">
        <v>0</v>
      </c>
      <c r="J100" s="113">
        <f t="shared" si="7"/>
        <v>0</v>
      </c>
      <c r="K100" s="195">
        <v>0</v>
      </c>
      <c r="L100" s="195">
        <v>0</v>
      </c>
      <c r="M100" s="195">
        <v>0</v>
      </c>
      <c r="N100" s="195">
        <v>0</v>
      </c>
      <c r="O100" s="195">
        <v>0</v>
      </c>
      <c r="P100" s="195">
        <v>0</v>
      </c>
      <c r="Q100" s="195">
        <v>0</v>
      </c>
      <c r="R100" s="195">
        <v>0</v>
      </c>
      <c r="S100" s="195">
        <v>56377361</v>
      </c>
      <c r="T100" s="114">
        <f t="shared" si="8"/>
        <v>56377361</v>
      </c>
      <c r="U100" s="196">
        <v>0</v>
      </c>
      <c r="V100" s="196">
        <v>0</v>
      </c>
      <c r="W100" s="115">
        <f t="shared" si="9"/>
        <v>56377361</v>
      </c>
      <c r="X100" s="116">
        <f>'SUIVI 2026'!M99</f>
        <v>56377361</v>
      </c>
      <c r="Y100" s="117">
        <f t="shared" si="10"/>
        <v>0</v>
      </c>
      <c r="Z100" s="138"/>
      <c r="AA100" s="181">
        <f t="shared" si="11"/>
        <v>0</v>
      </c>
      <c r="AB100" s="182">
        <f t="shared" si="12"/>
        <v>0</v>
      </c>
      <c r="AC100" s="181">
        <f>SUM(AA5:AA100)</f>
        <v>0</v>
      </c>
      <c r="AD100" s="182">
        <f>SUM(AB5:AB100)</f>
        <v>0</v>
      </c>
      <c r="AE100" s="183">
        <f t="shared" si="13"/>
        <v>0</v>
      </c>
    </row>
    <row r="101" spans="1:31" ht="15.95" customHeight="1" x14ac:dyDescent="0.25">
      <c r="A101" s="134">
        <v>97</v>
      </c>
      <c r="B101" s="135">
        <v>46157</v>
      </c>
      <c r="C101" s="136" t="s">
        <v>205</v>
      </c>
      <c r="D101" s="137">
        <v>14</v>
      </c>
      <c r="E101" s="194">
        <v>0</v>
      </c>
      <c r="F101" s="194">
        <v>0</v>
      </c>
      <c r="G101" s="194">
        <v>0</v>
      </c>
      <c r="H101" s="194">
        <v>0</v>
      </c>
      <c r="I101" s="194">
        <v>0</v>
      </c>
      <c r="J101" s="113">
        <f t="shared" si="7"/>
        <v>0</v>
      </c>
      <c r="K101" s="195">
        <v>0</v>
      </c>
      <c r="L101" s="195">
        <v>0</v>
      </c>
      <c r="M101" s="195">
        <v>0</v>
      </c>
      <c r="N101" s="195">
        <v>0</v>
      </c>
      <c r="O101" s="195">
        <v>0</v>
      </c>
      <c r="P101" s="195">
        <v>0</v>
      </c>
      <c r="Q101" s="195">
        <v>0</v>
      </c>
      <c r="R101" s="195">
        <v>0</v>
      </c>
      <c r="S101" s="195">
        <v>56377361</v>
      </c>
      <c r="T101" s="114">
        <f t="shared" si="8"/>
        <v>56377361</v>
      </c>
      <c r="U101" s="196">
        <v>0</v>
      </c>
      <c r="V101" s="196">
        <v>0</v>
      </c>
      <c r="W101" s="115">
        <f t="shared" si="9"/>
        <v>56377361</v>
      </c>
      <c r="X101" s="116">
        <f>'SUIVI 2026'!M100</f>
        <v>56377361</v>
      </c>
      <c r="Y101" s="117">
        <f t="shared" si="10"/>
        <v>0</v>
      </c>
      <c r="Z101" s="138"/>
      <c r="AA101" s="178">
        <f t="shared" si="11"/>
        <v>0</v>
      </c>
      <c r="AB101" s="179">
        <f t="shared" si="12"/>
        <v>0</v>
      </c>
      <c r="AC101" s="178">
        <f>SUM(AA5:AA101)</f>
        <v>0</v>
      </c>
      <c r="AD101" s="179">
        <f>SUM(AB5:AB101)</f>
        <v>0</v>
      </c>
      <c r="AE101" s="180">
        <f t="shared" si="13"/>
        <v>0</v>
      </c>
    </row>
    <row r="102" spans="1:31" ht="15.95" customHeight="1" x14ac:dyDescent="0.25">
      <c r="A102" s="134">
        <v>98</v>
      </c>
      <c r="B102" s="135">
        <v>46160</v>
      </c>
      <c r="C102" s="136" t="s">
        <v>206</v>
      </c>
      <c r="D102" s="137">
        <v>14</v>
      </c>
      <c r="E102" s="194">
        <v>0</v>
      </c>
      <c r="F102" s="194">
        <v>0</v>
      </c>
      <c r="G102" s="194">
        <v>0</v>
      </c>
      <c r="H102" s="194">
        <v>0</v>
      </c>
      <c r="I102" s="194">
        <v>0</v>
      </c>
      <c r="J102" s="113">
        <f t="shared" si="7"/>
        <v>0</v>
      </c>
      <c r="K102" s="195">
        <v>0</v>
      </c>
      <c r="L102" s="195">
        <v>0</v>
      </c>
      <c r="M102" s="195">
        <v>0</v>
      </c>
      <c r="N102" s="195">
        <v>0</v>
      </c>
      <c r="O102" s="195">
        <v>0</v>
      </c>
      <c r="P102" s="195">
        <v>0</v>
      </c>
      <c r="Q102" s="195">
        <v>0</v>
      </c>
      <c r="R102" s="195">
        <v>0</v>
      </c>
      <c r="S102" s="195">
        <v>56377361</v>
      </c>
      <c r="T102" s="114">
        <f t="shared" si="8"/>
        <v>56377361</v>
      </c>
      <c r="U102" s="196">
        <v>0</v>
      </c>
      <c r="V102" s="196">
        <v>0</v>
      </c>
      <c r="W102" s="115">
        <f t="shared" si="9"/>
        <v>56377361</v>
      </c>
      <c r="X102" s="116">
        <f>'SUIVI 2026'!M101</f>
        <v>56377361</v>
      </c>
      <c r="Y102" s="117">
        <f t="shared" si="10"/>
        <v>0</v>
      </c>
      <c r="Z102" s="138"/>
      <c r="AA102" s="181">
        <f t="shared" si="11"/>
        <v>0</v>
      </c>
      <c r="AB102" s="182">
        <f t="shared" si="12"/>
        <v>0</v>
      </c>
      <c r="AC102" s="181">
        <f>SUM(AA5:AA102)</f>
        <v>0</v>
      </c>
      <c r="AD102" s="182">
        <f>SUM(AB5:AB102)</f>
        <v>0</v>
      </c>
      <c r="AE102" s="183">
        <f t="shared" si="13"/>
        <v>0</v>
      </c>
    </row>
    <row r="103" spans="1:31" ht="15.95" customHeight="1" x14ac:dyDescent="0.25">
      <c r="A103" s="134">
        <v>99</v>
      </c>
      <c r="B103" s="135">
        <v>46161</v>
      </c>
      <c r="C103" s="136" t="s">
        <v>207</v>
      </c>
      <c r="D103" s="137">
        <v>14</v>
      </c>
      <c r="E103" s="194">
        <v>0</v>
      </c>
      <c r="F103" s="194">
        <v>0</v>
      </c>
      <c r="G103" s="194">
        <v>0</v>
      </c>
      <c r="H103" s="194">
        <v>0</v>
      </c>
      <c r="I103" s="194">
        <v>0</v>
      </c>
      <c r="J103" s="113">
        <f t="shared" si="7"/>
        <v>0</v>
      </c>
      <c r="K103" s="195">
        <v>0</v>
      </c>
      <c r="L103" s="195">
        <v>0</v>
      </c>
      <c r="M103" s="195">
        <v>0</v>
      </c>
      <c r="N103" s="195">
        <v>0</v>
      </c>
      <c r="O103" s="195">
        <v>0</v>
      </c>
      <c r="P103" s="195">
        <v>0</v>
      </c>
      <c r="Q103" s="195">
        <v>0</v>
      </c>
      <c r="R103" s="195">
        <v>0</v>
      </c>
      <c r="S103" s="195">
        <v>56377361</v>
      </c>
      <c r="T103" s="114">
        <f t="shared" si="8"/>
        <v>56377361</v>
      </c>
      <c r="U103" s="196">
        <v>0</v>
      </c>
      <c r="V103" s="196">
        <v>0</v>
      </c>
      <c r="W103" s="115">
        <f t="shared" si="9"/>
        <v>56377361</v>
      </c>
      <c r="X103" s="116">
        <f>'SUIVI 2026'!M102</f>
        <v>56377361</v>
      </c>
      <c r="Y103" s="117">
        <f t="shared" si="10"/>
        <v>0</v>
      </c>
      <c r="Z103" s="138"/>
      <c r="AA103" s="178">
        <f t="shared" si="11"/>
        <v>0</v>
      </c>
      <c r="AB103" s="179">
        <f t="shared" si="12"/>
        <v>0</v>
      </c>
      <c r="AC103" s="178">
        <f>SUM(AA5:AA103)</f>
        <v>0</v>
      </c>
      <c r="AD103" s="179">
        <f>SUM(AB5:AB103)</f>
        <v>0</v>
      </c>
      <c r="AE103" s="180">
        <f t="shared" si="13"/>
        <v>0</v>
      </c>
    </row>
    <row r="104" spans="1:31" ht="15.95" customHeight="1" x14ac:dyDescent="0.25">
      <c r="A104" s="134">
        <v>100</v>
      </c>
      <c r="B104" s="135">
        <v>46162</v>
      </c>
      <c r="C104" s="136" t="s">
        <v>208</v>
      </c>
      <c r="D104" s="137">
        <v>14</v>
      </c>
      <c r="E104" s="194">
        <v>0</v>
      </c>
      <c r="F104" s="194">
        <v>0</v>
      </c>
      <c r="G104" s="194">
        <v>0</v>
      </c>
      <c r="H104" s="194">
        <v>0</v>
      </c>
      <c r="I104" s="194">
        <v>0</v>
      </c>
      <c r="J104" s="113">
        <f t="shared" si="7"/>
        <v>0</v>
      </c>
      <c r="K104" s="195">
        <v>0</v>
      </c>
      <c r="L104" s="195">
        <v>0</v>
      </c>
      <c r="M104" s="195">
        <v>0</v>
      </c>
      <c r="N104" s="195">
        <v>0</v>
      </c>
      <c r="O104" s="195">
        <v>0</v>
      </c>
      <c r="P104" s="195">
        <v>0</v>
      </c>
      <c r="Q104" s="195">
        <v>0</v>
      </c>
      <c r="R104" s="195">
        <v>0</v>
      </c>
      <c r="S104" s="195">
        <v>56377361</v>
      </c>
      <c r="T104" s="114">
        <f t="shared" si="8"/>
        <v>56377361</v>
      </c>
      <c r="U104" s="196">
        <v>0</v>
      </c>
      <c r="V104" s="196">
        <v>0</v>
      </c>
      <c r="W104" s="115">
        <f t="shared" si="9"/>
        <v>56377361</v>
      </c>
      <c r="X104" s="116">
        <f>'SUIVI 2026'!M103</f>
        <v>56377361</v>
      </c>
      <c r="Y104" s="117">
        <f t="shared" si="10"/>
        <v>0</v>
      </c>
      <c r="Z104" s="138"/>
      <c r="AA104" s="181">
        <f t="shared" si="11"/>
        <v>0</v>
      </c>
      <c r="AB104" s="182">
        <f t="shared" si="12"/>
        <v>0</v>
      </c>
      <c r="AC104" s="181">
        <f>SUM(AA5:AA104)</f>
        <v>0</v>
      </c>
      <c r="AD104" s="182">
        <f>SUM(AB5:AB104)</f>
        <v>0</v>
      </c>
      <c r="AE104" s="183">
        <f t="shared" si="13"/>
        <v>0</v>
      </c>
    </row>
    <row r="105" spans="1:31" ht="15.95" customHeight="1" x14ac:dyDescent="0.25">
      <c r="A105" s="134">
        <v>101</v>
      </c>
      <c r="B105" s="135">
        <v>46163</v>
      </c>
      <c r="C105" s="136" t="s">
        <v>204</v>
      </c>
      <c r="D105" s="137">
        <v>15</v>
      </c>
      <c r="E105" s="194">
        <v>0</v>
      </c>
      <c r="F105" s="194">
        <v>0</v>
      </c>
      <c r="G105" s="194">
        <v>0</v>
      </c>
      <c r="H105" s="194">
        <v>0</v>
      </c>
      <c r="I105" s="194">
        <v>0</v>
      </c>
      <c r="J105" s="113">
        <f t="shared" si="7"/>
        <v>0</v>
      </c>
      <c r="K105" s="195">
        <v>0</v>
      </c>
      <c r="L105" s="195">
        <v>0</v>
      </c>
      <c r="M105" s="195">
        <v>0</v>
      </c>
      <c r="N105" s="195">
        <v>0</v>
      </c>
      <c r="O105" s="195">
        <v>0</v>
      </c>
      <c r="P105" s="195">
        <v>0</v>
      </c>
      <c r="Q105" s="195">
        <v>0</v>
      </c>
      <c r="R105" s="195">
        <v>0</v>
      </c>
      <c r="S105" s="195">
        <v>56377361</v>
      </c>
      <c r="T105" s="114">
        <f t="shared" si="8"/>
        <v>56377361</v>
      </c>
      <c r="U105" s="196">
        <v>0</v>
      </c>
      <c r="V105" s="196">
        <v>0</v>
      </c>
      <c r="W105" s="115">
        <f t="shared" si="9"/>
        <v>56377361</v>
      </c>
      <c r="X105" s="116">
        <f>'SUIVI 2026'!M104</f>
        <v>56377361</v>
      </c>
      <c r="Y105" s="117">
        <f t="shared" si="10"/>
        <v>0</v>
      </c>
      <c r="Z105" s="138"/>
      <c r="AA105" s="178">
        <f t="shared" si="11"/>
        <v>0</v>
      </c>
      <c r="AB105" s="179">
        <f t="shared" si="12"/>
        <v>0</v>
      </c>
      <c r="AC105" s="178">
        <f>SUM(AA5:AA105)</f>
        <v>0</v>
      </c>
      <c r="AD105" s="179">
        <f>SUM(AB5:AB105)</f>
        <v>0</v>
      </c>
      <c r="AE105" s="180">
        <f t="shared" si="13"/>
        <v>0</v>
      </c>
    </row>
    <row r="106" spans="1:31" ht="15.95" customHeight="1" x14ac:dyDescent="0.25">
      <c r="A106" s="134">
        <v>102</v>
      </c>
      <c r="B106" s="135">
        <v>46164</v>
      </c>
      <c r="C106" s="136" t="s">
        <v>205</v>
      </c>
      <c r="D106" s="137">
        <v>15</v>
      </c>
      <c r="E106" s="194">
        <v>0</v>
      </c>
      <c r="F106" s="194">
        <v>0</v>
      </c>
      <c r="G106" s="194">
        <v>0</v>
      </c>
      <c r="H106" s="194">
        <v>0</v>
      </c>
      <c r="I106" s="194">
        <v>0</v>
      </c>
      <c r="J106" s="113">
        <f t="shared" si="7"/>
        <v>0</v>
      </c>
      <c r="K106" s="195">
        <v>0</v>
      </c>
      <c r="L106" s="195">
        <v>0</v>
      </c>
      <c r="M106" s="195">
        <v>0</v>
      </c>
      <c r="N106" s="195">
        <v>0</v>
      </c>
      <c r="O106" s="195">
        <v>0</v>
      </c>
      <c r="P106" s="195">
        <v>0</v>
      </c>
      <c r="Q106" s="195">
        <v>0</v>
      </c>
      <c r="R106" s="195">
        <v>0</v>
      </c>
      <c r="S106" s="195">
        <v>56377361</v>
      </c>
      <c r="T106" s="114">
        <f t="shared" si="8"/>
        <v>56377361</v>
      </c>
      <c r="U106" s="196">
        <v>0</v>
      </c>
      <c r="V106" s="196">
        <v>0</v>
      </c>
      <c r="W106" s="115">
        <f t="shared" si="9"/>
        <v>56377361</v>
      </c>
      <c r="X106" s="116">
        <f>'SUIVI 2026'!M105</f>
        <v>56377361</v>
      </c>
      <c r="Y106" s="117">
        <f t="shared" si="10"/>
        <v>0</v>
      </c>
      <c r="Z106" s="138"/>
      <c r="AA106" s="181">
        <f t="shared" si="11"/>
        <v>0</v>
      </c>
      <c r="AB106" s="182">
        <f t="shared" si="12"/>
        <v>0</v>
      </c>
      <c r="AC106" s="181">
        <f>SUM(AA5:AA106)</f>
        <v>0</v>
      </c>
      <c r="AD106" s="182">
        <f>SUM(AB5:AB106)</f>
        <v>0</v>
      </c>
      <c r="AE106" s="183">
        <f t="shared" si="13"/>
        <v>0</v>
      </c>
    </row>
    <row r="107" spans="1:31" ht="15.95" customHeight="1" x14ac:dyDescent="0.25">
      <c r="A107" s="134">
        <v>103</v>
      </c>
      <c r="B107" s="135">
        <v>46167</v>
      </c>
      <c r="C107" s="136" t="s">
        <v>206</v>
      </c>
      <c r="D107" s="137">
        <v>15</v>
      </c>
      <c r="E107" s="194">
        <v>0</v>
      </c>
      <c r="F107" s="194">
        <v>0</v>
      </c>
      <c r="G107" s="194">
        <v>0</v>
      </c>
      <c r="H107" s="194">
        <v>0</v>
      </c>
      <c r="I107" s="194">
        <v>0</v>
      </c>
      <c r="J107" s="113">
        <f t="shared" si="7"/>
        <v>0</v>
      </c>
      <c r="K107" s="195">
        <v>0</v>
      </c>
      <c r="L107" s="195">
        <v>0</v>
      </c>
      <c r="M107" s="195">
        <v>0</v>
      </c>
      <c r="N107" s="195">
        <v>0</v>
      </c>
      <c r="O107" s="195">
        <v>0</v>
      </c>
      <c r="P107" s="195">
        <v>0</v>
      </c>
      <c r="Q107" s="195">
        <v>0</v>
      </c>
      <c r="R107" s="195">
        <v>0</v>
      </c>
      <c r="S107" s="195">
        <v>56377361</v>
      </c>
      <c r="T107" s="114">
        <f t="shared" si="8"/>
        <v>56377361</v>
      </c>
      <c r="U107" s="196">
        <v>0</v>
      </c>
      <c r="V107" s="196">
        <v>0</v>
      </c>
      <c r="W107" s="115">
        <f t="shared" si="9"/>
        <v>56377361</v>
      </c>
      <c r="X107" s="116">
        <f>'SUIVI 2026'!M106</f>
        <v>56377361</v>
      </c>
      <c r="Y107" s="117">
        <f t="shared" si="10"/>
        <v>0</v>
      </c>
      <c r="Z107" s="138"/>
      <c r="AA107" s="178">
        <f t="shared" si="11"/>
        <v>0</v>
      </c>
      <c r="AB107" s="179">
        <f t="shared" si="12"/>
        <v>0</v>
      </c>
      <c r="AC107" s="178">
        <f>SUM(AA5:AA107)</f>
        <v>0</v>
      </c>
      <c r="AD107" s="179">
        <f>SUM(AB5:AB107)</f>
        <v>0</v>
      </c>
      <c r="AE107" s="180">
        <f t="shared" si="13"/>
        <v>0</v>
      </c>
    </row>
    <row r="108" spans="1:31" ht="15.95" customHeight="1" x14ac:dyDescent="0.25">
      <c r="A108" s="134">
        <v>104</v>
      </c>
      <c r="B108" s="135">
        <v>46168</v>
      </c>
      <c r="C108" s="136" t="s">
        <v>207</v>
      </c>
      <c r="D108" s="137">
        <v>15</v>
      </c>
      <c r="E108" s="194">
        <v>42470000</v>
      </c>
      <c r="F108" s="194">
        <v>10175000</v>
      </c>
      <c r="G108" s="194">
        <v>44000</v>
      </c>
      <c r="H108" s="194">
        <v>8000</v>
      </c>
      <c r="I108" s="194">
        <v>4500</v>
      </c>
      <c r="J108" s="113">
        <f t="shared" si="7"/>
        <v>52701500</v>
      </c>
      <c r="K108" s="195">
        <v>0</v>
      </c>
      <c r="L108" s="195">
        <v>250</v>
      </c>
      <c r="M108" s="195">
        <v>0</v>
      </c>
      <c r="N108" s="195">
        <v>600</v>
      </c>
      <c r="O108" s="195">
        <v>100</v>
      </c>
      <c r="P108" s="195">
        <v>250</v>
      </c>
      <c r="Q108" s="195">
        <v>20</v>
      </c>
      <c r="R108" s="195">
        <v>0</v>
      </c>
      <c r="S108" s="195">
        <v>4254897</v>
      </c>
      <c r="T108" s="114">
        <f t="shared" si="8"/>
        <v>4256117</v>
      </c>
      <c r="U108" s="196">
        <v>0</v>
      </c>
      <c r="V108" s="196">
        <v>29500</v>
      </c>
      <c r="W108" s="115">
        <f t="shared" si="9"/>
        <v>56987117</v>
      </c>
      <c r="X108" s="116">
        <f>'SUIVI 2026'!M107</f>
        <v>56981985</v>
      </c>
      <c r="Y108" s="117">
        <f t="shared" si="10"/>
        <v>5132</v>
      </c>
      <c r="Z108" s="138"/>
      <c r="AA108" s="181">
        <f t="shared" si="11"/>
        <v>5132</v>
      </c>
      <c r="AB108" s="182">
        <f t="shared" si="12"/>
        <v>0</v>
      </c>
      <c r="AC108" s="181">
        <f>SUM(AA5:AA108)</f>
        <v>5132</v>
      </c>
      <c r="AD108" s="182">
        <f>SUM(AB5:AB108)</f>
        <v>0</v>
      </c>
      <c r="AE108" s="183">
        <f t="shared" si="13"/>
        <v>5132</v>
      </c>
    </row>
    <row r="109" spans="1:31" ht="15.95" customHeight="1" x14ac:dyDescent="0.25">
      <c r="A109" s="134">
        <v>105</v>
      </c>
      <c r="B109" s="135">
        <v>46169</v>
      </c>
      <c r="C109" s="136" t="s">
        <v>208</v>
      </c>
      <c r="D109" s="137">
        <v>15</v>
      </c>
      <c r="E109" s="194">
        <v>42470000</v>
      </c>
      <c r="F109" s="194">
        <v>10175000</v>
      </c>
      <c r="G109" s="194">
        <v>44000</v>
      </c>
      <c r="H109" s="194">
        <v>3000</v>
      </c>
      <c r="I109" s="194">
        <v>4500</v>
      </c>
      <c r="J109" s="113">
        <f t="shared" si="7"/>
        <v>52696500</v>
      </c>
      <c r="K109" s="195">
        <v>0</v>
      </c>
      <c r="L109" s="195">
        <v>250</v>
      </c>
      <c r="M109" s="195">
        <v>0</v>
      </c>
      <c r="N109" s="195">
        <v>600</v>
      </c>
      <c r="O109" s="195">
        <v>100</v>
      </c>
      <c r="P109" s="195">
        <v>118</v>
      </c>
      <c r="Q109" s="195">
        <v>20</v>
      </c>
      <c r="R109" s="195">
        <v>0</v>
      </c>
      <c r="S109" s="195">
        <v>4254897</v>
      </c>
      <c r="T109" s="114">
        <f t="shared" si="8"/>
        <v>4255985</v>
      </c>
      <c r="U109" s="196">
        <v>0</v>
      </c>
      <c r="V109" s="196">
        <v>29500</v>
      </c>
      <c r="W109" s="115">
        <f t="shared" si="9"/>
        <v>56981985</v>
      </c>
      <c r="X109" s="116">
        <f>'SUIVI 2026'!M108</f>
        <v>56981985</v>
      </c>
      <c r="Y109" s="117">
        <f t="shared" si="10"/>
        <v>0</v>
      </c>
      <c r="Z109" s="138"/>
      <c r="AA109" s="178">
        <f t="shared" si="11"/>
        <v>0</v>
      </c>
      <c r="AB109" s="179">
        <f t="shared" si="12"/>
        <v>0</v>
      </c>
      <c r="AC109" s="178">
        <f>SUM(AA5:AA109)</f>
        <v>5132</v>
      </c>
      <c r="AD109" s="179">
        <f>SUM(AB5:AB109)</f>
        <v>0</v>
      </c>
      <c r="AE109" s="180">
        <f t="shared" si="13"/>
        <v>5132</v>
      </c>
    </row>
    <row r="110" spans="1:31" ht="15.95" customHeight="1" x14ac:dyDescent="0.25">
      <c r="A110" s="134">
        <v>106</v>
      </c>
      <c r="B110" s="135">
        <v>46170</v>
      </c>
      <c r="C110" s="136" t="s">
        <v>204</v>
      </c>
      <c r="D110" s="137">
        <v>15</v>
      </c>
      <c r="E110" s="194">
        <v>42000000</v>
      </c>
      <c r="F110" s="194">
        <v>10175000</v>
      </c>
      <c r="G110" s="194">
        <v>12000</v>
      </c>
      <c r="H110" s="194">
        <v>8000</v>
      </c>
      <c r="I110" s="194">
        <v>4500</v>
      </c>
      <c r="J110" s="113">
        <f t="shared" si="7"/>
        <v>52199500</v>
      </c>
      <c r="K110" s="195">
        <v>0</v>
      </c>
      <c r="L110" s="195">
        <v>250</v>
      </c>
      <c r="M110" s="195">
        <v>0</v>
      </c>
      <c r="N110" s="195">
        <v>0</v>
      </c>
      <c r="O110" s="195">
        <v>100</v>
      </c>
      <c r="P110" s="195">
        <v>215</v>
      </c>
      <c r="Q110" s="195">
        <v>20</v>
      </c>
      <c r="R110" s="195">
        <v>0</v>
      </c>
      <c r="S110" s="195">
        <v>4254897</v>
      </c>
      <c r="T110" s="114">
        <f t="shared" si="8"/>
        <v>4255482</v>
      </c>
      <c r="U110" s="196">
        <v>0</v>
      </c>
      <c r="V110" s="196">
        <v>29500</v>
      </c>
      <c r="W110" s="115">
        <f t="shared" si="9"/>
        <v>56484482</v>
      </c>
      <c r="X110" s="116">
        <f>'SUIVI 2026'!M109</f>
        <v>56484482</v>
      </c>
      <c r="Y110" s="117">
        <f t="shared" si="10"/>
        <v>0</v>
      </c>
      <c r="Z110" s="138"/>
      <c r="AA110" s="181">
        <f t="shared" si="11"/>
        <v>0</v>
      </c>
      <c r="AB110" s="182">
        <f t="shared" si="12"/>
        <v>0</v>
      </c>
      <c r="AC110" s="181">
        <f>SUM(AA5:AA110)</f>
        <v>5132</v>
      </c>
      <c r="AD110" s="182">
        <f>SUM(AB5:AB110)</f>
        <v>0</v>
      </c>
      <c r="AE110" s="183">
        <f t="shared" si="13"/>
        <v>5132</v>
      </c>
    </row>
    <row r="111" spans="1:31" ht="15.95" customHeight="1" x14ac:dyDescent="0.25">
      <c r="A111" s="134">
        <v>107</v>
      </c>
      <c r="B111" s="135">
        <v>46171</v>
      </c>
      <c r="C111" s="136" t="s">
        <v>205</v>
      </c>
      <c r="D111" s="137">
        <v>15</v>
      </c>
      <c r="E111" s="194">
        <v>0</v>
      </c>
      <c r="F111" s="194">
        <v>0</v>
      </c>
      <c r="G111" s="194">
        <v>0</v>
      </c>
      <c r="H111" s="194">
        <v>0</v>
      </c>
      <c r="I111" s="194">
        <v>0</v>
      </c>
      <c r="J111" s="113">
        <f t="shared" si="7"/>
        <v>0</v>
      </c>
      <c r="K111" s="195">
        <v>0</v>
      </c>
      <c r="L111" s="195">
        <v>0</v>
      </c>
      <c r="M111" s="195">
        <v>0</v>
      </c>
      <c r="N111" s="195">
        <v>0</v>
      </c>
      <c r="O111" s="195">
        <v>0</v>
      </c>
      <c r="P111" s="195">
        <v>0</v>
      </c>
      <c r="Q111" s="195">
        <v>0</v>
      </c>
      <c r="R111" s="195">
        <v>0</v>
      </c>
      <c r="S111" s="195">
        <v>0</v>
      </c>
      <c r="T111" s="114">
        <f t="shared" si="8"/>
        <v>0</v>
      </c>
      <c r="U111" s="196">
        <v>0</v>
      </c>
      <c r="V111" s="196">
        <v>0</v>
      </c>
      <c r="W111" s="115">
        <f t="shared" si="9"/>
        <v>0</v>
      </c>
      <c r="X111" s="116">
        <f>'SUIVI 2026'!M110</f>
        <v>56484482</v>
      </c>
      <c r="Y111" s="117">
        <f t="shared" si="10"/>
        <v>-56484482</v>
      </c>
      <c r="Z111" s="138"/>
      <c r="AA111" s="178">
        <f t="shared" si="11"/>
        <v>0</v>
      </c>
      <c r="AB111" s="179">
        <f t="shared" si="12"/>
        <v>-56484482</v>
      </c>
      <c r="AC111" s="178">
        <f>SUM(AA5:AA111)</f>
        <v>5132</v>
      </c>
      <c r="AD111" s="179">
        <f>SUM(AB5:AB111)</f>
        <v>-56484482</v>
      </c>
      <c r="AE111" s="180">
        <f t="shared" si="13"/>
        <v>-56479350</v>
      </c>
    </row>
    <row r="112" spans="1:31" ht="15.95" customHeight="1" x14ac:dyDescent="0.25">
      <c r="A112" s="139">
        <v>108</v>
      </c>
      <c r="B112" s="140">
        <v>46174</v>
      </c>
      <c r="C112" s="141" t="s">
        <v>206</v>
      </c>
      <c r="D112" s="142">
        <v>16</v>
      </c>
      <c r="E112" s="194">
        <v>0</v>
      </c>
      <c r="F112" s="194">
        <v>0</v>
      </c>
      <c r="G112" s="194">
        <v>0</v>
      </c>
      <c r="H112" s="194">
        <v>0</v>
      </c>
      <c r="I112" s="194">
        <v>0</v>
      </c>
      <c r="J112" s="113">
        <f t="shared" si="7"/>
        <v>0</v>
      </c>
      <c r="K112" s="195">
        <v>0</v>
      </c>
      <c r="L112" s="195">
        <v>0</v>
      </c>
      <c r="M112" s="195">
        <v>0</v>
      </c>
      <c r="N112" s="195">
        <v>0</v>
      </c>
      <c r="O112" s="195">
        <v>0</v>
      </c>
      <c r="P112" s="195">
        <v>0</v>
      </c>
      <c r="Q112" s="195">
        <v>0</v>
      </c>
      <c r="R112" s="195">
        <v>0</v>
      </c>
      <c r="S112" s="195">
        <v>0</v>
      </c>
      <c r="T112" s="114">
        <f t="shared" si="8"/>
        <v>0</v>
      </c>
      <c r="U112" s="196">
        <v>0</v>
      </c>
      <c r="V112" s="196">
        <v>0</v>
      </c>
      <c r="W112" s="115">
        <f t="shared" si="9"/>
        <v>0</v>
      </c>
      <c r="X112" s="116">
        <f>'SUIVI 2026'!M111</f>
        <v>56484482</v>
      </c>
      <c r="Y112" s="117">
        <f t="shared" si="10"/>
        <v>-56484482</v>
      </c>
      <c r="Z112" s="143"/>
      <c r="AA112" s="181">
        <f t="shared" si="11"/>
        <v>0</v>
      </c>
      <c r="AB112" s="182">
        <f t="shared" si="12"/>
        <v>-56484482</v>
      </c>
      <c r="AC112" s="181">
        <f>SUM(AA5:AA112)</f>
        <v>5132</v>
      </c>
      <c r="AD112" s="182">
        <f>SUM(AB5:AB112)</f>
        <v>-112968964</v>
      </c>
      <c r="AE112" s="183">
        <f t="shared" si="13"/>
        <v>-112963832</v>
      </c>
    </row>
    <row r="113" spans="1:31" ht="15.95" customHeight="1" x14ac:dyDescent="0.25">
      <c r="A113" s="139">
        <v>109</v>
      </c>
      <c r="B113" s="140">
        <v>46175</v>
      </c>
      <c r="C113" s="141" t="s">
        <v>207</v>
      </c>
      <c r="D113" s="142">
        <v>16</v>
      </c>
      <c r="E113" s="194">
        <v>0</v>
      </c>
      <c r="F113" s="194">
        <v>0</v>
      </c>
      <c r="G113" s="194">
        <v>0</v>
      </c>
      <c r="H113" s="194">
        <v>0</v>
      </c>
      <c r="I113" s="194">
        <v>0</v>
      </c>
      <c r="J113" s="113">
        <f t="shared" si="7"/>
        <v>0</v>
      </c>
      <c r="K113" s="195">
        <v>0</v>
      </c>
      <c r="L113" s="195">
        <v>0</v>
      </c>
      <c r="M113" s="195">
        <v>0</v>
      </c>
      <c r="N113" s="195">
        <v>0</v>
      </c>
      <c r="O113" s="195">
        <v>0</v>
      </c>
      <c r="P113" s="195">
        <v>0</v>
      </c>
      <c r="Q113" s="195">
        <v>0</v>
      </c>
      <c r="R113" s="195">
        <v>0</v>
      </c>
      <c r="S113" s="195">
        <v>0</v>
      </c>
      <c r="T113" s="114">
        <f t="shared" si="8"/>
        <v>0</v>
      </c>
      <c r="U113" s="196">
        <v>0</v>
      </c>
      <c r="V113" s="196">
        <v>0</v>
      </c>
      <c r="W113" s="115">
        <f t="shared" si="9"/>
        <v>0</v>
      </c>
      <c r="X113" s="116">
        <f>'SUIVI 2026'!M112</f>
        <v>56484482</v>
      </c>
      <c r="Y113" s="117">
        <f t="shared" si="10"/>
        <v>-56484482</v>
      </c>
      <c r="Z113" s="143"/>
      <c r="AA113" s="178">
        <f t="shared" si="11"/>
        <v>0</v>
      </c>
      <c r="AB113" s="179">
        <f t="shared" si="12"/>
        <v>-56484482</v>
      </c>
      <c r="AC113" s="178">
        <f>SUM(AA5:AA113)</f>
        <v>5132</v>
      </c>
      <c r="AD113" s="179">
        <f>SUM(AB5:AB113)</f>
        <v>-169453446</v>
      </c>
      <c r="AE113" s="180">
        <f t="shared" si="13"/>
        <v>-169448314</v>
      </c>
    </row>
    <row r="114" spans="1:31" ht="15.95" customHeight="1" x14ac:dyDescent="0.25">
      <c r="A114" s="139">
        <v>110</v>
      </c>
      <c r="B114" s="140">
        <v>46176</v>
      </c>
      <c r="C114" s="141" t="s">
        <v>208</v>
      </c>
      <c r="D114" s="142">
        <v>16</v>
      </c>
      <c r="E114" s="194">
        <v>0</v>
      </c>
      <c r="F114" s="194">
        <v>0</v>
      </c>
      <c r="G114" s="194">
        <v>0</v>
      </c>
      <c r="H114" s="194">
        <v>0</v>
      </c>
      <c r="I114" s="194">
        <v>0</v>
      </c>
      <c r="J114" s="113">
        <f t="shared" si="7"/>
        <v>0</v>
      </c>
      <c r="K114" s="195">
        <v>0</v>
      </c>
      <c r="L114" s="195">
        <v>0</v>
      </c>
      <c r="M114" s="195">
        <v>0</v>
      </c>
      <c r="N114" s="195">
        <v>0</v>
      </c>
      <c r="O114" s="195">
        <v>0</v>
      </c>
      <c r="P114" s="195">
        <v>0</v>
      </c>
      <c r="Q114" s="195">
        <v>0</v>
      </c>
      <c r="R114" s="195">
        <v>0</v>
      </c>
      <c r="S114" s="195">
        <v>0</v>
      </c>
      <c r="T114" s="114">
        <f t="shared" si="8"/>
        <v>0</v>
      </c>
      <c r="U114" s="196">
        <v>0</v>
      </c>
      <c r="V114" s="196">
        <v>0</v>
      </c>
      <c r="W114" s="115">
        <f t="shared" si="9"/>
        <v>0</v>
      </c>
      <c r="X114" s="116">
        <f>'SUIVI 2026'!M113</f>
        <v>56484482</v>
      </c>
      <c r="Y114" s="117">
        <f t="shared" si="10"/>
        <v>-56484482</v>
      </c>
      <c r="Z114" s="143"/>
      <c r="AA114" s="181">
        <f t="shared" si="11"/>
        <v>0</v>
      </c>
      <c r="AB114" s="182">
        <f t="shared" si="12"/>
        <v>-56484482</v>
      </c>
      <c r="AC114" s="181">
        <f>SUM(AA5:AA114)</f>
        <v>5132</v>
      </c>
      <c r="AD114" s="182">
        <f>SUM(AB5:AB114)</f>
        <v>-225937928</v>
      </c>
      <c r="AE114" s="183">
        <f t="shared" si="13"/>
        <v>-225932796</v>
      </c>
    </row>
    <row r="115" spans="1:31" ht="15.95" customHeight="1" x14ac:dyDescent="0.25">
      <c r="A115" s="139">
        <v>111</v>
      </c>
      <c r="B115" s="140">
        <v>46177</v>
      </c>
      <c r="C115" s="141" t="s">
        <v>204</v>
      </c>
      <c r="D115" s="142">
        <v>16</v>
      </c>
      <c r="E115" s="194">
        <v>0</v>
      </c>
      <c r="F115" s="194">
        <v>0</v>
      </c>
      <c r="G115" s="194">
        <v>0</v>
      </c>
      <c r="H115" s="194">
        <v>0</v>
      </c>
      <c r="I115" s="194">
        <v>0</v>
      </c>
      <c r="J115" s="113">
        <f t="shared" si="7"/>
        <v>0</v>
      </c>
      <c r="K115" s="195">
        <v>0</v>
      </c>
      <c r="L115" s="195">
        <v>0</v>
      </c>
      <c r="M115" s="195">
        <v>0</v>
      </c>
      <c r="N115" s="195">
        <v>0</v>
      </c>
      <c r="O115" s="195">
        <v>0</v>
      </c>
      <c r="P115" s="195">
        <v>0</v>
      </c>
      <c r="Q115" s="195">
        <v>0</v>
      </c>
      <c r="R115" s="195">
        <v>0</v>
      </c>
      <c r="S115" s="195">
        <v>0</v>
      </c>
      <c r="T115" s="114">
        <f t="shared" si="8"/>
        <v>0</v>
      </c>
      <c r="U115" s="196">
        <v>0</v>
      </c>
      <c r="V115" s="196">
        <v>0</v>
      </c>
      <c r="W115" s="115">
        <f t="shared" si="9"/>
        <v>0</v>
      </c>
      <c r="X115" s="116">
        <f>'SUIVI 2026'!M114</f>
        <v>56484482</v>
      </c>
      <c r="Y115" s="117">
        <f t="shared" si="10"/>
        <v>-56484482</v>
      </c>
      <c r="Z115" s="143"/>
      <c r="AA115" s="178">
        <f t="shared" si="11"/>
        <v>0</v>
      </c>
      <c r="AB115" s="179">
        <f t="shared" si="12"/>
        <v>-56484482</v>
      </c>
      <c r="AC115" s="178">
        <f>SUM(AA5:AA115)</f>
        <v>5132</v>
      </c>
      <c r="AD115" s="179">
        <f>SUM(AB5:AB115)</f>
        <v>-282422410</v>
      </c>
      <c r="AE115" s="180">
        <f t="shared" si="13"/>
        <v>-282417278</v>
      </c>
    </row>
    <row r="116" spans="1:31" ht="15.95" customHeight="1" x14ac:dyDescent="0.25">
      <c r="A116" s="139">
        <v>112</v>
      </c>
      <c r="B116" s="140">
        <v>46178</v>
      </c>
      <c r="C116" s="141" t="s">
        <v>205</v>
      </c>
      <c r="D116" s="142">
        <v>16</v>
      </c>
      <c r="E116" s="194">
        <v>0</v>
      </c>
      <c r="F116" s="194">
        <v>0</v>
      </c>
      <c r="G116" s="194">
        <v>0</v>
      </c>
      <c r="H116" s="194">
        <v>0</v>
      </c>
      <c r="I116" s="194">
        <v>0</v>
      </c>
      <c r="J116" s="113">
        <f t="shared" si="7"/>
        <v>0</v>
      </c>
      <c r="K116" s="195">
        <v>0</v>
      </c>
      <c r="L116" s="195">
        <v>0</v>
      </c>
      <c r="M116" s="195">
        <v>0</v>
      </c>
      <c r="N116" s="195">
        <v>0</v>
      </c>
      <c r="O116" s="195">
        <v>0</v>
      </c>
      <c r="P116" s="195">
        <v>0</v>
      </c>
      <c r="Q116" s="195">
        <v>0</v>
      </c>
      <c r="R116" s="195">
        <v>0</v>
      </c>
      <c r="S116" s="195">
        <v>0</v>
      </c>
      <c r="T116" s="114">
        <f t="shared" si="8"/>
        <v>0</v>
      </c>
      <c r="U116" s="196">
        <v>0</v>
      </c>
      <c r="V116" s="196">
        <v>0</v>
      </c>
      <c r="W116" s="115">
        <f t="shared" si="9"/>
        <v>0</v>
      </c>
      <c r="X116" s="116">
        <f>'SUIVI 2026'!M115</f>
        <v>56484482</v>
      </c>
      <c r="Y116" s="117">
        <f t="shared" si="10"/>
        <v>-56484482</v>
      </c>
      <c r="Z116" s="143"/>
      <c r="AA116" s="181">
        <f t="shared" si="11"/>
        <v>0</v>
      </c>
      <c r="AB116" s="182">
        <f t="shared" si="12"/>
        <v>-56484482</v>
      </c>
      <c r="AC116" s="181">
        <f>SUM(AA5:AA116)</f>
        <v>5132</v>
      </c>
      <c r="AD116" s="182">
        <f>SUM(AB5:AB116)</f>
        <v>-338906892</v>
      </c>
      <c r="AE116" s="183">
        <f t="shared" si="13"/>
        <v>-338901760</v>
      </c>
    </row>
    <row r="117" spans="1:31" ht="15.95" customHeight="1" x14ac:dyDescent="0.25">
      <c r="A117" s="139">
        <v>113</v>
      </c>
      <c r="B117" s="140">
        <v>46181</v>
      </c>
      <c r="C117" s="141" t="s">
        <v>206</v>
      </c>
      <c r="D117" s="142">
        <v>16</v>
      </c>
      <c r="E117" s="194">
        <v>0</v>
      </c>
      <c r="F117" s="194">
        <v>0</v>
      </c>
      <c r="G117" s="194">
        <v>0</v>
      </c>
      <c r="H117" s="194">
        <v>0</v>
      </c>
      <c r="I117" s="194">
        <v>0</v>
      </c>
      <c r="J117" s="113">
        <f t="shared" si="7"/>
        <v>0</v>
      </c>
      <c r="K117" s="195">
        <v>0</v>
      </c>
      <c r="L117" s="195">
        <v>0</v>
      </c>
      <c r="M117" s="195">
        <v>0</v>
      </c>
      <c r="N117" s="195">
        <v>0</v>
      </c>
      <c r="O117" s="195">
        <v>0</v>
      </c>
      <c r="P117" s="195">
        <v>0</v>
      </c>
      <c r="Q117" s="195">
        <v>0</v>
      </c>
      <c r="R117" s="195">
        <v>0</v>
      </c>
      <c r="S117" s="195">
        <v>0</v>
      </c>
      <c r="T117" s="114">
        <f t="shared" si="8"/>
        <v>0</v>
      </c>
      <c r="U117" s="196">
        <v>0</v>
      </c>
      <c r="V117" s="196">
        <v>0</v>
      </c>
      <c r="W117" s="115">
        <f t="shared" si="9"/>
        <v>0</v>
      </c>
      <c r="X117" s="116">
        <f>'SUIVI 2026'!M116</f>
        <v>56484482</v>
      </c>
      <c r="Y117" s="117">
        <f t="shared" si="10"/>
        <v>-56484482</v>
      </c>
      <c r="Z117" s="143"/>
      <c r="AA117" s="178">
        <f t="shared" si="11"/>
        <v>0</v>
      </c>
      <c r="AB117" s="179">
        <f t="shared" si="12"/>
        <v>-56484482</v>
      </c>
      <c r="AC117" s="178">
        <f>SUM(AA5:AA117)</f>
        <v>5132</v>
      </c>
      <c r="AD117" s="179">
        <f>SUM(AB5:AB117)</f>
        <v>-395391374</v>
      </c>
      <c r="AE117" s="180">
        <f t="shared" si="13"/>
        <v>-395386242</v>
      </c>
    </row>
    <row r="118" spans="1:31" ht="15.95" customHeight="1" x14ac:dyDescent="0.25">
      <c r="A118" s="139">
        <v>114</v>
      </c>
      <c r="B118" s="140">
        <v>46182</v>
      </c>
      <c r="C118" s="141" t="s">
        <v>207</v>
      </c>
      <c r="D118" s="142">
        <v>16</v>
      </c>
      <c r="E118" s="194">
        <v>0</v>
      </c>
      <c r="F118" s="194">
        <v>0</v>
      </c>
      <c r="G118" s="194">
        <v>0</v>
      </c>
      <c r="H118" s="194">
        <v>0</v>
      </c>
      <c r="I118" s="194">
        <v>0</v>
      </c>
      <c r="J118" s="113">
        <f t="shared" si="7"/>
        <v>0</v>
      </c>
      <c r="K118" s="195">
        <v>0</v>
      </c>
      <c r="L118" s="195">
        <v>0</v>
      </c>
      <c r="M118" s="195">
        <v>0</v>
      </c>
      <c r="N118" s="195">
        <v>0</v>
      </c>
      <c r="O118" s="195">
        <v>0</v>
      </c>
      <c r="P118" s="195">
        <v>0</v>
      </c>
      <c r="Q118" s="195">
        <v>0</v>
      </c>
      <c r="R118" s="195">
        <v>0</v>
      </c>
      <c r="S118" s="195">
        <v>0</v>
      </c>
      <c r="T118" s="114">
        <f t="shared" si="8"/>
        <v>0</v>
      </c>
      <c r="U118" s="196">
        <v>0</v>
      </c>
      <c r="V118" s="196">
        <v>0</v>
      </c>
      <c r="W118" s="115">
        <f t="shared" si="9"/>
        <v>0</v>
      </c>
      <c r="X118" s="116">
        <f>'SUIVI 2026'!M117</f>
        <v>56484482</v>
      </c>
      <c r="Y118" s="117">
        <f t="shared" si="10"/>
        <v>-56484482</v>
      </c>
      <c r="Z118" s="143"/>
      <c r="AA118" s="181">
        <f t="shared" si="11"/>
        <v>0</v>
      </c>
      <c r="AB118" s="182">
        <f t="shared" si="12"/>
        <v>-56484482</v>
      </c>
      <c r="AC118" s="181">
        <f>SUM(AA5:AA118)</f>
        <v>5132</v>
      </c>
      <c r="AD118" s="182">
        <f>SUM(AB5:AB118)</f>
        <v>-451875856</v>
      </c>
      <c r="AE118" s="183">
        <f t="shared" si="13"/>
        <v>-451870724</v>
      </c>
    </row>
    <row r="119" spans="1:31" ht="15.95" customHeight="1" x14ac:dyDescent="0.25">
      <c r="A119" s="139">
        <v>115</v>
      </c>
      <c r="B119" s="140">
        <v>46183</v>
      </c>
      <c r="C119" s="141" t="s">
        <v>208</v>
      </c>
      <c r="D119" s="142">
        <v>16</v>
      </c>
      <c r="E119" s="194">
        <v>0</v>
      </c>
      <c r="F119" s="194">
        <v>0</v>
      </c>
      <c r="G119" s="194">
        <v>0</v>
      </c>
      <c r="H119" s="194">
        <v>0</v>
      </c>
      <c r="I119" s="194">
        <v>0</v>
      </c>
      <c r="J119" s="113">
        <f t="shared" si="7"/>
        <v>0</v>
      </c>
      <c r="K119" s="195">
        <v>0</v>
      </c>
      <c r="L119" s="195">
        <v>0</v>
      </c>
      <c r="M119" s="195">
        <v>0</v>
      </c>
      <c r="N119" s="195">
        <v>0</v>
      </c>
      <c r="O119" s="195">
        <v>0</v>
      </c>
      <c r="P119" s="195">
        <v>0</v>
      </c>
      <c r="Q119" s="195">
        <v>0</v>
      </c>
      <c r="R119" s="195">
        <v>0</v>
      </c>
      <c r="S119" s="195">
        <v>0</v>
      </c>
      <c r="T119" s="114">
        <f t="shared" si="8"/>
        <v>0</v>
      </c>
      <c r="U119" s="196">
        <v>0</v>
      </c>
      <c r="V119" s="196">
        <v>0</v>
      </c>
      <c r="W119" s="115">
        <f t="shared" si="9"/>
        <v>0</v>
      </c>
      <c r="X119" s="116">
        <f>'SUIVI 2026'!M118</f>
        <v>56484482</v>
      </c>
      <c r="Y119" s="117">
        <f t="shared" si="10"/>
        <v>-56484482</v>
      </c>
      <c r="Z119" s="143"/>
      <c r="AA119" s="178">
        <f t="shared" si="11"/>
        <v>0</v>
      </c>
      <c r="AB119" s="179">
        <f t="shared" si="12"/>
        <v>-56484482</v>
      </c>
      <c r="AC119" s="178">
        <f>SUM(AA5:AA119)</f>
        <v>5132</v>
      </c>
      <c r="AD119" s="179">
        <f>SUM(AB5:AB119)</f>
        <v>-508360338</v>
      </c>
      <c r="AE119" s="180">
        <f t="shared" si="13"/>
        <v>-508355206</v>
      </c>
    </row>
    <row r="120" spans="1:31" ht="15.95" customHeight="1" x14ac:dyDescent="0.25">
      <c r="A120" s="139">
        <v>116</v>
      </c>
      <c r="B120" s="140">
        <v>46184</v>
      </c>
      <c r="C120" s="141" t="s">
        <v>204</v>
      </c>
      <c r="D120" s="142">
        <v>17</v>
      </c>
      <c r="E120" s="194">
        <v>0</v>
      </c>
      <c r="F120" s="194">
        <v>0</v>
      </c>
      <c r="G120" s="194">
        <v>0</v>
      </c>
      <c r="H120" s="194">
        <v>0</v>
      </c>
      <c r="I120" s="194">
        <v>0</v>
      </c>
      <c r="J120" s="113">
        <f t="shared" si="7"/>
        <v>0</v>
      </c>
      <c r="K120" s="195">
        <v>0</v>
      </c>
      <c r="L120" s="195">
        <v>0</v>
      </c>
      <c r="M120" s="195">
        <v>0</v>
      </c>
      <c r="N120" s="195">
        <v>0</v>
      </c>
      <c r="O120" s="195">
        <v>0</v>
      </c>
      <c r="P120" s="195">
        <v>0</v>
      </c>
      <c r="Q120" s="195">
        <v>0</v>
      </c>
      <c r="R120" s="195">
        <v>0</v>
      </c>
      <c r="S120" s="195">
        <v>0</v>
      </c>
      <c r="T120" s="114">
        <f t="shared" si="8"/>
        <v>0</v>
      </c>
      <c r="U120" s="196">
        <v>0</v>
      </c>
      <c r="V120" s="196">
        <v>0</v>
      </c>
      <c r="W120" s="115">
        <f t="shared" si="9"/>
        <v>0</v>
      </c>
      <c r="X120" s="116">
        <f>'SUIVI 2026'!M119</f>
        <v>56484482</v>
      </c>
      <c r="Y120" s="117">
        <f t="shared" si="10"/>
        <v>-56484482</v>
      </c>
      <c r="Z120" s="143"/>
      <c r="AA120" s="181">
        <f t="shared" si="11"/>
        <v>0</v>
      </c>
      <c r="AB120" s="182">
        <f t="shared" si="12"/>
        <v>-56484482</v>
      </c>
      <c r="AC120" s="181">
        <f>SUM(AA5:AA120)</f>
        <v>5132</v>
      </c>
      <c r="AD120" s="182">
        <f>SUM(AB5:AB120)</f>
        <v>-564844820</v>
      </c>
      <c r="AE120" s="183">
        <f t="shared" si="13"/>
        <v>-564839688</v>
      </c>
    </row>
    <row r="121" spans="1:31" ht="15.95" customHeight="1" x14ac:dyDescent="0.25">
      <c r="A121" s="139">
        <v>117</v>
      </c>
      <c r="B121" s="140">
        <v>46185</v>
      </c>
      <c r="C121" s="141" t="s">
        <v>205</v>
      </c>
      <c r="D121" s="142">
        <v>17</v>
      </c>
      <c r="E121" s="194">
        <v>0</v>
      </c>
      <c r="F121" s="194">
        <v>0</v>
      </c>
      <c r="G121" s="194">
        <v>0</v>
      </c>
      <c r="H121" s="194">
        <v>0</v>
      </c>
      <c r="I121" s="194">
        <v>0</v>
      </c>
      <c r="J121" s="113">
        <f t="shared" si="7"/>
        <v>0</v>
      </c>
      <c r="K121" s="195">
        <v>0</v>
      </c>
      <c r="L121" s="195">
        <v>0</v>
      </c>
      <c r="M121" s="195">
        <v>0</v>
      </c>
      <c r="N121" s="195">
        <v>0</v>
      </c>
      <c r="O121" s="195">
        <v>0</v>
      </c>
      <c r="P121" s="195">
        <v>0</v>
      </c>
      <c r="Q121" s="195">
        <v>0</v>
      </c>
      <c r="R121" s="195">
        <v>0</v>
      </c>
      <c r="S121" s="195">
        <v>0</v>
      </c>
      <c r="T121" s="114">
        <f t="shared" si="8"/>
        <v>0</v>
      </c>
      <c r="U121" s="196">
        <v>0</v>
      </c>
      <c r="V121" s="196">
        <v>0</v>
      </c>
      <c r="W121" s="115">
        <f t="shared" si="9"/>
        <v>0</v>
      </c>
      <c r="X121" s="116">
        <f>'SUIVI 2026'!M120</f>
        <v>56484482</v>
      </c>
      <c r="Y121" s="117">
        <f t="shared" si="10"/>
        <v>-56484482</v>
      </c>
      <c r="Z121" s="143"/>
      <c r="AA121" s="178">
        <f t="shared" si="11"/>
        <v>0</v>
      </c>
      <c r="AB121" s="179">
        <f t="shared" si="12"/>
        <v>-56484482</v>
      </c>
      <c r="AC121" s="178">
        <f>SUM(AA5:AA121)</f>
        <v>5132</v>
      </c>
      <c r="AD121" s="179">
        <f>SUM(AB5:AB121)</f>
        <v>-621329302</v>
      </c>
      <c r="AE121" s="180">
        <f t="shared" si="13"/>
        <v>-621324170</v>
      </c>
    </row>
    <row r="122" spans="1:31" ht="15.95" customHeight="1" x14ac:dyDescent="0.25">
      <c r="A122" s="139">
        <v>118</v>
      </c>
      <c r="B122" s="140">
        <v>46188</v>
      </c>
      <c r="C122" s="141" t="s">
        <v>206</v>
      </c>
      <c r="D122" s="142">
        <v>17</v>
      </c>
      <c r="E122" s="194">
        <v>0</v>
      </c>
      <c r="F122" s="194">
        <v>0</v>
      </c>
      <c r="G122" s="194">
        <v>0</v>
      </c>
      <c r="H122" s="194">
        <v>0</v>
      </c>
      <c r="I122" s="194">
        <v>0</v>
      </c>
      <c r="J122" s="113">
        <f t="shared" si="7"/>
        <v>0</v>
      </c>
      <c r="K122" s="195">
        <v>0</v>
      </c>
      <c r="L122" s="195">
        <v>0</v>
      </c>
      <c r="M122" s="195">
        <v>0</v>
      </c>
      <c r="N122" s="195">
        <v>0</v>
      </c>
      <c r="O122" s="195">
        <v>0</v>
      </c>
      <c r="P122" s="195">
        <v>0</v>
      </c>
      <c r="Q122" s="195">
        <v>0</v>
      </c>
      <c r="R122" s="195">
        <v>0</v>
      </c>
      <c r="S122" s="195">
        <v>0</v>
      </c>
      <c r="T122" s="114">
        <f t="shared" si="8"/>
        <v>0</v>
      </c>
      <c r="U122" s="196">
        <v>0</v>
      </c>
      <c r="V122" s="196">
        <v>0</v>
      </c>
      <c r="W122" s="115">
        <f t="shared" si="9"/>
        <v>0</v>
      </c>
      <c r="X122" s="116">
        <f>'SUIVI 2026'!M121</f>
        <v>56484482</v>
      </c>
      <c r="Y122" s="117">
        <f t="shared" si="10"/>
        <v>-56484482</v>
      </c>
      <c r="Z122" s="143"/>
      <c r="AA122" s="181">
        <f t="shared" si="11"/>
        <v>0</v>
      </c>
      <c r="AB122" s="182">
        <f t="shared" si="12"/>
        <v>-56484482</v>
      </c>
      <c r="AC122" s="181">
        <f>SUM(AA5:AA122)</f>
        <v>5132</v>
      </c>
      <c r="AD122" s="182">
        <f>SUM(AB5:AB122)</f>
        <v>-677813784</v>
      </c>
      <c r="AE122" s="183">
        <f t="shared" si="13"/>
        <v>-677808652</v>
      </c>
    </row>
    <row r="123" spans="1:31" ht="15.95" customHeight="1" x14ac:dyDescent="0.25">
      <c r="A123" s="139">
        <v>119</v>
      </c>
      <c r="B123" s="140">
        <v>46189</v>
      </c>
      <c r="C123" s="141" t="s">
        <v>207</v>
      </c>
      <c r="D123" s="142">
        <v>17</v>
      </c>
      <c r="E123" s="194">
        <v>0</v>
      </c>
      <c r="F123" s="194">
        <v>0</v>
      </c>
      <c r="G123" s="194">
        <v>0</v>
      </c>
      <c r="H123" s="194">
        <v>0</v>
      </c>
      <c r="I123" s="194">
        <v>0</v>
      </c>
      <c r="J123" s="113">
        <f t="shared" si="7"/>
        <v>0</v>
      </c>
      <c r="K123" s="195">
        <v>0</v>
      </c>
      <c r="L123" s="195">
        <v>0</v>
      </c>
      <c r="M123" s="195">
        <v>0</v>
      </c>
      <c r="N123" s="195">
        <v>0</v>
      </c>
      <c r="O123" s="195">
        <v>0</v>
      </c>
      <c r="P123" s="195">
        <v>0</v>
      </c>
      <c r="Q123" s="195">
        <v>0</v>
      </c>
      <c r="R123" s="195">
        <v>0</v>
      </c>
      <c r="S123" s="195">
        <v>0</v>
      </c>
      <c r="T123" s="114">
        <f t="shared" si="8"/>
        <v>0</v>
      </c>
      <c r="U123" s="196">
        <v>0</v>
      </c>
      <c r="V123" s="196">
        <v>0</v>
      </c>
      <c r="W123" s="115">
        <f t="shared" si="9"/>
        <v>0</v>
      </c>
      <c r="X123" s="116">
        <f>'SUIVI 2026'!M122</f>
        <v>56484482</v>
      </c>
      <c r="Y123" s="117">
        <f t="shared" si="10"/>
        <v>-56484482</v>
      </c>
      <c r="Z123" s="143"/>
      <c r="AA123" s="178">
        <f t="shared" si="11"/>
        <v>0</v>
      </c>
      <c r="AB123" s="179">
        <f t="shared" si="12"/>
        <v>-56484482</v>
      </c>
      <c r="AC123" s="178">
        <f>SUM(AA5:AA123)</f>
        <v>5132</v>
      </c>
      <c r="AD123" s="179">
        <f>SUM(AB5:AB123)</f>
        <v>-734298266</v>
      </c>
      <c r="AE123" s="180">
        <f t="shared" si="13"/>
        <v>-734293134</v>
      </c>
    </row>
    <row r="124" spans="1:31" ht="15.95" customHeight="1" x14ac:dyDescent="0.25">
      <c r="A124" s="139">
        <v>120</v>
      </c>
      <c r="B124" s="140">
        <v>46190</v>
      </c>
      <c r="C124" s="141" t="s">
        <v>208</v>
      </c>
      <c r="D124" s="142">
        <v>17</v>
      </c>
      <c r="E124" s="194">
        <v>0</v>
      </c>
      <c r="F124" s="194">
        <v>0</v>
      </c>
      <c r="G124" s="194">
        <v>0</v>
      </c>
      <c r="H124" s="194">
        <v>0</v>
      </c>
      <c r="I124" s="194">
        <v>0</v>
      </c>
      <c r="J124" s="113">
        <f t="shared" si="7"/>
        <v>0</v>
      </c>
      <c r="K124" s="195">
        <v>0</v>
      </c>
      <c r="L124" s="195">
        <v>0</v>
      </c>
      <c r="M124" s="195">
        <v>0</v>
      </c>
      <c r="N124" s="195">
        <v>0</v>
      </c>
      <c r="O124" s="195">
        <v>0</v>
      </c>
      <c r="P124" s="195">
        <v>0</v>
      </c>
      <c r="Q124" s="195">
        <v>0</v>
      </c>
      <c r="R124" s="195">
        <v>0</v>
      </c>
      <c r="S124" s="195">
        <v>0</v>
      </c>
      <c r="T124" s="114">
        <f t="shared" si="8"/>
        <v>0</v>
      </c>
      <c r="U124" s="196">
        <v>0</v>
      </c>
      <c r="V124" s="196">
        <v>0</v>
      </c>
      <c r="W124" s="115">
        <f t="shared" si="9"/>
        <v>0</v>
      </c>
      <c r="X124" s="116">
        <f>'SUIVI 2026'!M123</f>
        <v>56484482</v>
      </c>
      <c r="Y124" s="117">
        <f t="shared" si="10"/>
        <v>-56484482</v>
      </c>
      <c r="Z124" s="143"/>
      <c r="AA124" s="181">
        <f t="shared" si="11"/>
        <v>0</v>
      </c>
      <c r="AB124" s="182">
        <f t="shared" si="12"/>
        <v>-56484482</v>
      </c>
      <c r="AC124" s="181">
        <f>SUM(AA5:AA124)</f>
        <v>5132</v>
      </c>
      <c r="AD124" s="182">
        <f>SUM(AB5:AB124)</f>
        <v>-790782748</v>
      </c>
      <c r="AE124" s="183">
        <f t="shared" si="13"/>
        <v>-790777616</v>
      </c>
    </row>
    <row r="125" spans="1:31" ht="15.95" customHeight="1" x14ac:dyDescent="0.25">
      <c r="A125" s="139">
        <v>121</v>
      </c>
      <c r="B125" s="140">
        <v>46191</v>
      </c>
      <c r="C125" s="141" t="s">
        <v>204</v>
      </c>
      <c r="D125" s="142">
        <v>17</v>
      </c>
      <c r="E125" s="194">
        <v>0</v>
      </c>
      <c r="F125" s="194">
        <v>0</v>
      </c>
      <c r="G125" s="194">
        <v>0</v>
      </c>
      <c r="H125" s="194">
        <v>0</v>
      </c>
      <c r="I125" s="194">
        <v>0</v>
      </c>
      <c r="J125" s="113">
        <f t="shared" si="7"/>
        <v>0</v>
      </c>
      <c r="K125" s="195">
        <v>0</v>
      </c>
      <c r="L125" s="195">
        <v>0</v>
      </c>
      <c r="M125" s="195">
        <v>0</v>
      </c>
      <c r="N125" s="195">
        <v>0</v>
      </c>
      <c r="O125" s="195">
        <v>0</v>
      </c>
      <c r="P125" s="195">
        <v>0</v>
      </c>
      <c r="Q125" s="195">
        <v>0</v>
      </c>
      <c r="R125" s="195">
        <v>0</v>
      </c>
      <c r="S125" s="195">
        <v>0</v>
      </c>
      <c r="T125" s="114">
        <f t="shared" si="8"/>
        <v>0</v>
      </c>
      <c r="U125" s="196">
        <v>0</v>
      </c>
      <c r="V125" s="196">
        <v>0</v>
      </c>
      <c r="W125" s="115">
        <f t="shared" si="9"/>
        <v>0</v>
      </c>
      <c r="X125" s="116">
        <f>'SUIVI 2026'!M124</f>
        <v>56484482</v>
      </c>
      <c r="Y125" s="117">
        <f t="shared" si="10"/>
        <v>-56484482</v>
      </c>
      <c r="Z125" s="143"/>
      <c r="AA125" s="178">
        <f t="shared" si="11"/>
        <v>0</v>
      </c>
      <c r="AB125" s="179">
        <f t="shared" si="12"/>
        <v>-56484482</v>
      </c>
      <c r="AC125" s="178">
        <f>SUM(AA5:AA125)</f>
        <v>5132</v>
      </c>
      <c r="AD125" s="179">
        <f>SUM(AB5:AB125)</f>
        <v>-847267230</v>
      </c>
      <c r="AE125" s="180">
        <f t="shared" si="13"/>
        <v>-847262098</v>
      </c>
    </row>
    <row r="126" spans="1:31" ht="15.95" customHeight="1" x14ac:dyDescent="0.25">
      <c r="A126" s="139">
        <v>122</v>
      </c>
      <c r="B126" s="140">
        <v>46192</v>
      </c>
      <c r="C126" s="141" t="s">
        <v>205</v>
      </c>
      <c r="D126" s="142">
        <v>17</v>
      </c>
      <c r="E126" s="194">
        <v>0</v>
      </c>
      <c r="F126" s="194">
        <v>0</v>
      </c>
      <c r="G126" s="194">
        <v>0</v>
      </c>
      <c r="H126" s="194">
        <v>0</v>
      </c>
      <c r="I126" s="194">
        <v>0</v>
      </c>
      <c r="J126" s="113">
        <f t="shared" si="7"/>
        <v>0</v>
      </c>
      <c r="K126" s="195">
        <v>0</v>
      </c>
      <c r="L126" s="195">
        <v>0</v>
      </c>
      <c r="M126" s="195">
        <v>0</v>
      </c>
      <c r="N126" s="195">
        <v>0</v>
      </c>
      <c r="O126" s="195">
        <v>0</v>
      </c>
      <c r="P126" s="195">
        <v>0</v>
      </c>
      <c r="Q126" s="195">
        <v>0</v>
      </c>
      <c r="R126" s="195">
        <v>0</v>
      </c>
      <c r="S126" s="195">
        <v>0</v>
      </c>
      <c r="T126" s="114">
        <f t="shared" si="8"/>
        <v>0</v>
      </c>
      <c r="U126" s="196">
        <v>0</v>
      </c>
      <c r="V126" s="196">
        <v>0</v>
      </c>
      <c r="W126" s="115">
        <f t="shared" si="9"/>
        <v>0</v>
      </c>
      <c r="X126" s="116">
        <f>'SUIVI 2026'!M125</f>
        <v>56484482</v>
      </c>
      <c r="Y126" s="117">
        <f t="shared" si="10"/>
        <v>-56484482</v>
      </c>
      <c r="Z126" s="143"/>
      <c r="AA126" s="181">
        <f t="shared" si="11"/>
        <v>0</v>
      </c>
      <c r="AB126" s="182">
        <f t="shared" si="12"/>
        <v>-56484482</v>
      </c>
      <c r="AC126" s="181">
        <f>SUM(AA5:AA126)</f>
        <v>5132</v>
      </c>
      <c r="AD126" s="182">
        <f>SUM(AB5:AB126)</f>
        <v>-903751712</v>
      </c>
      <c r="AE126" s="183">
        <f t="shared" si="13"/>
        <v>-903746580</v>
      </c>
    </row>
    <row r="127" spans="1:31" ht="15.95" customHeight="1" x14ac:dyDescent="0.25">
      <c r="A127" s="139">
        <v>123</v>
      </c>
      <c r="B127" s="140">
        <v>46195</v>
      </c>
      <c r="C127" s="141" t="s">
        <v>206</v>
      </c>
      <c r="D127" s="142">
        <v>18</v>
      </c>
      <c r="E127" s="194">
        <v>0</v>
      </c>
      <c r="F127" s="194">
        <v>0</v>
      </c>
      <c r="G127" s="194">
        <v>0</v>
      </c>
      <c r="H127" s="194">
        <v>0</v>
      </c>
      <c r="I127" s="194">
        <v>0</v>
      </c>
      <c r="J127" s="113">
        <f t="shared" si="7"/>
        <v>0</v>
      </c>
      <c r="K127" s="195">
        <v>0</v>
      </c>
      <c r="L127" s="195">
        <v>0</v>
      </c>
      <c r="M127" s="195">
        <v>0</v>
      </c>
      <c r="N127" s="195">
        <v>0</v>
      </c>
      <c r="O127" s="195">
        <v>0</v>
      </c>
      <c r="P127" s="195">
        <v>0</v>
      </c>
      <c r="Q127" s="195">
        <v>0</v>
      </c>
      <c r="R127" s="195">
        <v>0</v>
      </c>
      <c r="S127" s="195">
        <v>0</v>
      </c>
      <c r="T127" s="114">
        <f t="shared" si="8"/>
        <v>0</v>
      </c>
      <c r="U127" s="196">
        <v>0</v>
      </c>
      <c r="V127" s="196">
        <v>0</v>
      </c>
      <c r="W127" s="115">
        <f t="shared" si="9"/>
        <v>0</v>
      </c>
      <c r="X127" s="116">
        <f>'SUIVI 2026'!M126</f>
        <v>56484482</v>
      </c>
      <c r="Y127" s="117">
        <f t="shared" si="10"/>
        <v>-56484482</v>
      </c>
      <c r="Z127" s="143"/>
      <c r="AA127" s="178">
        <f t="shared" si="11"/>
        <v>0</v>
      </c>
      <c r="AB127" s="179">
        <f t="shared" si="12"/>
        <v>-56484482</v>
      </c>
      <c r="AC127" s="178">
        <f>SUM(AA5:AA127)</f>
        <v>5132</v>
      </c>
      <c r="AD127" s="179">
        <f>SUM(AB5:AB127)</f>
        <v>-960236194</v>
      </c>
      <c r="AE127" s="180">
        <f t="shared" si="13"/>
        <v>-960231062</v>
      </c>
    </row>
    <row r="128" spans="1:31" ht="15.95" customHeight="1" x14ac:dyDescent="0.25">
      <c r="A128" s="139">
        <v>124</v>
      </c>
      <c r="B128" s="140">
        <v>46196</v>
      </c>
      <c r="C128" s="141" t="s">
        <v>207</v>
      </c>
      <c r="D128" s="142">
        <v>18</v>
      </c>
      <c r="E128" s="194">
        <v>0</v>
      </c>
      <c r="F128" s="194">
        <v>0</v>
      </c>
      <c r="G128" s="194">
        <v>0</v>
      </c>
      <c r="H128" s="194">
        <v>0</v>
      </c>
      <c r="I128" s="194">
        <v>0</v>
      </c>
      <c r="J128" s="113">
        <f t="shared" si="7"/>
        <v>0</v>
      </c>
      <c r="K128" s="195">
        <v>0</v>
      </c>
      <c r="L128" s="195">
        <v>0</v>
      </c>
      <c r="M128" s="195">
        <v>0</v>
      </c>
      <c r="N128" s="195">
        <v>0</v>
      </c>
      <c r="O128" s="195">
        <v>0</v>
      </c>
      <c r="P128" s="195">
        <v>0</v>
      </c>
      <c r="Q128" s="195">
        <v>0</v>
      </c>
      <c r="R128" s="195">
        <v>0</v>
      </c>
      <c r="S128" s="195">
        <v>0</v>
      </c>
      <c r="T128" s="114">
        <f t="shared" si="8"/>
        <v>0</v>
      </c>
      <c r="U128" s="196">
        <v>0</v>
      </c>
      <c r="V128" s="196">
        <v>0</v>
      </c>
      <c r="W128" s="115">
        <f t="shared" si="9"/>
        <v>0</v>
      </c>
      <c r="X128" s="116">
        <f>'SUIVI 2026'!M127</f>
        <v>56484482</v>
      </c>
      <c r="Y128" s="117">
        <f t="shared" si="10"/>
        <v>-56484482</v>
      </c>
      <c r="Z128" s="143"/>
      <c r="AA128" s="181">
        <f t="shared" si="11"/>
        <v>0</v>
      </c>
      <c r="AB128" s="182">
        <f t="shared" si="12"/>
        <v>-56484482</v>
      </c>
      <c r="AC128" s="181">
        <f>SUM(AA5:AA128)</f>
        <v>5132</v>
      </c>
      <c r="AD128" s="182">
        <f>SUM(AB5:AB128)</f>
        <v>-1016720676</v>
      </c>
      <c r="AE128" s="183">
        <f t="shared" si="13"/>
        <v>-1016715544</v>
      </c>
    </row>
    <row r="129" spans="1:31" ht="15.95" customHeight="1" x14ac:dyDescent="0.25">
      <c r="A129" s="139">
        <v>125</v>
      </c>
      <c r="B129" s="140">
        <v>46197</v>
      </c>
      <c r="C129" s="141" t="s">
        <v>208</v>
      </c>
      <c r="D129" s="142">
        <v>18</v>
      </c>
      <c r="E129" s="194">
        <v>0</v>
      </c>
      <c r="F129" s="194">
        <v>0</v>
      </c>
      <c r="G129" s="194">
        <v>0</v>
      </c>
      <c r="H129" s="194">
        <v>0</v>
      </c>
      <c r="I129" s="194">
        <v>0</v>
      </c>
      <c r="J129" s="113">
        <f t="shared" si="7"/>
        <v>0</v>
      </c>
      <c r="K129" s="195">
        <v>0</v>
      </c>
      <c r="L129" s="195">
        <v>0</v>
      </c>
      <c r="M129" s="195">
        <v>0</v>
      </c>
      <c r="N129" s="195">
        <v>0</v>
      </c>
      <c r="O129" s="195">
        <v>0</v>
      </c>
      <c r="P129" s="195">
        <v>0</v>
      </c>
      <c r="Q129" s="195">
        <v>0</v>
      </c>
      <c r="R129" s="195">
        <v>0</v>
      </c>
      <c r="S129" s="195">
        <v>0</v>
      </c>
      <c r="T129" s="114">
        <f t="shared" si="8"/>
        <v>0</v>
      </c>
      <c r="U129" s="196">
        <v>0</v>
      </c>
      <c r="V129" s="196">
        <v>0</v>
      </c>
      <c r="W129" s="115">
        <f t="shared" si="9"/>
        <v>0</v>
      </c>
      <c r="X129" s="116">
        <f>'SUIVI 2026'!M128</f>
        <v>56484482</v>
      </c>
      <c r="Y129" s="117">
        <f t="shared" si="10"/>
        <v>-56484482</v>
      </c>
      <c r="Z129" s="143"/>
      <c r="AA129" s="178">
        <f t="shared" si="11"/>
        <v>0</v>
      </c>
      <c r="AB129" s="179">
        <f t="shared" si="12"/>
        <v>-56484482</v>
      </c>
      <c r="AC129" s="178">
        <f>SUM(AA5:AA129)</f>
        <v>5132</v>
      </c>
      <c r="AD129" s="179">
        <f>SUM(AB5:AB129)</f>
        <v>-1073205158</v>
      </c>
      <c r="AE129" s="180">
        <f t="shared" si="13"/>
        <v>-1073200026</v>
      </c>
    </row>
    <row r="130" spans="1:31" ht="15.95" customHeight="1" x14ac:dyDescent="0.25">
      <c r="A130" s="139">
        <v>126</v>
      </c>
      <c r="B130" s="140">
        <v>46198</v>
      </c>
      <c r="C130" s="141" t="s">
        <v>204</v>
      </c>
      <c r="D130" s="142">
        <v>18</v>
      </c>
      <c r="E130" s="194">
        <v>0</v>
      </c>
      <c r="F130" s="194">
        <v>0</v>
      </c>
      <c r="G130" s="194">
        <v>0</v>
      </c>
      <c r="H130" s="194">
        <v>0</v>
      </c>
      <c r="I130" s="194">
        <v>0</v>
      </c>
      <c r="J130" s="113">
        <f t="shared" si="7"/>
        <v>0</v>
      </c>
      <c r="K130" s="195">
        <v>0</v>
      </c>
      <c r="L130" s="195">
        <v>0</v>
      </c>
      <c r="M130" s="195">
        <v>0</v>
      </c>
      <c r="N130" s="195">
        <v>0</v>
      </c>
      <c r="O130" s="195">
        <v>0</v>
      </c>
      <c r="P130" s="195">
        <v>0</v>
      </c>
      <c r="Q130" s="195">
        <v>0</v>
      </c>
      <c r="R130" s="195">
        <v>0</v>
      </c>
      <c r="S130" s="195">
        <v>0</v>
      </c>
      <c r="T130" s="114">
        <f t="shared" si="8"/>
        <v>0</v>
      </c>
      <c r="U130" s="196">
        <v>0</v>
      </c>
      <c r="V130" s="196">
        <v>0</v>
      </c>
      <c r="W130" s="115">
        <f t="shared" si="9"/>
        <v>0</v>
      </c>
      <c r="X130" s="116">
        <f>'SUIVI 2026'!M129</f>
        <v>56484482</v>
      </c>
      <c r="Y130" s="117">
        <f t="shared" si="10"/>
        <v>-56484482</v>
      </c>
      <c r="Z130" s="143"/>
      <c r="AA130" s="181">
        <f t="shared" si="11"/>
        <v>0</v>
      </c>
      <c r="AB130" s="182">
        <f t="shared" si="12"/>
        <v>-56484482</v>
      </c>
      <c r="AC130" s="181">
        <f>SUM(AA5:AA130)</f>
        <v>5132</v>
      </c>
      <c r="AD130" s="182">
        <f>SUM(AB5:AB130)</f>
        <v>-1129689640</v>
      </c>
      <c r="AE130" s="183">
        <f t="shared" si="13"/>
        <v>-1129684508</v>
      </c>
    </row>
    <row r="131" spans="1:31" ht="15.95" customHeight="1" x14ac:dyDescent="0.25">
      <c r="A131" s="139">
        <v>127</v>
      </c>
      <c r="B131" s="140">
        <v>46199</v>
      </c>
      <c r="C131" s="141" t="s">
        <v>205</v>
      </c>
      <c r="D131" s="142">
        <v>18</v>
      </c>
      <c r="E131" s="194">
        <v>0</v>
      </c>
      <c r="F131" s="194">
        <v>0</v>
      </c>
      <c r="G131" s="194">
        <v>0</v>
      </c>
      <c r="H131" s="194">
        <v>0</v>
      </c>
      <c r="I131" s="194">
        <v>0</v>
      </c>
      <c r="J131" s="113">
        <f t="shared" si="7"/>
        <v>0</v>
      </c>
      <c r="K131" s="195">
        <v>0</v>
      </c>
      <c r="L131" s="195">
        <v>0</v>
      </c>
      <c r="M131" s="195">
        <v>0</v>
      </c>
      <c r="N131" s="195">
        <v>0</v>
      </c>
      <c r="O131" s="195">
        <v>0</v>
      </c>
      <c r="P131" s="195">
        <v>0</v>
      </c>
      <c r="Q131" s="195">
        <v>0</v>
      </c>
      <c r="R131" s="195">
        <v>0</v>
      </c>
      <c r="S131" s="195">
        <v>0</v>
      </c>
      <c r="T131" s="114">
        <f t="shared" si="8"/>
        <v>0</v>
      </c>
      <c r="U131" s="196">
        <v>0</v>
      </c>
      <c r="V131" s="196">
        <v>0</v>
      </c>
      <c r="W131" s="115">
        <f t="shared" si="9"/>
        <v>0</v>
      </c>
      <c r="X131" s="116">
        <f>'SUIVI 2026'!M130</f>
        <v>56484482</v>
      </c>
      <c r="Y131" s="117">
        <f t="shared" si="10"/>
        <v>-56484482</v>
      </c>
      <c r="Z131" s="143"/>
      <c r="AA131" s="178">
        <f t="shared" si="11"/>
        <v>0</v>
      </c>
      <c r="AB131" s="179">
        <f t="shared" si="12"/>
        <v>-56484482</v>
      </c>
      <c r="AC131" s="178">
        <f>SUM(AA5:AA131)</f>
        <v>5132</v>
      </c>
      <c r="AD131" s="179">
        <f>SUM(AB5:AB131)</f>
        <v>-1186174122</v>
      </c>
      <c r="AE131" s="180">
        <f t="shared" si="13"/>
        <v>-1186168990</v>
      </c>
    </row>
    <row r="132" spans="1:31" ht="15.95" customHeight="1" x14ac:dyDescent="0.25">
      <c r="A132" s="139">
        <v>128</v>
      </c>
      <c r="B132" s="140">
        <v>46202</v>
      </c>
      <c r="C132" s="141" t="s">
        <v>206</v>
      </c>
      <c r="D132" s="142">
        <v>18</v>
      </c>
      <c r="E132" s="194">
        <v>0</v>
      </c>
      <c r="F132" s="194">
        <v>0</v>
      </c>
      <c r="G132" s="194">
        <v>0</v>
      </c>
      <c r="H132" s="194">
        <v>0</v>
      </c>
      <c r="I132" s="194">
        <v>0</v>
      </c>
      <c r="J132" s="113">
        <f t="shared" si="7"/>
        <v>0</v>
      </c>
      <c r="K132" s="195">
        <v>0</v>
      </c>
      <c r="L132" s="195">
        <v>0</v>
      </c>
      <c r="M132" s="195">
        <v>0</v>
      </c>
      <c r="N132" s="195">
        <v>0</v>
      </c>
      <c r="O132" s="195">
        <v>0</v>
      </c>
      <c r="P132" s="195">
        <v>0</v>
      </c>
      <c r="Q132" s="195">
        <v>0</v>
      </c>
      <c r="R132" s="195">
        <v>0</v>
      </c>
      <c r="S132" s="195">
        <v>0</v>
      </c>
      <c r="T132" s="114">
        <f t="shared" si="8"/>
        <v>0</v>
      </c>
      <c r="U132" s="196">
        <v>0</v>
      </c>
      <c r="V132" s="196">
        <v>0</v>
      </c>
      <c r="W132" s="115">
        <f t="shared" si="9"/>
        <v>0</v>
      </c>
      <c r="X132" s="116">
        <f>'SUIVI 2026'!M131</f>
        <v>56484482</v>
      </c>
      <c r="Y132" s="117">
        <f t="shared" si="10"/>
        <v>-56484482</v>
      </c>
      <c r="Z132" s="143"/>
      <c r="AA132" s="181">
        <f t="shared" si="11"/>
        <v>0</v>
      </c>
      <c r="AB132" s="182">
        <f t="shared" si="12"/>
        <v>-56484482</v>
      </c>
      <c r="AC132" s="181">
        <f>SUM(AA5:AA132)</f>
        <v>5132</v>
      </c>
      <c r="AD132" s="182">
        <f>SUM(AB5:AB132)</f>
        <v>-1242658604</v>
      </c>
      <c r="AE132" s="183">
        <f t="shared" si="13"/>
        <v>-1242653472</v>
      </c>
    </row>
    <row r="133" spans="1:31" ht="15.95" customHeight="1" x14ac:dyDescent="0.25">
      <c r="A133" s="139">
        <v>129</v>
      </c>
      <c r="B133" s="140">
        <v>46203</v>
      </c>
      <c r="C133" s="141" t="s">
        <v>207</v>
      </c>
      <c r="D133" s="142">
        <v>18</v>
      </c>
      <c r="E133" s="194">
        <v>0</v>
      </c>
      <c r="F133" s="194">
        <v>0</v>
      </c>
      <c r="G133" s="194">
        <v>0</v>
      </c>
      <c r="H133" s="194">
        <v>0</v>
      </c>
      <c r="I133" s="194">
        <v>0</v>
      </c>
      <c r="J133" s="113">
        <f t="shared" ref="J133:J196" si="14">E133+F133+G133+H133+I133</f>
        <v>0</v>
      </c>
      <c r="K133" s="195">
        <v>0</v>
      </c>
      <c r="L133" s="195">
        <v>0</v>
      </c>
      <c r="M133" s="195">
        <v>0</v>
      </c>
      <c r="N133" s="195">
        <v>0</v>
      </c>
      <c r="O133" s="195">
        <v>0</v>
      </c>
      <c r="P133" s="195">
        <v>0</v>
      </c>
      <c r="Q133" s="195">
        <v>0</v>
      </c>
      <c r="R133" s="195">
        <v>0</v>
      </c>
      <c r="S133" s="195">
        <v>0</v>
      </c>
      <c r="T133" s="114">
        <f t="shared" ref="T133:T196" si="15">K133+L133+M133+N133+O133+P133+Q133+R133+S133</f>
        <v>0</v>
      </c>
      <c r="U133" s="196">
        <v>0</v>
      </c>
      <c r="V133" s="196">
        <v>0</v>
      </c>
      <c r="W133" s="115">
        <f t="shared" ref="W133:W196" si="16">J133+T133+U133+V133</f>
        <v>0</v>
      </c>
      <c r="X133" s="116">
        <f>'SUIVI 2026'!M132</f>
        <v>56484482</v>
      </c>
      <c r="Y133" s="117">
        <f t="shared" ref="Y133:Y196" si="17">W133-X133</f>
        <v>-56484482</v>
      </c>
      <c r="Z133" s="143"/>
      <c r="AA133" s="178">
        <f t="shared" ref="AA133:AA196" si="18">IF(Y133&gt;0,Y133,0)</f>
        <v>0</v>
      </c>
      <c r="AB133" s="179">
        <f t="shared" ref="AB133:AB196" si="19">IF(Y133&lt;0,Y133,0)</f>
        <v>-56484482</v>
      </c>
      <c r="AC133" s="178">
        <f>SUM(AA5:AA133)</f>
        <v>5132</v>
      </c>
      <c r="AD133" s="179">
        <f>SUM(AB5:AB133)</f>
        <v>-1299143086</v>
      </c>
      <c r="AE133" s="180">
        <f t="shared" ref="AE133:AE196" si="20">AC133+AD133</f>
        <v>-1299137954</v>
      </c>
    </row>
    <row r="134" spans="1:31" ht="15.95" customHeight="1" x14ac:dyDescent="0.25">
      <c r="A134" s="144">
        <v>130</v>
      </c>
      <c r="B134" s="145">
        <v>46204</v>
      </c>
      <c r="C134" s="146" t="s">
        <v>208</v>
      </c>
      <c r="D134" s="147">
        <v>19</v>
      </c>
      <c r="E134" s="194">
        <v>0</v>
      </c>
      <c r="F134" s="194">
        <v>0</v>
      </c>
      <c r="G134" s="194">
        <v>0</v>
      </c>
      <c r="H134" s="194">
        <v>0</v>
      </c>
      <c r="I134" s="194">
        <v>0</v>
      </c>
      <c r="J134" s="113">
        <f t="shared" si="14"/>
        <v>0</v>
      </c>
      <c r="K134" s="195">
        <v>0</v>
      </c>
      <c r="L134" s="195">
        <v>0</v>
      </c>
      <c r="M134" s="195">
        <v>0</v>
      </c>
      <c r="N134" s="195">
        <v>0</v>
      </c>
      <c r="O134" s="195">
        <v>0</v>
      </c>
      <c r="P134" s="195">
        <v>0</v>
      </c>
      <c r="Q134" s="195">
        <v>0</v>
      </c>
      <c r="R134" s="195">
        <v>0</v>
      </c>
      <c r="S134" s="195">
        <v>0</v>
      </c>
      <c r="T134" s="114">
        <f t="shared" si="15"/>
        <v>0</v>
      </c>
      <c r="U134" s="196">
        <v>0</v>
      </c>
      <c r="V134" s="196">
        <v>0</v>
      </c>
      <c r="W134" s="115">
        <f t="shared" si="16"/>
        <v>0</v>
      </c>
      <c r="X134" s="116">
        <f>'SUIVI 2026'!M133</f>
        <v>56484482</v>
      </c>
      <c r="Y134" s="117">
        <f t="shared" si="17"/>
        <v>-56484482</v>
      </c>
      <c r="Z134" s="148"/>
      <c r="AA134" s="181">
        <f t="shared" si="18"/>
        <v>0</v>
      </c>
      <c r="AB134" s="182">
        <f t="shared" si="19"/>
        <v>-56484482</v>
      </c>
      <c r="AC134" s="181">
        <f>SUM(AA5:AA134)</f>
        <v>5132</v>
      </c>
      <c r="AD134" s="182">
        <f>SUM(AB5:AB134)</f>
        <v>-1355627568</v>
      </c>
      <c r="AE134" s="183">
        <f t="shared" si="20"/>
        <v>-1355622436</v>
      </c>
    </row>
    <row r="135" spans="1:31" ht="15.95" customHeight="1" x14ac:dyDescent="0.25">
      <c r="A135" s="144">
        <v>131</v>
      </c>
      <c r="B135" s="145">
        <v>46205</v>
      </c>
      <c r="C135" s="146" t="s">
        <v>204</v>
      </c>
      <c r="D135" s="147">
        <v>19</v>
      </c>
      <c r="E135" s="194">
        <v>0</v>
      </c>
      <c r="F135" s="194">
        <v>0</v>
      </c>
      <c r="G135" s="194">
        <v>0</v>
      </c>
      <c r="H135" s="194">
        <v>0</v>
      </c>
      <c r="I135" s="194">
        <v>0</v>
      </c>
      <c r="J135" s="113">
        <f t="shared" si="14"/>
        <v>0</v>
      </c>
      <c r="K135" s="195">
        <v>0</v>
      </c>
      <c r="L135" s="195">
        <v>0</v>
      </c>
      <c r="M135" s="195">
        <v>0</v>
      </c>
      <c r="N135" s="195">
        <v>0</v>
      </c>
      <c r="O135" s="195">
        <v>0</v>
      </c>
      <c r="P135" s="195">
        <v>0</v>
      </c>
      <c r="Q135" s="195">
        <v>0</v>
      </c>
      <c r="R135" s="195">
        <v>0</v>
      </c>
      <c r="S135" s="195">
        <v>0</v>
      </c>
      <c r="T135" s="114">
        <f t="shared" si="15"/>
        <v>0</v>
      </c>
      <c r="U135" s="196">
        <v>0</v>
      </c>
      <c r="V135" s="196">
        <v>0</v>
      </c>
      <c r="W135" s="115">
        <f t="shared" si="16"/>
        <v>0</v>
      </c>
      <c r="X135" s="116">
        <f>'SUIVI 2026'!M134</f>
        <v>56484482</v>
      </c>
      <c r="Y135" s="117">
        <f t="shared" si="17"/>
        <v>-56484482</v>
      </c>
      <c r="Z135" s="148"/>
      <c r="AA135" s="178">
        <f t="shared" si="18"/>
        <v>0</v>
      </c>
      <c r="AB135" s="179">
        <f t="shared" si="19"/>
        <v>-56484482</v>
      </c>
      <c r="AC135" s="178">
        <f>SUM(AA5:AA135)</f>
        <v>5132</v>
      </c>
      <c r="AD135" s="179">
        <f>SUM(AB5:AB135)</f>
        <v>-1412112050</v>
      </c>
      <c r="AE135" s="180">
        <f t="shared" si="20"/>
        <v>-1412106918</v>
      </c>
    </row>
    <row r="136" spans="1:31" ht="15.95" customHeight="1" x14ac:dyDescent="0.25">
      <c r="A136" s="144">
        <v>132</v>
      </c>
      <c r="B136" s="145">
        <v>46206</v>
      </c>
      <c r="C136" s="146" t="s">
        <v>205</v>
      </c>
      <c r="D136" s="147">
        <v>19</v>
      </c>
      <c r="E136" s="194">
        <v>0</v>
      </c>
      <c r="F136" s="194">
        <v>0</v>
      </c>
      <c r="G136" s="194">
        <v>0</v>
      </c>
      <c r="H136" s="194">
        <v>0</v>
      </c>
      <c r="I136" s="194">
        <v>0</v>
      </c>
      <c r="J136" s="113">
        <f t="shared" si="14"/>
        <v>0</v>
      </c>
      <c r="K136" s="195">
        <v>0</v>
      </c>
      <c r="L136" s="195">
        <v>0</v>
      </c>
      <c r="M136" s="195">
        <v>0</v>
      </c>
      <c r="N136" s="195">
        <v>0</v>
      </c>
      <c r="O136" s="195">
        <v>0</v>
      </c>
      <c r="P136" s="195">
        <v>0</v>
      </c>
      <c r="Q136" s="195">
        <v>0</v>
      </c>
      <c r="R136" s="195">
        <v>0</v>
      </c>
      <c r="S136" s="195">
        <v>0</v>
      </c>
      <c r="T136" s="114">
        <f t="shared" si="15"/>
        <v>0</v>
      </c>
      <c r="U136" s="196">
        <v>0</v>
      </c>
      <c r="V136" s="196">
        <v>0</v>
      </c>
      <c r="W136" s="115">
        <f t="shared" si="16"/>
        <v>0</v>
      </c>
      <c r="X136" s="116">
        <f>'SUIVI 2026'!M135</f>
        <v>56484482</v>
      </c>
      <c r="Y136" s="117">
        <f t="shared" si="17"/>
        <v>-56484482</v>
      </c>
      <c r="Z136" s="148"/>
      <c r="AA136" s="181">
        <f t="shared" si="18"/>
        <v>0</v>
      </c>
      <c r="AB136" s="182">
        <f t="shared" si="19"/>
        <v>-56484482</v>
      </c>
      <c r="AC136" s="181">
        <f>SUM(AA5:AA136)</f>
        <v>5132</v>
      </c>
      <c r="AD136" s="182">
        <f>SUM(AB5:AB136)</f>
        <v>-1468596532</v>
      </c>
      <c r="AE136" s="183">
        <f t="shared" si="20"/>
        <v>-1468591400</v>
      </c>
    </row>
    <row r="137" spans="1:31" ht="15.95" customHeight="1" x14ac:dyDescent="0.25">
      <c r="A137" s="144">
        <v>133</v>
      </c>
      <c r="B137" s="145">
        <v>46209</v>
      </c>
      <c r="C137" s="146" t="s">
        <v>206</v>
      </c>
      <c r="D137" s="147">
        <v>19</v>
      </c>
      <c r="E137" s="194">
        <v>0</v>
      </c>
      <c r="F137" s="194">
        <v>0</v>
      </c>
      <c r="G137" s="194">
        <v>0</v>
      </c>
      <c r="H137" s="194">
        <v>0</v>
      </c>
      <c r="I137" s="194">
        <v>0</v>
      </c>
      <c r="J137" s="113">
        <f t="shared" si="14"/>
        <v>0</v>
      </c>
      <c r="K137" s="195">
        <v>0</v>
      </c>
      <c r="L137" s="195">
        <v>0</v>
      </c>
      <c r="M137" s="195">
        <v>0</v>
      </c>
      <c r="N137" s="195">
        <v>0</v>
      </c>
      <c r="O137" s="195">
        <v>0</v>
      </c>
      <c r="P137" s="195">
        <v>0</v>
      </c>
      <c r="Q137" s="195">
        <v>0</v>
      </c>
      <c r="R137" s="195">
        <v>0</v>
      </c>
      <c r="S137" s="195">
        <v>0</v>
      </c>
      <c r="T137" s="114">
        <f t="shared" si="15"/>
        <v>0</v>
      </c>
      <c r="U137" s="196">
        <v>0</v>
      </c>
      <c r="V137" s="196">
        <v>0</v>
      </c>
      <c r="W137" s="115">
        <f t="shared" si="16"/>
        <v>0</v>
      </c>
      <c r="X137" s="116">
        <f>'SUIVI 2026'!M136</f>
        <v>56484482</v>
      </c>
      <c r="Y137" s="117">
        <f t="shared" si="17"/>
        <v>-56484482</v>
      </c>
      <c r="Z137" s="148"/>
      <c r="AA137" s="178">
        <f t="shared" si="18"/>
        <v>0</v>
      </c>
      <c r="AB137" s="179">
        <f t="shared" si="19"/>
        <v>-56484482</v>
      </c>
      <c r="AC137" s="178">
        <f>SUM(AA5:AA137)</f>
        <v>5132</v>
      </c>
      <c r="AD137" s="179">
        <f>SUM(AB5:AB137)</f>
        <v>-1525081014</v>
      </c>
      <c r="AE137" s="180">
        <f t="shared" si="20"/>
        <v>-1525075882</v>
      </c>
    </row>
    <row r="138" spans="1:31" ht="15.95" customHeight="1" x14ac:dyDescent="0.25">
      <c r="A138" s="144">
        <v>134</v>
      </c>
      <c r="B138" s="145">
        <v>46210</v>
      </c>
      <c r="C138" s="146" t="s">
        <v>207</v>
      </c>
      <c r="D138" s="147">
        <v>19</v>
      </c>
      <c r="E138" s="194">
        <v>0</v>
      </c>
      <c r="F138" s="194">
        <v>0</v>
      </c>
      <c r="G138" s="194">
        <v>0</v>
      </c>
      <c r="H138" s="194">
        <v>0</v>
      </c>
      <c r="I138" s="194">
        <v>0</v>
      </c>
      <c r="J138" s="113">
        <f t="shared" si="14"/>
        <v>0</v>
      </c>
      <c r="K138" s="195">
        <v>0</v>
      </c>
      <c r="L138" s="195">
        <v>0</v>
      </c>
      <c r="M138" s="195">
        <v>0</v>
      </c>
      <c r="N138" s="195">
        <v>0</v>
      </c>
      <c r="O138" s="195">
        <v>0</v>
      </c>
      <c r="P138" s="195">
        <v>0</v>
      </c>
      <c r="Q138" s="195">
        <v>0</v>
      </c>
      <c r="R138" s="195">
        <v>0</v>
      </c>
      <c r="S138" s="195">
        <v>0</v>
      </c>
      <c r="T138" s="114">
        <f t="shared" si="15"/>
        <v>0</v>
      </c>
      <c r="U138" s="196">
        <v>0</v>
      </c>
      <c r="V138" s="196">
        <v>0</v>
      </c>
      <c r="W138" s="115">
        <f t="shared" si="16"/>
        <v>0</v>
      </c>
      <c r="X138" s="116">
        <f>'SUIVI 2026'!M137</f>
        <v>56484482</v>
      </c>
      <c r="Y138" s="117">
        <f t="shared" si="17"/>
        <v>-56484482</v>
      </c>
      <c r="Z138" s="148"/>
      <c r="AA138" s="181">
        <f t="shared" si="18"/>
        <v>0</v>
      </c>
      <c r="AB138" s="182">
        <f t="shared" si="19"/>
        <v>-56484482</v>
      </c>
      <c r="AC138" s="181">
        <f>SUM(AA5:AA138)</f>
        <v>5132</v>
      </c>
      <c r="AD138" s="182">
        <f>SUM(AB5:AB138)</f>
        <v>-1581565496</v>
      </c>
      <c r="AE138" s="183">
        <f t="shared" si="20"/>
        <v>-1581560364</v>
      </c>
    </row>
    <row r="139" spans="1:31" ht="15.95" customHeight="1" x14ac:dyDescent="0.25">
      <c r="A139" s="144">
        <v>135</v>
      </c>
      <c r="B139" s="145">
        <v>46211</v>
      </c>
      <c r="C139" s="146" t="s">
        <v>208</v>
      </c>
      <c r="D139" s="147">
        <v>19</v>
      </c>
      <c r="E139" s="194">
        <v>0</v>
      </c>
      <c r="F139" s="194">
        <v>0</v>
      </c>
      <c r="G139" s="194">
        <v>0</v>
      </c>
      <c r="H139" s="194">
        <v>0</v>
      </c>
      <c r="I139" s="194">
        <v>0</v>
      </c>
      <c r="J139" s="113">
        <f t="shared" si="14"/>
        <v>0</v>
      </c>
      <c r="K139" s="195">
        <v>0</v>
      </c>
      <c r="L139" s="195">
        <v>0</v>
      </c>
      <c r="M139" s="195">
        <v>0</v>
      </c>
      <c r="N139" s="195">
        <v>0</v>
      </c>
      <c r="O139" s="195">
        <v>0</v>
      </c>
      <c r="P139" s="195">
        <v>0</v>
      </c>
      <c r="Q139" s="195">
        <v>0</v>
      </c>
      <c r="R139" s="195">
        <v>0</v>
      </c>
      <c r="S139" s="195">
        <v>0</v>
      </c>
      <c r="T139" s="114">
        <f t="shared" si="15"/>
        <v>0</v>
      </c>
      <c r="U139" s="196">
        <v>0</v>
      </c>
      <c r="V139" s="196">
        <v>0</v>
      </c>
      <c r="W139" s="115">
        <f t="shared" si="16"/>
        <v>0</v>
      </c>
      <c r="X139" s="116">
        <f>'SUIVI 2026'!M138</f>
        <v>56484482</v>
      </c>
      <c r="Y139" s="117">
        <f t="shared" si="17"/>
        <v>-56484482</v>
      </c>
      <c r="Z139" s="148"/>
      <c r="AA139" s="178">
        <f t="shared" si="18"/>
        <v>0</v>
      </c>
      <c r="AB139" s="179">
        <f t="shared" si="19"/>
        <v>-56484482</v>
      </c>
      <c r="AC139" s="178">
        <f>SUM(AA5:AA139)</f>
        <v>5132</v>
      </c>
      <c r="AD139" s="179">
        <f>SUM(AB5:AB139)</f>
        <v>-1638049978</v>
      </c>
      <c r="AE139" s="180">
        <f t="shared" si="20"/>
        <v>-1638044846</v>
      </c>
    </row>
    <row r="140" spans="1:31" ht="15.95" customHeight="1" x14ac:dyDescent="0.25">
      <c r="A140" s="144">
        <v>136</v>
      </c>
      <c r="B140" s="145">
        <v>46212</v>
      </c>
      <c r="C140" s="146" t="s">
        <v>204</v>
      </c>
      <c r="D140" s="147">
        <v>19</v>
      </c>
      <c r="E140" s="194">
        <v>0</v>
      </c>
      <c r="F140" s="194">
        <v>0</v>
      </c>
      <c r="G140" s="194">
        <v>0</v>
      </c>
      <c r="H140" s="194">
        <v>0</v>
      </c>
      <c r="I140" s="194">
        <v>0</v>
      </c>
      <c r="J140" s="113">
        <f t="shared" si="14"/>
        <v>0</v>
      </c>
      <c r="K140" s="195">
        <v>0</v>
      </c>
      <c r="L140" s="195">
        <v>0</v>
      </c>
      <c r="M140" s="195">
        <v>0</v>
      </c>
      <c r="N140" s="195">
        <v>0</v>
      </c>
      <c r="O140" s="195">
        <v>0</v>
      </c>
      <c r="P140" s="195">
        <v>0</v>
      </c>
      <c r="Q140" s="195">
        <v>0</v>
      </c>
      <c r="R140" s="195">
        <v>0</v>
      </c>
      <c r="S140" s="195">
        <v>0</v>
      </c>
      <c r="T140" s="114">
        <f t="shared" si="15"/>
        <v>0</v>
      </c>
      <c r="U140" s="196">
        <v>0</v>
      </c>
      <c r="V140" s="196">
        <v>0</v>
      </c>
      <c r="W140" s="115">
        <f t="shared" si="16"/>
        <v>0</v>
      </c>
      <c r="X140" s="116">
        <f>'SUIVI 2026'!M139</f>
        <v>56484482</v>
      </c>
      <c r="Y140" s="117">
        <f t="shared" si="17"/>
        <v>-56484482</v>
      </c>
      <c r="Z140" s="148"/>
      <c r="AA140" s="181">
        <f t="shared" si="18"/>
        <v>0</v>
      </c>
      <c r="AB140" s="182">
        <f t="shared" si="19"/>
        <v>-56484482</v>
      </c>
      <c r="AC140" s="181">
        <f>SUM(AA5:AA140)</f>
        <v>5132</v>
      </c>
      <c r="AD140" s="182">
        <f>SUM(AB5:AB140)</f>
        <v>-1694534460</v>
      </c>
      <c r="AE140" s="183">
        <f t="shared" si="20"/>
        <v>-1694529328</v>
      </c>
    </row>
    <row r="141" spans="1:31" ht="15.95" customHeight="1" x14ac:dyDescent="0.25">
      <c r="A141" s="144">
        <v>137</v>
      </c>
      <c r="B141" s="145">
        <v>46213</v>
      </c>
      <c r="C141" s="146" t="s">
        <v>205</v>
      </c>
      <c r="D141" s="147">
        <v>19</v>
      </c>
      <c r="E141" s="194">
        <v>0</v>
      </c>
      <c r="F141" s="194">
        <v>0</v>
      </c>
      <c r="G141" s="194">
        <v>0</v>
      </c>
      <c r="H141" s="194">
        <v>0</v>
      </c>
      <c r="I141" s="194">
        <v>0</v>
      </c>
      <c r="J141" s="113">
        <f t="shared" si="14"/>
        <v>0</v>
      </c>
      <c r="K141" s="195">
        <v>0</v>
      </c>
      <c r="L141" s="195">
        <v>0</v>
      </c>
      <c r="M141" s="195">
        <v>0</v>
      </c>
      <c r="N141" s="195">
        <v>0</v>
      </c>
      <c r="O141" s="195">
        <v>0</v>
      </c>
      <c r="P141" s="195">
        <v>0</v>
      </c>
      <c r="Q141" s="195">
        <v>0</v>
      </c>
      <c r="R141" s="195">
        <v>0</v>
      </c>
      <c r="S141" s="195">
        <v>0</v>
      </c>
      <c r="T141" s="114">
        <f t="shared" si="15"/>
        <v>0</v>
      </c>
      <c r="U141" s="196">
        <v>0</v>
      </c>
      <c r="V141" s="196">
        <v>0</v>
      </c>
      <c r="W141" s="115">
        <f t="shared" si="16"/>
        <v>0</v>
      </c>
      <c r="X141" s="116">
        <f>'SUIVI 2026'!M140</f>
        <v>56484482</v>
      </c>
      <c r="Y141" s="117">
        <f t="shared" si="17"/>
        <v>-56484482</v>
      </c>
      <c r="Z141" s="148"/>
      <c r="AA141" s="178">
        <f t="shared" si="18"/>
        <v>0</v>
      </c>
      <c r="AB141" s="179">
        <f t="shared" si="19"/>
        <v>-56484482</v>
      </c>
      <c r="AC141" s="178">
        <f>SUM(AA5:AA141)</f>
        <v>5132</v>
      </c>
      <c r="AD141" s="179">
        <f>SUM(AB5:AB141)</f>
        <v>-1751018942</v>
      </c>
      <c r="AE141" s="180">
        <f t="shared" si="20"/>
        <v>-1751013810</v>
      </c>
    </row>
    <row r="142" spans="1:31" ht="15.95" customHeight="1" x14ac:dyDescent="0.25">
      <c r="A142" s="144">
        <v>138</v>
      </c>
      <c r="B142" s="145">
        <v>46216</v>
      </c>
      <c r="C142" s="146" t="s">
        <v>206</v>
      </c>
      <c r="D142" s="147">
        <v>20</v>
      </c>
      <c r="E142" s="194">
        <v>0</v>
      </c>
      <c r="F142" s="194">
        <v>0</v>
      </c>
      <c r="G142" s="194">
        <v>0</v>
      </c>
      <c r="H142" s="194">
        <v>0</v>
      </c>
      <c r="I142" s="194">
        <v>0</v>
      </c>
      <c r="J142" s="113">
        <f t="shared" si="14"/>
        <v>0</v>
      </c>
      <c r="K142" s="195">
        <v>0</v>
      </c>
      <c r="L142" s="195">
        <v>0</v>
      </c>
      <c r="M142" s="195">
        <v>0</v>
      </c>
      <c r="N142" s="195">
        <v>0</v>
      </c>
      <c r="O142" s="195">
        <v>0</v>
      </c>
      <c r="P142" s="195">
        <v>0</v>
      </c>
      <c r="Q142" s="195">
        <v>0</v>
      </c>
      <c r="R142" s="195">
        <v>0</v>
      </c>
      <c r="S142" s="195">
        <v>0</v>
      </c>
      <c r="T142" s="114">
        <f t="shared" si="15"/>
        <v>0</v>
      </c>
      <c r="U142" s="196">
        <v>0</v>
      </c>
      <c r="V142" s="196">
        <v>0</v>
      </c>
      <c r="W142" s="115">
        <f t="shared" si="16"/>
        <v>0</v>
      </c>
      <c r="X142" s="116">
        <f>'SUIVI 2026'!M141</f>
        <v>56484482</v>
      </c>
      <c r="Y142" s="117">
        <f t="shared" si="17"/>
        <v>-56484482</v>
      </c>
      <c r="Z142" s="148"/>
      <c r="AA142" s="181">
        <f t="shared" si="18"/>
        <v>0</v>
      </c>
      <c r="AB142" s="182">
        <f t="shared" si="19"/>
        <v>-56484482</v>
      </c>
      <c r="AC142" s="181">
        <f>SUM(AA5:AA142)</f>
        <v>5132</v>
      </c>
      <c r="AD142" s="182">
        <f>SUM(AB5:AB142)</f>
        <v>-1807503424</v>
      </c>
      <c r="AE142" s="183">
        <f t="shared" si="20"/>
        <v>-1807498292</v>
      </c>
    </row>
    <row r="143" spans="1:31" ht="15.95" customHeight="1" x14ac:dyDescent="0.25">
      <c r="A143" s="144">
        <v>139</v>
      </c>
      <c r="B143" s="145">
        <v>46217</v>
      </c>
      <c r="C143" s="146" t="s">
        <v>207</v>
      </c>
      <c r="D143" s="147">
        <v>20</v>
      </c>
      <c r="E143" s="194">
        <v>0</v>
      </c>
      <c r="F143" s="194">
        <v>0</v>
      </c>
      <c r="G143" s="194">
        <v>0</v>
      </c>
      <c r="H143" s="194">
        <v>0</v>
      </c>
      <c r="I143" s="194">
        <v>0</v>
      </c>
      <c r="J143" s="113">
        <f t="shared" si="14"/>
        <v>0</v>
      </c>
      <c r="K143" s="195">
        <v>0</v>
      </c>
      <c r="L143" s="195">
        <v>0</v>
      </c>
      <c r="M143" s="195">
        <v>0</v>
      </c>
      <c r="N143" s="195">
        <v>0</v>
      </c>
      <c r="O143" s="195">
        <v>0</v>
      </c>
      <c r="P143" s="195">
        <v>0</v>
      </c>
      <c r="Q143" s="195">
        <v>0</v>
      </c>
      <c r="R143" s="195">
        <v>0</v>
      </c>
      <c r="S143" s="195">
        <v>0</v>
      </c>
      <c r="T143" s="114">
        <f t="shared" si="15"/>
        <v>0</v>
      </c>
      <c r="U143" s="196">
        <v>0</v>
      </c>
      <c r="V143" s="196">
        <v>0</v>
      </c>
      <c r="W143" s="115">
        <f t="shared" si="16"/>
        <v>0</v>
      </c>
      <c r="X143" s="116">
        <f>'SUIVI 2026'!M142</f>
        <v>56484482</v>
      </c>
      <c r="Y143" s="117">
        <f t="shared" si="17"/>
        <v>-56484482</v>
      </c>
      <c r="Z143" s="148"/>
      <c r="AA143" s="178">
        <f t="shared" si="18"/>
        <v>0</v>
      </c>
      <c r="AB143" s="179">
        <f t="shared" si="19"/>
        <v>-56484482</v>
      </c>
      <c r="AC143" s="178">
        <f>SUM(AA5:AA143)</f>
        <v>5132</v>
      </c>
      <c r="AD143" s="179">
        <f>SUM(AB5:AB143)</f>
        <v>-1863987906</v>
      </c>
      <c r="AE143" s="180">
        <f t="shared" si="20"/>
        <v>-1863982774</v>
      </c>
    </row>
    <row r="144" spans="1:31" ht="15.95" customHeight="1" x14ac:dyDescent="0.25">
      <c r="A144" s="144">
        <v>140</v>
      </c>
      <c r="B144" s="145">
        <v>46218</v>
      </c>
      <c r="C144" s="146" t="s">
        <v>208</v>
      </c>
      <c r="D144" s="147">
        <v>20</v>
      </c>
      <c r="E144" s="194">
        <v>0</v>
      </c>
      <c r="F144" s="194">
        <v>0</v>
      </c>
      <c r="G144" s="194">
        <v>0</v>
      </c>
      <c r="H144" s="194">
        <v>0</v>
      </c>
      <c r="I144" s="194">
        <v>0</v>
      </c>
      <c r="J144" s="113">
        <f t="shared" si="14"/>
        <v>0</v>
      </c>
      <c r="K144" s="195">
        <v>0</v>
      </c>
      <c r="L144" s="195">
        <v>0</v>
      </c>
      <c r="M144" s="195">
        <v>0</v>
      </c>
      <c r="N144" s="195">
        <v>0</v>
      </c>
      <c r="O144" s="195">
        <v>0</v>
      </c>
      <c r="P144" s="195">
        <v>0</v>
      </c>
      <c r="Q144" s="195">
        <v>0</v>
      </c>
      <c r="R144" s="195">
        <v>0</v>
      </c>
      <c r="S144" s="195">
        <v>0</v>
      </c>
      <c r="T144" s="114">
        <f t="shared" si="15"/>
        <v>0</v>
      </c>
      <c r="U144" s="196">
        <v>0</v>
      </c>
      <c r="V144" s="196">
        <v>0</v>
      </c>
      <c r="W144" s="115">
        <f t="shared" si="16"/>
        <v>0</v>
      </c>
      <c r="X144" s="116">
        <f>'SUIVI 2026'!M143</f>
        <v>56484482</v>
      </c>
      <c r="Y144" s="117">
        <f t="shared" si="17"/>
        <v>-56484482</v>
      </c>
      <c r="Z144" s="148"/>
      <c r="AA144" s="181">
        <f t="shared" si="18"/>
        <v>0</v>
      </c>
      <c r="AB144" s="182">
        <f t="shared" si="19"/>
        <v>-56484482</v>
      </c>
      <c r="AC144" s="181">
        <f>SUM(AA5:AA144)</f>
        <v>5132</v>
      </c>
      <c r="AD144" s="182">
        <f>SUM(AB5:AB144)</f>
        <v>-1920472388</v>
      </c>
      <c r="AE144" s="183">
        <f t="shared" si="20"/>
        <v>-1920467256</v>
      </c>
    </row>
    <row r="145" spans="1:31" ht="15.95" customHeight="1" x14ac:dyDescent="0.25">
      <c r="A145" s="144">
        <v>141</v>
      </c>
      <c r="B145" s="145">
        <v>46219</v>
      </c>
      <c r="C145" s="146" t="s">
        <v>204</v>
      </c>
      <c r="D145" s="147">
        <v>20</v>
      </c>
      <c r="E145" s="194">
        <v>0</v>
      </c>
      <c r="F145" s="194">
        <v>0</v>
      </c>
      <c r="G145" s="194">
        <v>0</v>
      </c>
      <c r="H145" s="194">
        <v>0</v>
      </c>
      <c r="I145" s="194">
        <v>0</v>
      </c>
      <c r="J145" s="113">
        <f t="shared" si="14"/>
        <v>0</v>
      </c>
      <c r="K145" s="195">
        <v>0</v>
      </c>
      <c r="L145" s="195">
        <v>0</v>
      </c>
      <c r="M145" s="195">
        <v>0</v>
      </c>
      <c r="N145" s="195">
        <v>0</v>
      </c>
      <c r="O145" s="195">
        <v>0</v>
      </c>
      <c r="P145" s="195">
        <v>0</v>
      </c>
      <c r="Q145" s="195">
        <v>0</v>
      </c>
      <c r="R145" s="195">
        <v>0</v>
      </c>
      <c r="S145" s="195">
        <v>0</v>
      </c>
      <c r="T145" s="114">
        <f t="shared" si="15"/>
        <v>0</v>
      </c>
      <c r="U145" s="196">
        <v>0</v>
      </c>
      <c r="V145" s="196">
        <v>0</v>
      </c>
      <c r="W145" s="115">
        <f t="shared" si="16"/>
        <v>0</v>
      </c>
      <c r="X145" s="116">
        <f>'SUIVI 2026'!M144</f>
        <v>56484482</v>
      </c>
      <c r="Y145" s="117">
        <f t="shared" si="17"/>
        <v>-56484482</v>
      </c>
      <c r="Z145" s="148"/>
      <c r="AA145" s="178">
        <f t="shared" si="18"/>
        <v>0</v>
      </c>
      <c r="AB145" s="179">
        <f t="shared" si="19"/>
        <v>-56484482</v>
      </c>
      <c r="AC145" s="178">
        <f>SUM(AA5:AA145)</f>
        <v>5132</v>
      </c>
      <c r="AD145" s="179">
        <f>SUM(AB5:AB145)</f>
        <v>-1976956870</v>
      </c>
      <c r="AE145" s="180">
        <f t="shared" si="20"/>
        <v>-1976951738</v>
      </c>
    </row>
    <row r="146" spans="1:31" ht="15.95" customHeight="1" x14ac:dyDescent="0.25">
      <c r="A146" s="144">
        <v>142</v>
      </c>
      <c r="B146" s="145">
        <v>46220</v>
      </c>
      <c r="C146" s="146" t="s">
        <v>205</v>
      </c>
      <c r="D146" s="147">
        <v>20</v>
      </c>
      <c r="E146" s="194">
        <v>0</v>
      </c>
      <c r="F146" s="194">
        <v>0</v>
      </c>
      <c r="G146" s="194">
        <v>0</v>
      </c>
      <c r="H146" s="194">
        <v>0</v>
      </c>
      <c r="I146" s="194">
        <v>0</v>
      </c>
      <c r="J146" s="113">
        <f t="shared" si="14"/>
        <v>0</v>
      </c>
      <c r="K146" s="195">
        <v>0</v>
      </c>
      <c r="L146" s="195">
        <v>0</v>
      </c>
      <c r="M146" s="195">
        <v>0</v>
      </c>
      <c r="N146" s="195">
        <v>0</v>
      </c>
      <c r="O146" s="195">
        <v>0</v>
      </c>
      <c r="P146" s="195">
        <v>0</v>
      </c>
      <c r="Q146" s="195">
        <v>0</v>
      </c>
      <c r="R146" s="195">
        <v>0</v>
      </c>
      <c r="S146" s="195">
        <v>0</v>
      </c>
      <c r="T146" s="114">
        <f t="shared" si="15"/>
        <v>0</v>
      </c>
      <c r="U146" s="196">
        <v>0</v>
      </c>
      <c r="V146" s="196">
        <v>0</v>
      </c>
      <c r="W146" s="115">
        <f t="shared" si="16"/>
        <v>0</v>
      </c>
      <c r="X146" s="116">
        <f>'SUIVI 2026'!M145</f>
        <v>56484482</v>
      </c>
      <c r="Y146" s="117">
        <f t="shared" si="17"/>
        <v>-56484482</v>
      </c>
      <c r="Z146" s="148"/>
      <c r="AA146" s="181">
        <f t="shared" si="18"/>
        <v>0</v>
      </c>
      <c r="AB146" s="182">
        <f t="shared" si="19"/>
        <v>-56484482</v>
      </c>
      <c r="AC146" s="181">
        <f>SUM(AA5:AA146)</f>
        <v>5132</v>
      </c>
      <c r="AD146" s="182">
        <f>SUM(AB5:AB146)</f>
        <v>-2033441352</v>
      </c>
      <c r="AE146" s="183">
        <f t="shared" si="20"/>
        <v>-2033436220</v>
      </c>
    </row>
    <row r="147" spans="1:31" ht="15.95" customHeight="1" x14ac:dyDescent="0.25">
      <c r="A147" s="144">
        <v>143</v>
      </c>
      <c r="B147" s="145">
        <v>46223</v>
      </c>
      <c r="C147" s="146" t="s">
        <v>206</v>
      </c>
      <c r="D147" s="147">
        <v>20</v>
      </c>
      <c r="E147" s="194">
        <v>0</v>
      </c>
      <c r="F147" s="194">
        <v>0</v>
      </c>
      <c r="G147" s="194">
        <v>0</v>
      </c>
      <c r="H147" s="194">
        <v>0</v>
      </c>
      <c r="I147" s="194">
        <v>0</v>
      </c>
      <c r="J147" s="113">
        <f t="shared" si="14"/>
        <v>0</v>
      </c>
      <c r="K147" s="195">
        <v>0</v>
      </c>
      <c r="L147" s="195">
        <v>0</v>
      </c>
      <c r="M147" s="195">
        <v>0</v>
      </c>
      <c r="N147" s="195">
        <v>0</v>
      </c>
      <c r="O147" s="195">
        <v>0</v>
      </c>
      <c r="P147" s="195">
        <v>0</v>
      </c>
      <c r="Q147" s="195">
        <v>0</v>
      </c>
      <c r="R147" s="195">
        <v>0</v>
      </c>
      <c r="S147" s="195">
        <v>0</v>
      </c>
      <c r="T147" s="114">
        <f t="shared" si="15"/>
        <v>0</v>
      </c>
      <c r="U147" s="196">
        <v>0</v>
      </c>
      <c r="V147" s="196">
        <v>0</v>
      </c>
      <c r="W147" s="115">
        <f t="shared" si="16"/>
        <v>0</v>
      </c>
      <c r="X147" s="116">
        <f>'SUIVI 2026'!M146</f>
        <v>56484482</v>
      </c>
      <c r="Y147" s="117">
        <f t="shared" si="17"/>
        <v>-56484482</v>
      </c>
      <c r="Z147" s="148"/>
      <c r="AA147" s="178">
        <f t="shared" si="18"/>
        <v>0</v>
      </c>
      <c r="AB147" s="179">
        <f t="shared" si="19"/>
        <v>-56484482</v>
      </c>
      <c r="AC147" s="178">
        <f>SUM(AA5:AA147)</f>
        <v>5132</v>
      </c>
      <c r="AD147" s="179">
        <f>SUM(AB5:AB147)</f>
        <v>-2089925834</v>
      </c>
      <c r="AE147" s="180">
        <f t="shared" si="20"/>
        <v>-2089920702</v>
      </c>
    </row>
    <row r="148" spans="1:31" ht="15.95" customHeight="1" x14ac:dyDescent="0.25">
      <c r="A148" s="144">
        <v>144</v>
      </c>
      <c r="B148" s="145">
        <v>46224</v>
      </c>
      <c r="C148" s="146" t="s">
        <v>207</v>
      </c>
      <c r="D148" s="147">
        <v>21</v>
      </c>
      <c r="E148" s="194">
        <v>0</v>
      </c>
      <c r="F148" s="194">
        <v>0</v>
      </c>
      <c r="G148" s="194">
        <v>0</v>
      </c>
      <c r="H148" s="194">
        <v>0</v>
      </c>
      <c r="I148" s="194">
        <v>0</v>
      </c>
      <c r="J148" s="113">
        <f t="shared" si="14"/>
        <v>0</v>
      </c>
      <c r="K148" s="195">
        <v>0</v>
      </c>
      <c r="L148" s="195">
        <v>0</v>
      </c>
      <c r="M148" s="195">
        <v>0</v>
      </c>
      <c r="N148" s="195">
        <v>0</v>
      </c>
      <c r="O148" s="195">
        <v>0</v>
      </c>
      <c r="P148" s="195">
        <v>0</v>
      </c>
      <c r="Q148" s="195">
        <v>0</v>
      </c>
      <c r="R148" s="195">
        <v>0</v>
      </c>
      <c r="S148" s="195">
        <v>0</v>
      </c>
      <c r="T148" s="114">
        <f t="shared" si="15"/>
        <v>0</v>
      </c>
      <c r="U148" s="196">
        <v>0</v>
      </c>
      <c r="V148" s="196">
        <v>0</v>
      </c>
      <c r="W148" s="115">
        <f t="shared" si="16"/>
        <v>0</v>
      </c>
      <c r="X148" s="116">
        <f>'SUIVI 2026'!M147</f>
        <v>56484482</v>
      </c>
      <c r="Y148" s="117">
        <f t="shared" si="17"/>
        <v>-56484482</v>
      </c>
      <c r="Z148" s="148"/>
      <c r="AA148" s="181">
        <f t="shared" si="18"/>
        <v>0</v>
      </c>
      <c r="AB148" s="182">
        <f t="shared" si="19"/>
        <v>-56484482</v>
      </c>
      <c r="AC148" s="181">
        <f>SUM(AA5:AA148)</f>
        <v>5132</v>
      </c>
      <c r="AD148" s="182">
        <f>SUM(AB5:AB148)</f>
        <v>-2146410316</v>
      </c>
      <c r="AE148" s="183">
        <f t="shared" si="20"/>
        <v>-2146405184</v>
      </c>
    </row>
    <row r="149" spans="1:31" ht="15.95" customHeight="1" x14ac:dyDescent="0.25">
      <c r="A149" s="144">
        <v>145</v>
      </c>
      <c r="B149" s="145">
        <v>46225</v>
      </c>
      <c r="C149" s="146" t="s">
        <v>208</v>
      </c>
      <c r="D149" s="147">
        <v>21</v>
      </c>
      <c r="E149" s="194">
        <v>0</v>
      </c>
      <c r="F149" s="194">
        <v>0</v>
      </c>
      <c r="G149" s="194">
        <v>0</v>
      </c>
      <c r="H149" s="194">
        <v>0</v>
      </c>
      <c r="I149" s="194">
        <v>0</v>
      </c>
      <c r="J149" s="113">
        <f t="shared" si="14"/>
        <v>0</v>
      </c>
      <c r="K149" s="195">
        <v>0</v>
      </c>
      <c r="L149" s="195">
        <v>0</v>
      </c>
      <c r="M149" s="195">
        <v>0</v>
      </c>
      <c r="N149" s="195">
        <v>0</v>
      </c>
      <c r="O149" s="195">
        <v>0</v>
      </c>
      <c r="P149" s="195">
        <v>0</v>
      </c>
      <c r="Q149" s="195">
        <v>0</v>
      </c>
      <c r="R149" s="195">
        <v>0</v>
      </c>
      <c r="S149" s="195">
        <v>0</v>
      </c>
      <c r="T149" s="114">
        <f t="shared" si="15"/>
        <v>0</v>
      </c>
      <c r="U149" s="196">
        <v>0</v>
      </c>
      <c r="V149" s="196">
        <v>0</v>
      </c>
      <c r="W149" s="115">
        <f t="shared" si="16"/>
        <v>0</v>
      </c>
      <c r="X149" s="116">
        <f>'SUIVI 2026'!M148</f>
        <v>56484482</v>
      </c>
      <c r="Y149" s="117">
        <f t="shared" si="17"/>
        <v>-56484482</v>
      </c>
      <c r="Z149" s="148"/>
      <c r="AA149" s="178">
        <f t="shared" si="18"/>
        <v>0</v>
      </c>
      <c r="AB149" s="179">
        <f t="shared" si="19"/>
        <v>-56484482</v>
      </c>
      <c r="AC149" s="178">
        <f>SUM(AA5:AA149)</f>
        <v>5132</v>
      </c>
      <c r="AD149" s="179">
        <f>SUM(AB5:AB149)</f>
        <v>-2202894798</v>
      </c>
      <c r="AE149" s="180">
        <f t="shared" si="20"/>
        <v>-2202889666</v>
      </c>
    </row>
    <row r="150" spans="1:31" ht="15.95" customHeight="1" x14ac:dyDescent="0.25">
      <c r="A150" s="144">
        <v>146</v>
      </c>
      <c r="B150" s="145">
        <v>46226</v>
      </c>
      <c r="C150" s="146" t="s">
        <v>204</v>
      </c>
      <c r="D150" s="147">
        <v>21</v>
      </c>
      <c r="E150" s="194">
        <v>0</v>
      </c>
      <c r="F150" s="194">
        <v>0</v>
      </c>
      <c r="G150" s="194">
        <v>0</v>
      </c>
      <c r="H150" s="194">
        <v>0</v>
      </c>
      <c r="I150" s="194">
        <v>0</v>
      </c>
      <c r="J150" s="113">
        <f t="shared" si="14"/>
        <v>0</v>
      </c>
      <c r="K150" s="195">
        <v>0</v>
      </c>
      <c r="L150" s="195">
        <v>0</v>
      </c>
      <c r="M150" s="195">
        <v>0</v>
      </c>
      <c r="N150" s="195">
        <v>0</v>
      </c>
      <c r="O150" s="195">
        <v>0</v>
      </c>
      <c r="P150" s="195">
        <v>0</v>
      </c>
      <c r="Q150" s="195">
        <v>0</v>
      </c>
      <c r="R150" s="195">
        <v>0</v>
      </c>
      <c r="S150" s="195">
        <v>0</v>
      </c>
      <c r="T150" s="114">
        <f t="shared" si="15"/>
        <v>0</v>
      </c>
      <c r="U150" s="196">
        <v>0</v>
      </c>
      <c r="V150" s="196">
        <v>0</v>
      </c>
      <c r="W150" s="115">
        <f t="shared" si="16"/>
        <v>0</v>
      </c>
      <c r="X150" s="116">
        <f>'SUIVI 2026'!M149</f>
        <v>56484482</v>
      </c>
      <c r="Y150" s="117">
        <f t="shared" si="17"/>
        <v>-56484482</v>
      </c>
      <c r="Z150" s="148"/>
      <c r="AA150" s="181">
        <f t="shared" si="18"/>
        <v>0</v>
      </c>
      <c r="AB150" s="182">
        <f t="shared" si="19"/>
        <v>-56484482</v>
      </c>
      <c r="AC150" s="181">
        <f>SUM(AA5:AA150)</f>
        <v>5132</v>
      </c>
      <c r="AD150" s="182">
        <f>SUM(AB5:AB150)</f>
        <v>-2259379280</v>
      </c>
      <c r="AE150" s="183">
        <f t="shared" si="20"/>
        <v>-2259374148</v>
      </c>
    </row>
    <row r="151" spans="1:31" ht="15.95" customHeight="1" x14ac:dyDescent="0.25">
      <c r="A151" s="144">
        <v>147</v>
      </c>
      <c r="B151" s="145">
        <v>46227</v>
      </c>
      <c r="C151" s="146" t="s">
        <v>205</v>
      </c>
      <c r="D151" s="147">
        <v>21</v>
      </c>
      <c r="E151" s="194">
        <v>0</v>
      </c>
      <c r="F151" s="194">
        <v>0</v>
      </c>
      <c r="G151" s="194">
        <v>0</v>
      </c>
      <c r="H151" s="194">
        <v>0</v>
      </c>
      <c r="I151" s="194">
        <v>0</v>
      </c>
      <c r="J151" s="113">
        <f t="shared" si="14"/>
        <v>0</v>
      </c>
      <c r="K151" s="195">
        <v>0</v>
      </c>
      <c r="L151" s="195">
        <v>0</v>
      </c>
      <c r="M151" s="195">
        <v>0</v>
      </c>
      <c r="N151" s="195">
        <v>0</v>
      </c>
      <c r="O151" s="195">
        <v>0</v>
      </c>
      <c r="P151" s="195">
        <v>0</v>
      </c>
      <c r="Q151" s="195">
        <v>0</v>
      </c>
      <c r="R151" s="195">
        <v>0</v>
      </c>
      <c r="S151" s="195">
        <v>0</v>
      </c>
      <c r="T151" s="114">
        <f t="shared" si="15"/>
        <v>0</v>
      </c>
      <c r="U151" s="196">
        <v>0</v>
      </c>
      <c r="V151" s="196">
        <v>0</v>
      </c>
      <c r="W151" s="115">
        <f t="shared" si="16"/>
        <v>0</v>
      </c>
      <c r="X151" s="116">
        <f>'SUIVI 2026'!M150</f>
        <v>56484482</v>
      </c>
      <c r="Y151" s="117">
        <f t="shared" si="17"/>
        <v>-56484482</v>
      </c>
      <c r="Z151" s="148"/>
      <c r="AA151" s="178">
        <f t="shared" si="18"/>
        <v>0</v>
      </c>
      <c r="AB151" s="179">
        <f t="shared" si="19"/>
        <v>-56484482</v>
      </c>
      <c r="AC151" s="178">
        <f>SUM(AA5:AA151)</f>
        <v>5132</v>
      </c>
      <c r="AD151" s="179">
        <f>SUM(AB5:AB151)</f>
        <v>-2315863762</v>
      </c>
      <c r="AE151" s="180">
        <f t="shared" si="20"/>
        <v>-2315858630</v>
      </c>
    </row>
    <row r="152" spans="1:31" ht="15.95" customHeight="1" x14ac:dyDescent="0.25">
      <c r="A152" s="144">
        <v>148</v>
      </c>
      <c r="B152" s="145">
        <v>46230</v>
      </c>
      <c r="C152" s="146" t="s">
        <v>206</v>
      </c>
      <c r="D152" s="147">
        <v>21</v>
      </c>
      <c r="E152" s="194">
        <v>0</v>
      </c>
      <c r="F152" s="194">
        <v>0</v>
      </c>
      <c r="G152" s="194">
        <v>0</v>
      </c>
      <c r="H152" s="194">
        <v>0</v>
      </c>
      <c r="I152" s="194">
        <v>0</v>
      </c>
      <c r="J152" s="113">
        <f t="shared" si="14"/>
        <v>0</v>
      </c>
      <c r="K152" s="195">
        <v>0</v>
      </c>
      <c r="L152" s="195">
        <v>0</v>
      </c>
      <c r="M152" s="195">
        <v>0</v>
      </c>
      <c r="N152" s="195">
        <v>0</v>
      </c>
      <c r="O152" s="195">
        <v>0</v>
      </c>
      <c r="P152" s="195">
        <v>0</v>
      </c>
      <c r="Q152" s="195">
        <v>0</v>
      </c>
      <c r="R152" s="195">
        <v>0</v>
      </c>
      <c r="S152" s="195">
        <v>0</v>
      </c>
      <c r="T152" s="114">
        <f t="shared" si="15"/>
        <v>0</v>
      </c>
      <c r="U152" s="196">
        <v>0</v>
      </c>
      <c r="V152" s="196">
        <v>0</v>
      </c>
      <c r="W152" s="115">
        <f t="shared" si="16"/>
        <v>0</v>
      </c>
      <c r="X152" s="116">
        <f>'SUIVI 2026'!M151</f>
        <v>56484482</v>
      </c>
      <c r="Y152" s="117">
        <f t="shared" si="17"/>
        <v>-56484482</v>
      </c>
      <c r="Z152" s="148"/>
      <c r="AA152" s="181">
        <f t="shared" si="18"/>
        <v>0</v>
      </c>
      <c r="AB152" s="182">
        <f t="shared" si="19"/>
        <v>-56484482</v>
      </c>
      <c r="AC152" s="181">
        <f>SUM(AA5:AA152)</f>
        <v>5132</v>
      </c>
      <c r="AD152" s="182">
        <f>SUM(AB5:AB152)</f>
        <v>-2372348244</v>
      </c>
      <c r="AE152" s="183">
        <f t="shared" si="20"/>
        <v>-2372343112</v>
      </c>
    </row>
    <row r="153" spans="1:31" ht="15.95" customHeight="1" x14ac:dyDescent="0.25">
      <c r="A153" s="144">
        <v>149</v>
      </c>
      <c r="B153" s="145">
        <v>46231</v>
      </c>
      <c r="C153" s="146" t="s">
        <v>207</v>
      </c>
      <c r="D153" s="147">
        <v>21</v>
      </c>
      <c r="E153" s="194">
        <v>0</v>
      </c>
      <c r="F153" s="194">
        <v>0</v>
      </c>
      <c r="G153" s="194">
        <v>0</v>
      </c>
      <c r="H153" s="194">
        <v>0</v>
      </c>
      <c r="I153" s="194">
        <v>0</v>
      </c>
      <c r="J153" s="113">
        <f t="shared" si="14"/>
        <v>0</v>
      </c>
      <c r="K153" s="195">
        <v>0</v>
      </c>
      <c r="L153" s="195">
        <v>0</v>
      </c>
      <c r="M153" s="195">
        <v>0</v>
      </c>
      <c r="N153" s="195">
        <v>0</v>
      </c>
      <c r="O153" s="195">
        <v>0</v>
      </c>
      <c r="P153" s="195">
        <v>0</v>
      </c>
      <c r="Q153" s="195">
        <v>0</v>
      </c>
      <c r="R153" s="195">
        <v>0</v>
      </c>
      <c r="S153" s="195">
        <v>0</v>
      </c>
      <c r="T153" s="114">
        <f t="shared" si="15"/>
        <v>0</v>
      </c>
      <c r="U153" s="196">
        <v>0</v>
      </c>
      <c r="V153" s="196">
        <v>0</v>
      </c>
      <c r="W153" s="115">
        <f t="shared" si="16"/>
        <v>0</v>
      </c>
      <c r="X153" s="116">
        <f>'SUIVI 2026'!M152</f>
        <v>56484482</v>
      </c>
      <c r="Y153" s="117">
        <f t="shared" si="17"/>
        <v>-56484482</v>
      </c>
      <c r="Z153" s="148"/>
      <c r="AA153" s="178">
        <f t="shared" si="18"/>
        <v>0</v>
      </c>
      <c r="AB153" s="179">
        <f t="shared" si="19"/>
        <v>-56484482</v>
      </c>
      <c r="AC153" s="178">
        <f>SUM(AA5:AA153)</f>
        <v>5132</v>
      </c>
      <c r="AD153" s="179">
        <f>SUM(AB5:AB153)</f>
        <v>-2428832726</v>
      </c>
      <c r="AE153" s="180">
        <f t="shared" si="20"/>
        <v>-2428827594</v>
      </c>
    </row>
    <row r="154" spans="1:31" ht="15.95" customHeight="1" x14ac:dyDescent="0.25">
      <c r="A154" s="144">
        <v>150</v>
      </c>
      <c r="B154" s="145">
        <v>46232</v>
      </c>
      <c r="C154" s="146" t="s">
        <v>208</v>
      </c>
      <c r="D154" s="147">
        <v>21</v>
      </c>
      <c r="E154" s="194">
        <v>0</v>
      </c>
      <c r="F154" s="194">
        <v>0</v>
      </c>
      <c r="G154" s="194">
        <v>0</v>
      </c>
      <c r="H154" s="194">
        <v>0</v>
      </c>
      <c r="I154" s="194">
        <v>0</v>
      </c>
      <c r="J154" s="113">
        <f t="shared" si="14"/>
        <v>0</v>
      </c>
      <c r="K154" s="195">
        <v>0</v>
      </c>
      <c r="L154" s="195">
        <v>0</v>
      </c>
      <c r="M154" s="195">
        <v>0</v>
      </c>
      <c r="N154" s="195">
        <v>0</v>
      </c>
      <c r="O154" s="195">
        <v>0</v>
      </c>
      <c r="P154" s="195">
        <v>0</v>
      </c>
      <c r="Q154" s="195">
        <v>0</v>
      </c>
      <c r="R154" s="195">
        <v>0</v>
      </c>
      <c r="S154" s="195">
        <v>0</v>
      </c>
      <c r="T154" s="114">
        <f t="shared" si="15"/>
        <v>0</v>
      </c>
      <c r="U154" s="196">
        <v>0</v>
      </c>
      <c r="V154" s="196">
        <v>0</v>
      </c>
      <c r="W154" s="115">
        <f t="shared" si="16"/>
        <v>0</v>
      </c>
      <c r="X154" s="116">
        <f>'SUIVI 2026'!M153</f>
        <v>56484482</v>
      </c>
      <c r="Y154" s="117">
        <f t="shared" si="17"/>
        <v>-56484482</v>
      </c>
      <c r="Z154" s="148"/>
      <c r="AA154" s="181">
        <f t="shared" si="18"/>
        <v>0</v>
      </c>
      <c r="AB154" s="182">
        <f t="shared" si="19"/>
        <v>-56484482</v>
      </c>
      <c r="AC154" s="181">
        <f>SUM(AA5:AA154)</f>
        <v>5132</v>
      </c>
      <c r="AD154" s="182">
        <f>SUM(AB5:AB154)</f>
        <v>-2485317208</v>
      </c>
      <c r="AE154" s="183">
        <f t="shared" si="20"/>
        <v>-2485312076</v>
      </c>
    </row>
    <row r="155" spans="1:31" ht="15.95" customHeight="1" x14ac:dyDescent="0.25">
      <c r="A155" s="144">
        <v>151</v>
      </c>
      <c r="B155" s="145">
        <v>46233</v>
      </c>
      <c r="C155" s="146" t="s">
        <v>204</v>
      </c>
      <c r="D155" s="147">
        <v>21</v>
      </c>
      <c r="E155" s="194">
        <v>0</v>
      </c>
      <c r="F155" s="194">
        <v>0</v>
      </c>
      <c r="G155" s="194">
        <v>0</v>
      </c>
      <c r="H155" s="194">
        <v>0</v>
      </c>
      <c r="I155" s="194">
        <v>0</v>
      </c>
      <c r="J155" s="113">
        <f t="shared" si="14"/>
        <v>0</v>
      </c>
      <c r="K155" s="195">
        <v>0</v>
      </c>
      <c r="L155" s="195">
        <v>0</v>
      </c>
      <c r="M155" s="195">
        <v>0</v>
      </c>
      <c r="N155" s="195">
        <v>0</v>
      </c>
      <c r="O155" s="195">
        <v>0</v>
      </c>
      <c r="P155" s="195">
        <v>0</v>
      </c>
      <c r="Q155" s="195">
        <v>0</v>
      </c>
      <c r="R155" s="195">
        <v>0</v>
      </c>
      <c r="S155" s="195">
        <v>0</v>
      </c>
      <c r="T155" s="114">
        <f t="shared" si="15"/>
        <v>0</v>
      </c>
      <c r="U155" s="196">
        <v>0</v>
      </c>
      <c r="V155" s="196">
        <v>0</v>
      </c>
      <c r="W155" s="115">
        <f t="shared" si="16"/>
        <v>0</v>
      </c>
      <c r="X155" s="116">
        <f>'SUIVI 2026'!M154</f>
        <v>56484482</v>
      </c>
      <c r="Y155" s="117">
        <f t="shared" si="17"/>
        <v>-56484482</v>
      </c>
      <c r="Z155" s="148"/>
      <c r="AA155" s="178">
        <f t="shared" si="18"/>
        <v>0</v>
      </c>
      <c r="AB155" s="179">
        <f t="shared" si="19"/>
        <v>-56484482</v>
      </c>
      <c r="AC155" s="178">
        <f>SUM(AA5:AA155)</f>
        <v>5132</v>
      </c>
      <c r="AD155" s="179">
        <f>SUM(AB5:AB155)</f>
        <v>-2541801690</v>
      </c>
      <c r="AE155" s="180">
        <f t="shared" si="20"/>
        <v>-2541796558</v>
      </c>
    </row>
    <row r="156" spans="1:31" ht="15.95" customHeight="1" x14ac:dyDescent="0.25">
      <c r="A156" s="144">
        <v>152</v>
      </c>
      <c r="B156" s="145">
        <v>46234</v>
      </c>
      <c r="C156" s="146" t="s">
        <v>205</v>
      </c>
      <c r="D156" s="147">
        <v>21</v>
      </c>
      <c r="E156" s="194">
        <v>0</v>
      </c>
      <c r="F156" s="194">
        <v>0</v>
      </c>
      <c r="G156" s="194">
        <v>0</v>
      </c>
      <c r="H156" s="194">
        <v>0</v>
      </c>
      <c r="I156" s="194">
        <v>0</v>
      </c>
      <c r="J156" s="113">
        <f t="shared" si="14"/>
        <v>0</v>
      </c>
      <c r="K156" s="195">
        <v>0</v>
      </c>
      <c r="L156" s="195">
        <v>0</v>
      </c>
      <c r="M156" s="195">
        <v>0</v>
      </c>
      <c r="N156" s="195">
        <v>0</v>
      </c>
      <c r="O156" s="195">
        <v>0</v>
      </c>
      <c r="P156" s="195">
        <v>0</v>
      </c>
      <c r="Q156" s="195">
        <v>0</v>
      </c>
      <c r="R156" s="195">
        <v>0</v>
      </c>
      <c r="S156" s="195">
        <v>0</v>
      </c>
      <c r="T156" s="114">
        <f t="shared" si="15"/>
        <v>0</v>
      </c>
      <c r="U156" s="196">
        <v>0</v>
      </c>
      <c r="V156" s="196">
        <v>0</v>
      </c>
      <c r="W156" s="115">
        <f t="shared" si="16"/>
        <v>0</v>
      </c>
      <c r="X156" s="116">
        <f>'SUIVI 2026'!M155</f>
        <v>56484482</v>
      </c>
      <c r="Y156" s="117">
        <f t="shared" si="17"/>
        <v>-56484482</v>
      </c>
      <c r="Z156" s="148"/>
      <c r="AA156" s="181">
        <f t="shared" si="18"/>
        <v>0</v>
      </c>
      <c r="AB156" s="182">
        <f t="shared" si="19"/>
        <v>-56484482</v>
      </c>
      <c r="AC156" s="181">
        <f>SUM(AA5:AA156)</f>
        <v>5132</v>
      </c>
      <c r="AD156" s="182">
        <f>SUM(AB5:AB156)</f>
        <v>-2598286172</v>
      </c>
      <c r="AE156" s="183">
        <f t="shared" si="20"/>
        <v>-2598281040</v>
      </c>
    </row>
    <row r="157" spans="1:31" ht="15.95" customHeight="1" x14ac:dyDescent="0.25">
      <c r="A157" s="149">
        <v>153</v>
      </c>
      <c r="B157" s="150">
        <v>46237</v>
      </c>
      <c r="C157" s="151" t="s">
        <v>206</v>
      </c>
      <c r="D157" s="152">
        <v>22</v>
      </c>
      <c r="E157" s="194">
        <v>0</v>
      </c>
      <c r="F157" s="194">
        <v>0</v>
      </c>
      <c r="G157" s="194">
        <v>0</v>
      </c>
      <c r="H157" s="194">
        <v>0</v>
      </c>
      <c r="I157" s="194">
        <v>0</v>
      </c>
      <c r="J157" s="113">
        <f t="shared" si="14"/>
        <v>0</v>
      </c>
      <c r="K157" s="195">
        <v>0</v>
      </c>
      <c r="L157" s="195">
        <v>0</v>
      </c>
      <c r="M157" s="195">
        <v>0</v>
      </c>
      <c r="N157" s="195">
        <v>0</v>
      </c>
      <c r="O157" s="195">
        <v>0</v>
      </c>
      <c r="P157" s="195">
        <v>0</v>
      </c>
      <c r="Q157" s="195">
        <v>0</v>
      </c>
      <c r="R157" s="195">
        <v>0</v>
      </c>
      <c r="S157" s="195">
        <v>0</v>
      </c>
      <c r="T157" s="114">
        <f t="shared" si="15"/>
        <v>0</v>
      </c>
      <c r="U157" s="196">
        <v>0</v>
      </c>
      <c r="V157" s="196">
        <v>0</v>
      </c>
      <c r="W157" s="115">
        <f t="shared" si="16"/>
        <v>0</v>
      </c>
      <c r="X157" s="116">
        <f>'SUIVI 2026'!M156</f>
        <v>56484482</v>
      </c>
      <c r="Y157" s="117">
        <f t="shared" si="17"/>
        <v>-56484482</v>
      </c>
      <c r="Z157" s="153"/>
      <c r="AA157" s="178">
        <f t="shared" si="18"/>
        <v>0</v>
      </c>
      <c r="AB157" s="179">
        <f t="shared" si="19"/>
        <v>-56484482</v>
      </c>
      <c r="AC157" s="178">
        <f>SUM(AA5:AA157)</f>
        <v>5132</v>
      </c>
      <c r="AD157" s="179">
        <f>SUM(AB5:AB157)</f>
        <v>-2654770654</v>
      </c>
      <c r="AE157" s="180">
        <f t="shared" si="20"/>
        <v>-2654765522</v>
      </c>
    </row>
    <row r="158" spans="1:31" ht="15.95" customHeight="1" x14ac:dyDescent="0.25">
      <c r="A158" s="149">
        <v>154</v>
      </c>
      <c r="B158" s="150">
        <v>46238</v>
      </c>
      <c r="C158" s="151" t="s">
        <v>207</v>
      </c>
      <c r="D158" s="152">
        <v>22</v>
      </c>
      <c r="E158" s="194">
        <v>0</v>
      </c>
      <c r="F158" s="194">
        <v>0</v>
      </c>
      <c r="G158" s="194">
        <v>0</v>
      </c>
      <c r="H158" s="194">
        <v>0</v>
      </c>
      <c r="I158" s="194">
        <v>0</v>
      </c>
      <c r="J158" s="113">
        <f t="shared" si="14"/>
        <v>0</v>
      </c>
      <c r="K158" s="195">
        <v>0</v>
      </c>
      <c r="L158" s="195">
        <v>0</v>
      </c>
      <c r="M158" s="195">
        <v>0</v>
      </c>
      <c r="N158" s="195">
        <v>0</v>
      </c>
      <c r="O158" s="195">
        <v>0</v>
      </c>
      <c r="P158" s="195">
        <v>0</v>
      </c>
      <c r="Q158" s="195">
        <v>0</v>
      </c>
      <c r="R158" s="195">
        <v>0</v>
      </c>
      <c r="S158" s="195">
        <v>0</v>
      </c>
      <c r="T158" s="114">
        <f t="shared" si="15"/>
        <v>0</v>
      </c>
      <c r="U158" s="196">
        <v>0</v>
      </c>
      <c r="V158" s="196">
        <v>0</v>
      </c>
      <c r="W158" s="115">
        <f t="shared" si="16"/>
        <v>0</v>
      </c>
      <c r="X158" s="116">
        <f>'SUIVI 2026'!M157</f>
        <v>56484482</v>
      </c>
      <c r="Y158" s="117">
        <f t="shared" si="17"/>
        <v>-56484482</v>
      </c>
      <c r="Z158" s="153"/>
      <c r="AA158" s="181">
        <f t="shared" si="18"/>
        <v>0</v>
      </c>
      <c r="AB158" s="182">
        <f t="shared" si="19"/>
        <v>-56484482</v>
      </c>
      <c r="AC158" s="181">
        <f>SUM(AA5:AA158)</f>
        <v>5132</v>
      </c>
      <c r="AD158" s="182">
        <f>SUM(AB5:AB158)</f>
        <v>-2711255136</v>
      </c>
      <c r="AE158" s="183">
        <f t="shared" si="20"/>
        <v>-2711250004</v>
      </c>
    </row>
    <row r="159" spans="1:31" ht="15.95" customHeight="1" x14ac:dyDescent="0.25">
      <c r="A159" s="149">
        <v>155</v>
      </c>
      <c r="B159" s="150">
        <v>46239</v>
      </c>
      <c r="C159" s="151" t="s">
        <v>208</v>
      </c>
      <c r="D159" s="152">
        <v>22</v>
      </c>
      <c r="E159" s="194">
        <v>0</v>
      </c>
      <c r="F159" s="194">
        <v>0</v>
      </c>
      <c r="G159" s="194">
        <v>0</v>
      </c>
      <c r="H159" s="194">
        <v>0</v>
      </c>
      <c r="I159" s="194">
        <v>0</v>
      </c>
      <c r="J159" s="113">
        <f t="shared" si="14"/>
        <v>0</v>
      </c>
      <c r="K159" s="195">
        <v>0</v>
      </c>
      <c r="L159" s="195">
        <v>0</v>
      </c>
      <c r="M159" s="195">
        <v>0</v>
      </c>
      <c r="N159" s="195">
        <v>0</v>
      </c>
      <c r="O159" s="195">
        <v>0</v>
      </c>
      <c r="P159" s="195">
        <v>0</v>
      </c>
      <c r="Q159" s="195">
        <v>0</v>
      </c>
      <c r="R159" s="195">
        <v>0</v>
      </c>
      <c r="S159" s="195">
        <v>0</v>
      </c>
      <c r="T159" s="114">
        <f t="shared" si="15"/>
        <v>0</v>
      </c>
      <c r="U159" s="196">
        <v>0</v>
      </c>
      <c r="V159" s="196">
        <v>0</v>
      </c>
      <c r="W159" s="115">
        <f t="shared" si="16"/>
        <v>0</v>
      </c>
      <c r="X159" s="116">
        <f>'SUIVI 2026'!M158</f>
        <v>56484482</v>
      </c>
      <c r="Y159" s="117">
        <f t="shared" si="17"/>
        <v>-56484482</v>
      </c>
      <c r="Z159" s="153"/>
      <c r="AA159" s="178">
        <f t="shared" si="18"/>
        <v>0</v>
      </c>
      <c r="AB159" s="179">
        <f t="shared" si="19"/>
        <v>-56484482</v>
      </c>
      <c r="AC159" s="178">
        <f>SUM(AA5:AA159)</f>
        <v>5132</v>
      </c>
      <c r="AD159" s="179">
        <f>SUM(AB5:AB159)</f>
        <v>-2767739618</v>
      </c>
      <c r="AE159" s="180">
        <f t="shared" si="20"/>
        <v>-2767734486</v>
      </c>
    </row>
    <row r="160" spans="1:31" ht="15.95" customHeight="1" x14ac:dyDescent="0.25">
      <c r="A160" s="149">
        <v>156</v>
      </c>
      <c r="B160" s="150">
        <v>46240</v>
      </c>
      <c r="C160" s="151" t="s">
        <v>204</v>
      </c>
      <c r="D160" s="152">
        <v>22</v>
      </c>
      <c r="E160" s="194">
        <v>0</v>
      </c>
      <c r="F160" s="194">
        <v>0</v>
      </c>
      <c r="G160" s="194">
        <v>0</v>
      </c>
      <c r="H160" s="194">
        <v>0</v>
      </c>
      <c r="I160" s="194">
        <v>0</v>
      </c>
      <c r="J160" s="113">
        <f t="shared" si="14"/>
        <v>0</v>
      </c>
      <c r="K160" s="195">
        <v>0</v>
      </c>
      <c r="L160" s="195">
        <v>0</v>
      </c>
      <c r="M160" s="195">
        <v>0</v>
      </c>
      <c r="N160" s="195">
        <v>0</v>
      </c>
      <c r="O160" s="195">
        <v>0</v>
      </c>
      <c r="P160" s="195">
        <v>0</v>
      </c>
      <c r="Q160" s="195">
        <v>0</v>
      </c>
      <c r="R160" s="195">
        <v>0</v>
      </c>
      <c r="S160" s="195">
        <v>0</v>
      </c>
      <c r="T160" s="114">
        <f t="shared" si="15"/>
        <v>0</v>
      </c>
      <c r="U160" s="196">
        <v>0</v>
      </c>
      <c r="V160" s="196">
        <v>0</v>
      </c>
      <c r="W160" s="115">
        <f t="shared" si="16"/>
        <v>0</v>
      </c>
      <c r="X160" s="116">
        <f>'SUIVI 2026'!M159</f>
        <v>56484482</v>
      </c>
      <c r="Y160" s="117">
        <f t="shared" si="17"/>
        <v>-56484482</v>
      </c>
      <c r="Z160" s="153"/>
      <c r="AA160" s="181">
        <f t="shared" si="18"/>
        <v>0</v>
      </c>
      <c r="AB160" s="182">
        <f t="shared" si="19"/>
        <v>-56484482</v>
      </c>
      <c r="AC160" s="181">
        <f>SUM(AA5:AA160)</f>
        <v>5132</v>
      </c>
      <c r="AD160" s="182">
        <f>SUM(AB5:AB160)</f>
        <v>-2824224100</v>
      </c>
      <c r="AE160" s="183">
        <f t="shared" si="20"/>
        <v>-2824218968</v>
      </c>
    </row>
    <row r="161" spans="1:31" ht="15.95" customHeight="1" x14ac:dyDescent="0.25">
      <c r="A161" s="149">
        <v>157</v>
      </c>
      <c r="B161" s="150">
        <v>46241</v>
      </c>
      <c r="C161" s="151" t="s">
        <v>205</v>
      </c>
      <c r="D161" s="152">
        <v>22</v>
      </c>
      <c r="E161" s="194">
        <v>0</v>
      </c>
      <c r="F161" s="194">
        <v>0</v>
      </c>
      <c r="G161" s="194">
        <v>0</v>
      </c>
      <c r="H161" s="194">
        <v>0</v>
      </c>
      <c r="I161" s="194">
        <v>0</v>
      </c>
      <c r="J161" s="113">
        <f t="shared" si="14"/>
        <v>0</v>
      </c>
      <c r="K161" s="195">
        <v>0</v>
      </c>
      <c r="L161" s="195">
        <v>0</v>
      </c>
      <c r="M161" s="195">
        <v>0</v>
      </c>
      <c r="N161" s="195">
        <v>0</v>
      </c>
      <c r="O161" s="195">
        <v>0</v>
      </c>
      <c r="P161" s="195">
        <v>0</v>
      </c>
      <c r="Q161" s="195">
        <v>0</v>
      </c>
      <c r="R161" s="195">
        <v>0</v>
      </c>
      <c r="S161" s="195">
        <v>0</v>
      </c>
      <c r="T161" s="114">
        <f t="shared" si="15"/>
        <v>0</v>
      </c>
      <c r="U161" s="196">
        <v>0</v>
      </c>
      <c r="V161" s="196">
        <v>0</v>
      </c>
      <c r="W161" s="115">
        <f t="shared" si="16"/>
        <v>0</v>
      </c>
      <c r="X161" s="116">
        <f>'SUIVI 2026'!M160</f>
        <v>56484482</v>
      </c>
      <c r="Y161" s="117">
        <f t="shared" si="17"/>
        <v>-56484482</v>
      </c>
      <c r="Z161" s="153"/>
      <c r="AA161" s="178">
        <f t="shared" si="18"/>
        <v>0</v>
      </c>
      <c r="AB161" s="179">
        <f t="shared" si="19"/>
        <v>-56484482</v>
      </c>
      <c r="AC161" s="178">
        <f>SUM(AA5:AA161)</f>
        <v>5132</v>
      </c>
      <c r="AD161" s="179">
        <f>SUM(AB5:AB161)</f>
        <v>-2880708582</v>
      </c>
      <c r="AE161" s="180">
        <f t="shared" si="20"/>
        <v>-2880703450</v>
      </c>
    </row>
    <row r="162" spans="1:31" ht="15.95" customHeight="1" x14ac:dyDescent="0.25">
      <c r="A162" s="149">
        <v>158</v>
      </c>
      <c r="B162" s="150">
        <v>46244</v>
      </c>
      <c r="C162" s="151" t="s">
        <v>206</v>
      </c>
      <c r="D162" s="152">
        <v>22</v>
      </c>
      <c r="E162" s="194">
        <v>0</v>
      </c>
      <c r="F162" s="194">
        <v>0</v>
      </c>
      <c r="G162" s="194">
        <v>0</v>
      </c>
      <c r="H162" s="194">
        <v>0</v>
      </c>
      <c r="I162" s="194">
        <v>0</v>
      </c>
      <c r="J162" s="113">
        <f t="shared" si="14"/>
        <v>0</v>
      </c>
      <c r="K162" s="195">
        <v>0</v>
      </c>
      <c r="L162" s="195">
        <v>0</v>
      </c>
      <c r="M162" s="195">
        <v>0</v>
      </c>
      <c r="N162" s="195">
        <v>0</v>
      </c>
      <c r="O162" s="195">
        <v>0</v>
      </c>
      <c r="P162" s="195">
        <v>0</v>
      </c>
      <c r="Q162" s="195">
        <v>0</v>
      </c>
      <c r="R162" s="195">
        <v>0</v>
      </c>
      <c r="S162" s="195">
        <v>0</v>
      </c>
      <c r="T162" s="114">
        <f t="shared" si="15"/>
        <v>0</v>
      </c>
      <c r="U162" s="196">
        <v>0</v>
      </c>
      <c r="V162" s="196">
        <v>0</v>
      </c>
      <c r="W162" s="115">
        <f t="shared" si="16"/>
        <v>0</v>
      </c>
      <c r="X162" s="116">
        <f>'SUIVI 2026'!M161</f>
        <v>56484482</v>
      </c>
      <c r="Y162" s="117">
        <f t="shared" si="17"/>
        <v>-56484482</v>
      </c>
      <c r="Z162" s="153"/>
      <c r="AA162" s="181">
        <f t="shared" si="18"/>
        <v>0</v>
      </c>
      <c r="AB162" s="182">
        <f t="shared" si="19"/>
        <v>-56484482</v>
      </c>
      <c r="AC162" s="181">
        <f>SUM(AA5:AA162)</f>
        <v>5132</v>
      </c>
      <c r="AD162" s="182">
        <f>SUM(AB5:AB162)</f>
        <v>-2937193064</v>
      </c>
      <c r="AE162" s="183">
        <f t="shared" si="20"/>
        <v>-2937187932</v>
      </c>
    </row>
    <row r="163" spans="1:31" ht="15.95" customHeight="1" x14ac:dyDescent="0.25">
      <c r="A163" s="149">
        <v>159</v>
      </c>
      <c r="B163" s="150">
        <v>46245</v>
      </c>
      <c r="C163" s="151" t="s">
        <v>207</v>
      </c>
      <c r="D163" s="152">
        <v>23</v>
      </c>
      <c r="E163" s="194">
        <v>0</v>
      </c>
      <c r="F163" s="194">
        <v>0</v>
      </c>
      <c r="G163" s="194">
        <v>0</v>
      </c>
      <c r="H163" s="194">
        <v>0</v>
      </c>
      <c r="I163" s="194">
        <v>0</v>
      </c>
      <c r="J163" s="113">
        <f t="shared" si="14"/>
        <v>0</v>
      </c>
      <c r="K163" s="195">
        <v>0</v>
      </c>
      <c r="L163" s="195">
        <v>0</v>
      </c>
      <c r="M163" s="195">
        <v>0</v>
      </c>
      <c r="N163" s="195">
        <v>0</v>
      </c>
      <c r="O163" s="195">
        <v>0</v>
      </c>
      <c r="P163" s="195">
        <v>0</v>
      </c>
      <c r="Q163" s="195">
        <v>0</v>
      </c>
      <c r="R163" s="195">
        <v>0</v>
      </c>
      <c r="S163" s="195">
        <v>0</v>
      </c>
      <c r="T163" s="114">
        <f t="shared" si="15"/>
        <v>0</v>
      </c>
      <c r="U163" s="196">
        <v>0</v>
      </c>
      <c r="V163" s="196">
        <v>0</v>
      </c>
      <c r="W163" s="115">
        <f t="shared" si="16"/>
        <v>0</v>
      </c>
      <c r="X163" s="116">
        <f>'SUIVI 2026'!M162</f>
        <v>56484482</v>
      </c>
      <c r="Y163" s="117">
        <f t="shared" si="17"/>
        <v>-56484482</v>
      </c>
      <c r="Z163" s="153"/>
      <c r="AA163" s="178">
        <f t="shared" si="18"/>
        <v>0</v>
      </c>
      <c r="AB163" s="179">
        <f t="shared" si="19"/>
        <v>-56484482</v>
      </c>
      <c r="AC163" s="178">
        <f>SUM(AA5:AA163)</f>
        <v>5132</v>
      </c>
      <c r="AD163" s="179">
        <f>SUM(AB5:AB163)</f>
        <v>-2993677546</v>
      </c>
      <c r="AE163" s="180">
        <f t="shared" si="20"/>
        <v>-2993672414</v>
      </c>
    </row>
    <row r="164" spans="1:31" ht="15.95" customHeight="1" x14ac:dyDescent="0.25">
      <c r="A164" s="149">
        <v>160</v>
      </c>
      <c r="B164" s="150">
        <v>46246</v>
      </c>
      <c r="C164" s="151" t="s">
        <v>208</v>
      </c>
      <c r="D164" s="152">
        <v>23</v>
      </c>
      <c r="E164" s="194">
        <v>0</v>
      </c>
      <c r="F164" s="194">
        <v>0</v>
      </c>
      <c r="G164" s="194">
        <v>0</v>
      </c>
      <c r="H164" s="194">
        <v>0</v>
      </c>
      <c r="I164" s="194">
        <v>0</v>
      </c>
      <c r="J164" s="113">
        <f t="shared" si="14"/>
        <v>0</v>
      </c>
      <c r="K164" s="195">
        <v>0</v>
      </c>
      <c r="L164" s="195">
        <v>0</v>
      </c>
      <c r="M164" s="195">
        <v>0</v>
      </c>
      <c r="N164" s="195">
        <v>0</v>
      </c>
      <c r="O164" s="195">
        <v>0</v>
      </c>
      <c r="P164" s="195">
        <v>0</v>
      </c>
      <c r="Q164" s="195">
        <v>0</v>
      </c>
      <c r="R164" s="195">
        <v>0</v>
      </c>
      <c r="S164" s="195">
        <v>0</v>
      </c>
      <c r="T164" s="114">
        <f t="shared" si="15"/>
        <v>0</v>
      </c>
      <c r="U164" s="196">
        <v>0</v>
      </c>
      <c r="V164" s="196">
        <v>0</v>
      </c>
      <c r="W164" s="115">
        <f t="shared" si="16"/>
        <v>0</v>
      </c>
      <c r="X164" s="116">
        <f>'SUIVI 2026'!M163</f>
        <v>56484482</v>
      </c>
      <c r="Y164" s="117">
        <f t="shared" si="17"/>
        <v>-56484482</v>
      </c>
      <c r="Z164" s="153"/>
      <c r="AA164" s="181">
        <f t="shared" si="18"/>
        <v>0</v>
      </c>
      <c r="AB164" s="182">
        <f t="shared" si="19"/>
        <v>-56484482</v>
      </c>
      <c r="AC164" s="181">
        <f>SUM(AA5:AA164)</f>
        <v>5132</v>
      </c>
      <c r="AD164" s="182">
        <f>SUM(AB5:AB164)</f>
        <v>-3050162028</v>
      </c>
      <c r="AE164" s="183">
        <f t="shared" si="20"/>
        <v>-3050156896</v>
      </c>
    </row>
    <row r="165" spans="1:31" ht="15.95" customHeight="1" x14ac:dyDescent="0.25">
      <c r="A165" s="149">
        <v>161</v>
      </c>
      <c r="B165" s="150">
        <v>46247</v>
      </c>
      <c r="C165" s="151" t="s">
        <v>204</v>
      </c>
      <c r="D165" s="152">
        <v>23</v>
      </c>
      <c r="E165" s="194">
        <v>0</v>
      </c>
      <c r="F165" s="194">
        <v>0</v>
      </c>
      <c r="G165" s="194">
        <v>0</v>
      </c>
      <c r="H165" s="194">
        <v>0</v>
      </c>
      <c r="I165" s="194">
        <v>0</v>
      </c>
      <c r="J165" s="113">
        <f t="shared" si="14"/>
        <v>0</v>
      </c>
      <c r="K165" s="195">
        <v>0</v>
      </c>
      <c r="L165" s="195">
        <v>0</v>
      </c>
      <c r="M165" s="195">
        <v>0</v>
      </c>
      <c r="N165" s="195">
        <v>0</v>
      </c>
      <c r="O165" s="195">
        <v>0</v>
      </c>
      <c r="P165" s="195">
        <v>0</v>
      </c>
      <c r="Q165" s="195">
        <v>0</v>
      </c>
      <c r="R165" s="195">
        <v>0</v>
      </c>
      <c r="S165" s="195">
        <v>0</v>
      </c>
      <c r="T165" s="114">
        <f t="shared" si="15"/>
        <v>0</v>
      </c>
      <c r="U165" s="196">
        <v>0</v>
      </c>
      <c r="V165" s="196">
        <v>0</v>
      </c>
      <c r="W165" s="115">
        <f t="shared" si="16"/>
        <v>0</v>
      </c>
      <c r="X165" s="116">
        <f>'SUIVI 2026'!M164</f>
        <v>56484482</v>
      </c>
      <c r="Y165" s="117">
        <f t="shared" si="17"/>
        <v>-56484482</v>
      </c>
      <c r="Z165" s="153"/>
      <c r="AA165" s="178">
        <f t="shared" si="18"/>
        <v>0</v>
      </c>
      <c r="AB165" s="179">
        <f t="shared" si="19"/>
        <v>-56484482</v>
      </c>
      <c r="AC165" s="178">
        <f>SUM(AA5:AA165)</f>
        <v>5132</v>
      </c>
      <c r="AD165" s="179">
        <f>SUM(AB5:AB165)</f>
        <v>-3106646510</v>
      </c>
      <c r="AE165" s="180">
        <f t="shared" si="20"/>
        <v>-3106641378</v>
      </c>
    </row>
    <row r="166" spans="1:31" ht="15.95" customHeight="1" x14ac:dyDescent="0.25">
      <c r="A166" s="149">
        <v>162</v>
      </c>
      <c r="B166" s="150">
        <v>46248</v>
      </c>
      <c r="C166" s="151" t="s">
        <v>205</v>
      </c>
      <c r="D166" s="152">
        <v>23</v>
      </c>
      <c r="E166" s="194">
        <v>0</v>
      </c>
      <c r="F166" s="194">
        <v>0</v>
      </c>
      <c r="G166" s="194">
        <v>0</v>
      </c>
      <c r="H166" s="194">
        <v>0</v>
      </c>
      <c r="I166" s="194">
        <v>0</v>
      </c>
      <c r="J166" s="113">
        <f t="shared" si="14"/>
        <v>0</v>
      </c>
      <c r="K166" s="195">
        <v>0</v>
      </c>
      <c r="L166" s="195">
        <v>0</v>
      </c>
      <c r="M166" s="195">
        <v>0</v>
      </c>
      <c r="N166" s="195">
        <v>0</v>
      </c>
      <c r="O166" s="195">
        <v>0</v>
      </c>
      <c r="P166" s="195">
        <v>0</v>
      </c>
      <c r="Q166" s="195">
        <v>0</v>
      </c>
      <c r="R166" s="195">
        <v>0</v>
      </c>
      <c r="S166" s="195">
        <v>0</v>
      </c>
      <c r="T166" s="114">
        <f t="shared" si="15"/>
        <v>0</v>
      </c>
      <c r="U166" s="196">
        <v>0</v>
      </c>
      <c r="V166" s="196">
        <v>0</v>
      </c>
      <c r="W166" s="115">
        <f t="shared" si="16"/>
        <v>0</v>
      </c>
      <c r="X166" s="116">
        <f>'SUIVI 2026'!M165</f>
        <v>56484482</v>
      </c>
      <c r="Y166" s="117">
        <f t="shared" si="17"/>
        <v>-56484482</v>
      </c>
      <c r="Z166" s="153"/>
      <c r="AA166" s="181">
        <f t="shared" si="18"/>
        <v>0</v>
      </c>
      <c r="AB166" s="182">
        <f t="shared" si="19"/>
        <v>-56484482</v>
      </c>
      <c r="AC166" s="181">
        <f>SUM(AA5:AA166)</f>
        <v>5132</v>
      </c>
      <c r="AD166" s="182">
        <f>SUM(AB5:AB166)</f>
        <v>-3163130992</v>
      </c>
      <c r="AE166" s="183">
        <f t="shared" si="20"/>
        <v>-3163125860</v>
      </c>
    </row>
    <row r="167" spans="1:31" ht="15.95" customHeight="1" x14ac:dyDescent="0.25">
      <c r="A167" s="149">
        <v>163</v>
      </c>
      <c r="B167" s="150">
        <v>46251</v>
      </c>
      <c r="C167" s="151" t="s">
        <v>206</v>
      </c>
      <c r="D167" s="152">
        <v>23</v>
      </c>
      <c r="E167" s="194">
        <v>0</v>
      </c>
      <c r="F167" s="194">
        <v>0</v>
      </c>
      <c r="G167" s="194">
        <v>0</v>
      </c>
      <c r="H167" s="194">
        <v>0</v>
      </c>
      <c r="I167" s="194">
        <v>0</v>
      </c>
      <c r="J167" s="113">
        <f t="shared" si="14"/>
        <v>0</v>
      </c>
      <c r="K167" s="195">
        <v>0</v>
      </c>
      <c r="L167" s="195">
        <v>0</v>
      </c>
      <c r="M167" s="195">
        <v>0</v>
      </c>
      <c r="N167" s="195">
        <v>0</v>
      </c>
      <c r="O167" s="195">
        <v>0</v>
      </c>
      <c r="P167" s="195">
        <v>0</v>
      </c>
      <c r="Q167" s="195">
        <v>0</v>
      </c>
      <c r="R167" s="195">
        <v>0</v>
      </c>
      <c r="S167" s="195">
        <v>0</v>
      </c>
      <c r="T167" s="114">
        <f t="shared" si="15"/>
        <v>0</v>
      </c>
      <c r="U167" s="196">
        <v>0</v>
      </c>
      <c r="V167" s="196">
        <v>0</v>
      </c>
      <c r="W167" s="115">
        <f t="shared" si="16"/>
        <v>0</v>
      </c>
      <c r="X167" s="116">
        <f>'SUIVI 2026'!M166</f>
        <v>56484482</v>
      </c>
      <c r="Y167" s="117">
        <f t="shared" si="17"/>
        <v>-56484482</v>
      </c>
      <c r="Z167" s="153"/>
      <c r="AA167" s="178">
        <f t="shared" si="18"/>
        <v>0</v>
      </c>
      <c r="AB167" s="179">
        <f t="shared" si="19"/>
        <v>-56484482</v>
      </c>
      <c r="AC167" s="178">
        <f>SUM(AA5:AA167)</f>
        <v>5132</v>
      </c>
      <c r="AD167" s="179">
        <f>SUM(AB5:AB167)</f>
        <v>-3219615474</v>
      </c>
      <c r="AE167" s="180">
        <f t="shared" si="20"/>
        <v>-3219610342</v>
      </c>
    </row>
    <row r="168" spans="1:31" ht="15.95" customHeight="1" x14ac:dyDescent="0.25">
      <c r="A168" s="149">
        <v>164</v>
      </c>
      <c r="B168" s="150">
        <v>46252</v>
      </c>
      <c r="C168" s="151" t="s">
        <v>207</v>
      </c>
      <c r="D168" s="152">
        <v>23</v>
      </c>
      <c r="E168" s="194">
        <v>0</v>
      </c>
      <c r="F168" s="194">
        <v>0</v>
      </c>
      <c r="G168" s="194">
        <v>0</v>
      </c>
      <c r="H168" s="194">
        <v>0</v>
      </c>
      <c r="I168" s="194">
        <v>0</v>
      </c>
      <c r="J168" s="113">
        <f t="shared" si="14"/>
        <v>0</v>
      </c>
      <c r="K168" s="195">
        <v>0</v>
      </c>
      <c r="L168" s="195">
        <v>0</v>
      </c>
      <c r="M168" s="195">
        <v>0</v>
      </c>
      <c r="N168" s="195">
        <v>0</v>
      </c>
      <c r="O168" s="195">
        <v>0</v>
      </c>
      <c r="P168" s="195">
        <v>0</v>
      </c>
      <c r="Q168" s="195">
        <v>0</v>
      </c>
      <c r="R168" s="195">
        <v>0</v>
      </c>
      <c r="S168" s="195">
        <v>0</v>
      </c>
      <c r="T168" s="114">
        <f t="shared" si="15"/>
        <v>0</v>
      </c>
      <c r="U168" s="196">
        <v>0</v>
      </c>
      <c r="V168" s="196">
        <v>0</v>
      </c>
      <c r="W168" s="115">
        <f t="shared" si="16"/>
        <v>0</v>
      </c>
      <c r="X168" s="116">
        <f>'SUIVI 2026'!M167</f>
        <v>56484482</v>
      </c>
      <c r="Y168" s="117">
        <f t="shared" si="17"/>
        <v>-56484482</v>
      </c>
      <c r="Z168" s="153"/>
      <c r="AA168" s="181">
        <f t="shared" si="18"/>
        <v>0</v>
      </c>
      <c r="AB168" s="182">
        <f t="shared" si="19"/>
        <v>-56484482</v>
      </c>
      <c r="AC168" s="181">
        <f>SUM(AA5:AA168)</f>
        <v>5132</v>
      </c>
      <c r="AD168" s="182">
        <f>SUM(AB5:AB168)</f>
        <v>-3276099956</v>
      </c>
      <c r="AE168" s="183">
        <f t="shared" si="20"/>
        <v>-3276094824</v>
      </c>
    </row>
    <row r="169" spans="1:31" ht="15.95" customHeight="1" x14ac:dyDescent="0.25">
      <c r="A169" s="149">
        <v>165</v>
      </c>
      <c r="B169" s="150">
        <v>46253</v>
      </c>
      <c r="C169" s="151" t="s">
        <v>208</v>
      </c>
      <c r="D169" s="152">
        <v>23</v>
      </c>
      <c r="E169" s="194">
        <v>0</v>
      </c>
      <c r="F169" s="194">
        <v>0</v>
      </c>
      <c r="G169" s="194">
        <v>0</v>
      </c>
      <c r="H169" s="194">
        <v>0</v>
      </c>
      <c r="I169" s="194">
        <v>0</v>
      </c>
      <c r="J169" s="113">
        <f t="shared" si="14"/>
        <v>0</v>
      </c>
      <c r="K169" s="195">
        <v>0</v>
      </c>
      <c r="L169" s="195">
        <v>0</v>
      </c>
      <c r="M169" s="195">
        <v>0</v>
      </c>
      <c r="N169" s="195">
        <v>0</v>
      </c>
      <c r="O169" s="195">
        <v>0</v>
      </c>
      <c r="P169" s="195">
        <v>0</v>
      </c>
      <c r="Q169" s="195">
        <v>0</v>
      </c>
      <c r="R169" s="195">
        <v>0</v>
      </c>
      <c r="S169" s="195">
        <v>0</v>
      </c>
      <c r="T169" s="114">
        <f t="shared" si="15"/>
        <v>0</v>
      </c>
      <c r="U169" s="196">
        <v>0</v>
      </c>
      <c r="V169" s="196">
        <v>0</v>
      </c>
      <c r="W169" s="115">
        <f t="shared" si="16"/>
        <v>0</v>
      </c>
      <c r="X169" s="116">
        <f>'SUIVI 2026'!M168</f>
        <v>56484482</v>
      </c>
      <c r="Y169" s="117">
        <f t="shared" si="17"/>
        <v>-56484482</v>
      </c>
      <c r="Z169" s="153"/>
      <c r="AA169" s="178">
        <f t="shared" si="18"/>
        <v>0</v>
      </c>
      <c r="AB169" s="179">
        <f t="shared" si="19"/>
        <v>-56484482</v>
      </c>
      <c r="AC169" s="178">
        <f>SUM(AA5:AA169)</f>
        <v>5132</v>
      </c>
      <c r="AD169" s="179">
        <f>SUM(AB5:AB169)</f>
        <v>-3332584438</v>
      </c>
      <c r="AE169" s="180">
        <f t="shared" si="20"/>
        <v>-3332579306</v>
      </c>
    </row>
    <row r="170" spans="1:31" ht="15.95" customHeight="1" x14ac:dyDescent="0.25">
      <c r="A170" s="149">
        <v>166</v>
      </c>
      <c r="B170" s="150">
        <v>46254</v>
      </c>
      <c r="C170" s="151" t="s">
        <v>204</v>
      </c>
      <c r="D170" s="152">
        <v>23</v>
      </c>
      <c r="E170" s="194">
        <v>0</v>
      </c>
      <c r="F170" s="194">
        <v>0</v>
      </c>
      <c r="G170" s="194">
        <v>0</v>
      </c>
      <c r="H170" s="194">
        <v>0</v>
      </c>
      <c r="I170" s="194">
        <v>0</v>
      </c>
      <c r="J170" s="113">
        <f t="shared" si="14"/>
        <v>0</v>
      </c>
      <c r="K170" s="195">
        <v>0</v>
      </c>
      <c r="L170" s="195">
        <v>0</v>
      </c>
      <c r="M170" s="195">
        <v>0</v>
      </c>
      <c r="N170" s="195">
        <v>0</v>
      </c>
      <c r="O170" s="195">
        <v>0</v>
      </c>
      <c r="P170" s="195">
        <v>0</v>
      </c>
      <c r="Q170" s="195">
        <v>0</v>
      </c>
      <c r="R170" s="195">
        <v>0</v>
      </c>
      <c r="S170" s="195">
        <v>0</v>
      </c>
      <c r="T170" s="114">
        <f t="shared" si="15"/>
        <v>0</v>
      </c>
      <c r="U170" s="196">
        <v>0</v>
      </c>
      <c r="V170" s="196">
        <v>0</v>
      </c>
      <c r="W170" s="115">
        <f t="shared" si="16"/>
        <v>0</v>
      </c>
      <c r="X170" s="116">
        <f>'SUIVI 2026'!M169</f>
        <v>56484482</v>
      </c>
      <c r="Y170" s="117">
        <f t="shared" si="17"/>
        <v>-56484482</v>
      </c>
      <c r="Z170" s="153"/>
      <c r="AA170" s="181">
        <f t="shared" si="18"/>
        <v>0</v>
      </c>
      <c r="AB170" s="182">
        <f t="shared" si="19"/>
        <v>-56484482</v>
      </c>
      <c r="AC170" s="181">
        <f>SUM(AA5:AA170)</f>
        <v>5132</v>
      </c>
      <c r="AD170" s="182">
        <f>SUM(AB5:AB170)</f>
        <v>-3389068920</v>
      </c>
      <c r="AE170" s="183">
        <f t="shared" si="20"/>
        <v>-3389063788</v>
      </c>
    </row>
    <row r="171" spans="1:31" ht="15.95" customHeight="1" x14ac:dyDescent="0.25">
      <c r="A171" s="149">
        <v>167</v>
      </c>
      <c r="B171" s="150">
        <v>46255</v>
      </c>
      <c r="C171" s="151" t="s">
        <v>205</v>
      </c>
      <c r="D171" s="152">
        <v>24</v>
      </c>
      <c r="E171" s="194">
        <v>0</v>
      </c>
      <c r="F171" s="194">
        <v>0</v>
      </c>
      <c r="G171" s="194">
        <v>0</v>
      </c>
      <c r="H171" s="194">
        <v>0</v>
      </c>
      <c r="I171" s="194">
        <v>0</v>
      </c>
      <c r="J171" s="113">
        <f t="shared" si="14"/>
        <v>0</v>
      </c>
      <c r="K171" s="195">
        <v>0</v>
      </c>
      <c r="L171" s="195">
        <v>0</v>
      </c>
      <c r="M171" s="195">
        <v>0</v>
      </c>
      <c r="N171" s="195">
        <v>0</v>
      </c>
      <c r="O171" s="195">
        <v>0</v>
      </c>
      <c r="P171" s="195">
        <v>0</v>
      </c>
      <c r="Q171" s="195">
        <v>0</v>
      </c>
      <c r="R171" s="195">
        <v>0</v>
      </c>
      <c r="S171" s="195">
        <v>0</v>
      </c>
      <c r="T171" s="114">
        <f t="shared" si="15"/>
        <v>0</v>
      </c>
      <c r="U171" s="196">
        <v>0</v>
      </c>
      <c r="V171" s="196">
        <v>0</v>
      </c>
      <c r="W171" s="115">
        <f t="shared" si="16"/>
        <v>0</v>
      </c>
      <c r="X171" s="116">
        <f>'SUIVI 2026'!M170</f>
        <v>56484482</v>
      </c>
      <c r="Y171" s="117">
        <f t="shared" si="17"/>
        <v>-56484482</v>
      </c>
      <c r="Z171" s="153"/>
      <c r="AA171" s="178">
        <f t="shared" si="18"/>
        <v>0</v>
      </c>
      <c r="AB171" s="179">
        <f t="shared" si="19"/>
        <v>-56484482</v>
      </c>
      <c r="AC171" s="178">
        <f>SUM(AA5:AA171)</f>
        <v>5132</v>
      </c>
      <c r="AD171" s="179">
        <f>SUM(AB5:AB171)</f>
        <v>-3445553402</v>
      </c>
      <c r="AE171" s="180">
        <f t="shared" si="20"/>
        <v>-3445548270</v>
      </c>
    </row>
    <row r="172" spans="1:31" ht="15.95" customHeight="1" x14ac:dyDescent="0.25">
      <c r="A172" s="149">
        <v>168</v>
      </c>
      <c r="B172" s="150">
        <v>46258</v>
      </c>
      <c r="C172" s="151" t="s">
        <v>206</v>
      </c>
      <c r="D172" s="152">
        <v>24</v>
      </c>
      <c r="E172" s="194">
        <v>0</v>
      </c>
      <c r="F172" s="194">
        <v>0</v>
      </c>
      <c r="G172" s="194">
        <v>0</v>
      </c>
      <c r="H172" s="194">
        <v>0</v>
      </c>
      <c r="I172" s="194">
        <v>0</v>
      </c>
      <c r="J172" s="113">
        <f t="shared" si="14"/>
        <v>0</v>
      </c>
      <c r="K172" s="195">
        <v>0</v>
      </c>
      <c r="L172" s="195">
        <v>0</v>
      </c>
      <c r="M172" s="195">
        <v>0</v>
      </c>
      <c r="N172" s="195">
        <v>0</v>
      </c>
      <c r="O172" s="195">
        <v>0</v>
      </c>
      <c r="P172" s="195">
        <v>0</v>
      </c>
      <c r="Q172" s="195">
        <v>0</v>
      </c>
      <c r="R172" s="195">
        <v>0</v>
      </c>
      <c r="S172" s="195">
        <v>0</v>
      </c>
      <c r="T172" s="114">
        <f t="shared" si="15"/>
        <v>0</v>
      </c>
      <c r="U172" s="196">
        <v>0</v>
      </c>
      <c r="V172" s="196">
        <v>0</v>
      </c>
      <c r="W172" s="115">
        <f t="shared" si="16"/>
        <v>0</v>
      </c>
      <c r="X172" s="116">
        <f>'SUIVI 2026'!M171</f>
        <v>56484482</v>
      </c>
      <c r="Y172" s="117">
        <f t="shared" si="17"/>
        <v>-56484482</v>
      </c>
      <c r="Z172" s="153"/>
      <c r="AA172" s="181">
        <f t="shared" si="18"/>
        <v>0</v>
      </c>
      <c r="AB172" s="182">
        <f t="shared" si="19"/>
        <v>-56484482</v>
      </c>
      <c r="AC172" s="181">
        <f>SUM(AA5:AA172)</f>
        <v>5132</v>
      </c>
      <c r="AD172" s="182">
        <f>SUM(AB5:AB172)</f>
        <v>-3502037884</v>
      </c>
      <c r="AE172" s="183">
        <f t="shared" si="20"/>
        <v>-3502032752</v>
      </c>
    </row>
    <row r="173" spans="1:31" ht="15.95" customHeight="1" x14ac:dyDescent="0.25">
      <c r="A173" s="149">
        <v>169</v>
      </c>
      <c r="B173" s="150">
        <v>46259</v>
      </c>
      <c r="C173" s="151" t="s">
        <v>207</v>
      </c>
      <c r="D173" s="152">
        <v>24</v>
      </c>
      <c r="E173" s="194">
        <v>0</v>
      </c>
      <c r="F173" s="194">
        <v>0</v>
      </c>
      <c r="G173" s="194">
        <v>0</v>
      </c>
      <c r="H173" s="194">
        <v>0</v>
      </c>
      <c r="I173" s="194">
        <v>0</v>
      </c>
      <c r="J173" s="113">
        <f t="shared" si="14"/>
        <v>0</v>
      </c>
      <c r="K173" s="195">
        <v>0</v>
      </c>
      <c r="L173" s="195">
        <v>0</v>
      </c>
      <c r="M173" s="195">
        <v>0</v>
      </c>
      <c r="N173" s="195">
        <v>0</v>
      </c>
      <c r="O173" s="195">
        <v>0</v>
      </c>
      <c r="P173" s="195">
        <v>0</v>
      </c>
      <c r="Q173" s="195">
        <v>0</v>
      </c>
      <c r="R173" s="195">
        <v>0</v>
      </c>
      <c r="S173" s="195">
        <v>0</v>
      </c>
      <c r="T173" s="114">
        <f t="shared" si="15"/>
        <v>0</v>
      </c>
      <c r="U173" s="196">
        <v>0</v>
      </c>
      <c r="V173" s="196">
        <v>0</v>
      </c>
      <c r="W173" s="115">
        <f t="shared" si="16"/>
        <v>0</v>
      </c>
      <c r="X173" s="116">
        <f>'SUIVI 2026'!M172</f>
        <v>56484482</v>
      </c>
      <c r="Y173" s="117">
        <f t="shared" si="17"/>
        <v>-56484482</v>
      </c>
      <c r="Z173" s="153"/>
      <c r="AA173" s="178">
        <f t="shared" si="18"/>
        <v>0</v>
      </c>
      <c r="AB173" s="179">
        <f t="shared" si="19"/>
        <v>-56484482</v>
      </c>
      <c r="AC173" s="178">
        <f>SUM(AA5:AA173)</f>
        <v>5132</v>
      </c>
      <c r="AD173" s="179">
        <f>SUM(AB5:AB173)</f>
        <v>-3558522366</v>
      </c>
      <c r="AE173" s="180">
        <f t="shared" si="20"/>
        <v>-3558517234</v>
      </c>
    </row>
    <row r="174" spans="1:31" ht="15.95" customHeight="1" x14ac:dyDescent="0.25">
      <c r="A174" s="149">
        <v>170</v>
      </c>
      <c r="B174" s="150">
        <v>46260</v>
      </c>
      <c r="C174" s="151" t="s">
        <v>208</v>
      </c>
      <c r="D174" s="152">
        <v>24</v>
      </c>
      <c r="E174" s="194">
        <v>0</v>
      </c>
      <c r="F174" s="194">
        <v>0</v>
      </c>
      <c r="G174" s="194">
        <v>0</v>
      </c>
      <c r="H174" s="194">
        <v>0</v>
      </c>
      <c r="I174" s="194">
        <v>0</v>
      </c>
      <c r="J174" s="113">
        <f t="shared" si="14"/>
        <v>0</v>
      </c>
      <c r="K174" s="195">
        <v>0</v>
      </c>
      <c r="L174" s="195">
        <v>0</v>
      </c>
      <c r="M174" s="195">
        <v>0</v>
      </c>
      <c r="N174" s="195">
        <v>0</v>
      </c>
      <c r="O174" s="195">
        <v>0</v>
      </c>
      <c r="P174" s="195">
        <v>0</v>
      </c>
      <c r="Q174" s="195">
        <v>0</v>
      </c>
      <c r="R174" s="195">
        <v>0</v>
      </c>
      <c r="S174" s="195">
        <v>0</v>
      </c>
      <c r="T174" s="114">
        <f t="shared" si="15"/>
        <v>0</v>
      </c>
      <c r="U174" s="196">
        <v>0</v>
      </c>
      <c r="V174" s="196">
        <v>0</v>
      </c>
      <c r="W174" s="115">
        <f t="shared" si="16"/>
        <v>0</v>
      </c>
      <c r="X174" s="116">
        <f>'SUIVI 2026'!M173</f>
        <v>56484482</v>
      </c>
      <c r="Y174" s="117">
        <f t="shared" si="17"/>
        <v>-56484482</v>
      </c>
      <c r="Z174" s="153"/>
      <c r="AA174" s="181">
        <f t="shared" si="18"/>
        <v>0</v>
      </c>
      <c r="AB174" s="182">
        <f t="shared" si="19"/>
        <v>-56484482</v>
      </c>
      <c r="AC174" s="181">
        <f>SUM(AA5:AA174)</f>
        <v>5132</v>
      </c>
      <c r="AD174" s="182">
        <f>SUM(AB5:AB174)</f>
        <v>-3615006848</v>
      </c>
      <c r="AE174" s="183">
        <f t="shared" si="20"/>
        <v>-3615001716</v>
      </c>
    </row>
    <row r="175" spans="1:31" ht="15.95" customHeight="1" x14ac:dyDescent="0.25">
      <c r="A175" s="149">
        <v>171</v>
      </c>
      <c r="B175" s="150">
        <v>46261</v>
      </c>
      <c r="C175" s="151" t="s">
        <v>204</v>
      </c>
      <c r="D175" s="152">
        <v>24</v>
      </c>
      <c r="E175" s="194">
        <v>0</v>
      </c>
      <c r="F175" s="194">
        <v>0</v>
      </c>
      <c r="G175" s="194">
        <v>0</v>
      </c>
      <c r="H175" s="194">
        <v>0</v>
      </c>
      <c r="I175" s="194">
        <v>0</v>
      </c>
      <c r="J175" s="113">
        <f t="shared" si="14"/>
        <v>0</v>
      </c>
      <c r="K175" s="195">
        <v>0</v>
      </c>
      <c r="L175" s="195">
        <v>0</v>
      </c>
      <c r="M175" s="195">
        <v>0</v>
      </c>
      <c r="N175" s="195">
        <v>0</v>
      </c>
      <c r="O175" s="195">
        <v>0</v>
      </c>
      <c r="P175" s="195">
        <v>0</v>
      </c>
      <c r="Q175" s="195">
        <v>0</v>
      </c>
      <c r="R175" s="195">
        <v>0</v>
      </c>
      <c r="S175" s="195">
        <v>0</v>
      </c>
      <c r="T175" s="114">
        <f t="shared" si="15"/>
        <v>0</v>
      </c>
      <c r="U175" s="196">
        <v>0</v>
      </c>
      <c r="V175" s="196">
        <v>0</v>
      </c>
      <c r="W175" s="115">
        <f t="shared" si="16"/>
        <v>0</v>
      </c>
      <c r="X175" s="116">
        <f>'SUIVI 2026'!M174</f>
        <v>56484482</v>
      </c>
      <c r="Y175" s="117">
        <f t="shared" si="17"/>
        <v>-56484482</v>
      </c>
      <c r="Z175" s="153"/>
      <c r="AA175" s="178">
        <f t="shared" si="18"/>
        <v>0</v>
      </c>
      <c r="AB175" s="179">
        <f t="shared" si="19"/>
        <v>-56484482</v>
      </c>
      <c r="AC175" s="178">
        <f>SUM(AA5:AA175)</f>
        <v>5132</v>
      </c>
      <c r="AD175" s="179">
        <f>SUM(AB5:AB175)</f>
        <v>-3671491330</v>
      </c>
      <c r="AE175" s="180">
        <f t="shared" si="20"/>
        <v>-3671486198</v>
      </c>
    </row>
    <row r="176" spans="1:31" ht="15.95" customHeight="1" x14ac:dyDescent="0.25">
      <c r="A176" s="149">
        <v>172</v>
      </c>
      <c r="B176" s="150">
        <v>46262</v>
      </c>
      <c r="C176" s="151" t="s">
        <v>205</v>
      </c>
      <c r="D176" s="152">
        <v>24</v>
      </c>
      <c r="E176" s="194">
        <v>0</v>
      </c>
      <c r="F176" s="194">
        <v>0</v>
      </c>
      <c r="G176" s="194">
        <v>0</v>
      </c>
      <c r="H176" s="194">
        <v>0</v>
      </c>
      <c r="I176" s="194">
        <v>0</v>
      </c>
      <c r="J176" s="113">
        <f t="shared" si="14"/>
        <v>0</v>
      </c>
      <c r="K176" s="195">
        <v>0</v>
      </c>
      <c r="L176" s="195">
        <v>0</v>
      </c>
      <c r="M176" s="195">
        <v>0</v>
      </c>
      <c r="N176" s="195">
        <v>0</v>
      </c>
      <c r="O176" s="195">
        <v>0</v>
      </c>
      <c r="P176" s="195">
        <v>0</v>
      </c>
      <c r="Q176" s="195">
        <v>0</v>
      </c>
      <c r="R176" s="195">
        <v>0</v>
      </c>
      <c r="S176" s="195">
        <v>0</v>
      </c>
      <c r="T176" s="114">
        <f t="shared" si="15"/>
        <v>0</v>
      </c>
      <c r="U176" s="196">
        <v>0</v>
      </c>
      <c r="V176" s="196">
        <v>0</v>
      </c>
      <c r="W176" s="115">
        <f t="shared" si="16"/>
        <v>0</v>
      </c>
      <c r="X176" s="116">
        <f>'SUIVI 2026'!M175</f>
        <v>56484482</v>
      </c>
      <c r="Y176" s="117">
        <f t="shared" si="17"/>
        <v>-56484482</v>
      </c>
      <c r="Z176" s="153"/>
      <c r="AA176" s="181">
        <f t="shared" si="18"/>
        <v>0</v>
      </c>
      <c r="AB176" s="182">
        <f t="shared" si="19"/>
        <v>-56484482</v>
      </c>
      <c r="AC176" s="181">
        <f>SUM(AA5:AA176)</f>
        <v>5132</v>
      </c>
      <c r="AD176" s="182">
        <f>SUM(AB5:AB176)</f>
        <v>-3727975812</v>
      </c>
      <c r="AE176" s="183">
        <f t="shared" si="20"/>
        <v>-3727970680</v>
      </c>
    </row>
    <row r="177" spans="1:31" ht="15.95" customHeight="1" x14ac:dyDescent="0.25">
      <c r="A177" s="149">
        <v>173</v>
      </c>
      <c r="B177" s="150">
        <v>46265</v>
      </c>
      <c r="C177" s="151" t="s">
        <v>206</v>
      </c>
      <c r="D177" s="152">
        <v>24</v>
      </c>
      <c r="E177" s="194">
        <v>0</v>
      </c>
      <c r="F177" s="194">
        <v>0</v>
      </c>
      <c r="G177" s="194">
        <v>0</v>
      </c>
      <c r="H177" s="194">
        <v>0</v>
      </c>
      <c r="I177" s="194">
        <v>0</v>
      </c>
      <c r="J177" s="113">
        <f t="shared" si="14"/>
        <v>0</v>
      </c>
      <c r="K177" s="195">
        <v>0</v>
      </c>
      <c r="L177" s="195">
        <v>0</v>
      </c>
      <c r="M177" s="195">
        <v>0</v>
      </c>
      <c r="N177" s="195">
        <v>0</v>
      </c>
      <c r="O177" s="195">
        <v>0</v>
      </c>
      <c r="P177" s="195">
        <v>0</v>
      </c>
      <c r="Q177" s="195">
        <v>0</v>
      </c>
      <c r="R177" s="195">
        <v>0</v>
      </c>
      <c r="S177" s="195">
        <v>0</v>
      </c>
      <c r="T177" s="114">
        <f t="shared" si="15"/>
        <v>0</v>
      </c>
      <c r="U177" s="196">
        <v>0</v>
      </c>
      <c r="V177" s="196">
        <v>0</v>
      </c>
      <c r="W177" s="115">
        <f t="shared" si="16"/>
        <v>0</v>
      </c>
      <c r="X177" s="116">
        <f>'SUIVI 2026'!M176</f>
        <v>56484482</v>
      </c>
      <c r="Y177" s="117">
        <f t="shared" si="17"/>
        <v>-56484482</v>
      </c>
      <c r="Z177" s="153"/>
      <c r="AA177" s="178">
        <f t="shared" si="18"/>
        <v>0</v>
      </c>
      <c r="AB177" s="179">
        <f t="shared" si="19"/>
        <v>-56484482</v>
      </c>
      <c r="AC177" s="178">
        <f>SUM(AA5:AA177)</f>
        <v>5132</v>
      </c>
      <c r="AD177" s="179">
        <f>SUM(AB5:AB177)</f>
        <v>-3784460294</v>
      </c>
      <c r="AE177" s="180">
        <f t="shared" si="20"/>
        <v>-3784455162</v>
      </c>
    </row>
    <row r="178" spans="1:31" ht="15.95" customHeight="1" x14ac:dyDescent="0.25">
      <c r="A178" s="154">
        <v>174</v>
      </c>
      <c r="B178" s="155">
        <v>46266</v>
      </c>
      <c r="C178" s="156" t="s">
        <v>207</v>
      </c>
      <c r="D178" s="157">
        <v>25</v>
      </c>
      <c r="E178" s="194">
        <v>0</v>
      </c>
      <c r="F178" s="194">
        <v>0</v>
      </c>
      <c r="G178" s="194">
        <v>0</v>
      </c>
      <c r="H178" s="194">
        <v>0</v>
      </c>
      <c r="I178" s="194">
        <v>0</v>
      </c>
      <c r="J178" s="113">
        <f t="shared" si="14"/>
        <v>0</v>
      </c>
      <c r="K178" s="195">
        <v>0</v>
      </c>
      <c r="L178" s="195">
        <v>0</v>
      </c>
      <c r="M178" s="195">
        <v>0</v>
      </c>
      <c r="N178" s="195">
        <v>0</v>
      </c>
      <c r="O178" s="195">
        <v>0</v>
      </c>
      <c r="P178" s="195">
        <v>0</v>
      </c>
      <c r="Q178" s="195">
        <v>0</v>
      </c>
      <c r="R178" s="195">
        <v>0</v>
      </c>
      <c r="S178" s="195">
        <v>0</v>
      </c>
      <c r="T178" s="114">
        <f t="shared" si="15"/>
        <v>0</v>
      </c>
      <c r="U178" s="196">
        <v>0</v>
      </c>
      <c r="V178" s="196">
        <v>0</v>
      </c>
      <c r="W178" s="115">
        <f t="shared" si="16"/>
        <v>0</v>
      </c>
      <c r="X178" s="116">
        <f>'SUIVI 2026'!M177</f>
        <v>56484482</v>
      </c>
      <c r="Y178" s="117">
        <f t="shared" si="17"/>
        <v>-56484482</v>
      </c>
      <c r="Z178" s="158"/>
      <c r="AA178" s="181">
        <f t="shared" si="18"/>
        <v>0</v>
      </c>
      <c r="AB178" s="182">
        <f t="shared" si="19"/>
        <v>-56484482</v>
      </c>
      <c r="AC178" s="181">
        <f>SUM(AA5:AA178)</f>
        <v>5132</v>
      </c>
      <c r="AD178" s="182">
        <f>SUM(AB5:AB178)</f>
        <v>-3840944776</v>
      </c>
      <c r="AE178" s="183">
        <f t="shared" si="20"/>
        <v>-3840939644</v>
      </c>
    </row>
    <row r="179" spans="1:31" ht="15.95" customHeight="1" x14ac:dyDescent="0.25">
      <c r="A179" s="154">
        <v>175</v>
      </c>
      <c r="B179" s="155">
        <v>46267</v>
      </c>
      <c r="C179" s="156" t="s">
        <v>208</v>
      </c>
      <c r="D179" s="157">
        <v>25</v>
      </c>
      <c r="E179" s="194">
        <v>0</v>
      </c>
      <c r="F179" s="194">
        <v>0</v>
      </c>
      <c r="G179" s="194">
        <v>0</v>
      </c>
      <c r="H179" s="194">
        <v>0</v>
      </c>
      <c r="I179" s="194">
        <v>0</v>
      </c>
      <c r="J179" s="113">
        <f t="shared" si="14"/>
        <v>0</v>
      </c>
      <c r="K179" s="195">
        <v>0</v>
      </c>
      <c r="L179" s="195">
        <v>0</v>
      </c>
      <c r="M179" s="195">
        <v>0</v>
      </c>
      <c r="N179" s="195">
        <v>0</v>
      </c>
      <c r="O179" s="195">
        <v>0</v>
      </c>
      <c r="P179" s="195">
        <v>0</v>
      </c>
      <c r="Q179" s="195">
        <v>0</v>
      </c>
      <c r="R179" s="195">
        <v>0</v>
      </c>
      <c r="S179" s="195">
        <v>0</v>
      </c>
      <c r="T179" s="114">
        <f t="shared" si="15"/>
        <v>0</v>
      </c>
      <c r="U179" s="196">
        <v>0</v>
      </c>
      <c r="V179" s="196">
        <v>0</v>
      </c>
      <c r="W179" s="115">
        <f t="shared" si="16"/>
        <v>0</v>
      </c>
      <c r="X179" s="116">
        <f>'SUIVI 2026'!M178</f>
        <v>56484482</v>
      </c>
      <c r="Y179" s="117">
        <f t="shared" si="17"/>
        <v>-56484482</v>
      </c>
      <c r="Z179" s="158"/>
      <c r="AA179" s="178">
        <f t="shared" si="18"/>
        <v>0</v>
      </c>
      <c r="AB179" s="179">
        <f t="shared" si="19"/>
        <v>-56484482</v>
      </c>
      <c r="AC179" s="178">
        <f>SUM(AA5:AA179)</f>
        <v>5132</v>
      </c>
      <c r="AD179" s="179">
        <f>SUM(AB5:AB179)</f>
        <v>-3897429258</v>
      </c>
      <c r="AE179" s="180">
        <f t="shared" si="20"/>
        <v>-3897424126</v>
      </c>
    </row>
    <row r="180" spans="1:31" ht="15.95" customHeight="1" x14ac:dyDescent="0.25">
      <c r="A180" s="154">
        <v>176</v>
      </c>
      <c r="B180" s="155">
        <v>46268</v>
      </c>
      <c r="C180" s="156" t="s">
        <v>204</v>
      </c>
      <c r="D180" s="157">
        <v>25</v>
      </c>
      <c r="E180" s="194">
        <v>0</v>
      </c>
      <c r="F180" s="194">
        <v>0</v>
      </c>
      <c r="G180" s="194">
        <v>0</v>
      </c>
      <c r="H180" s="194">
        <v>0</v>
      </c>
      <c r="I180" s="194">
        <v>0</v>
      </c>
      <c r="J180" s="113">
        <f t="shared" si="14"/>
        <v>0</v>
      </c>
      <c r="K180" s="195">
        <v>0</v>
      </c>
      <c r="L180" s="195">
        <v>0</v>
      </c>
      <c r="M180" s="195">
        <v>0</v>
      </c>
      <c r="N180" s="195">
        <v>0</v>
      </c>
      <c r="O180" s="195">
        <v>0</v>
      </c>
      <c r="P180" s="195">
        <v>0</v>
      </c>
      <c r="Q180" s="195">
        <v>0</v>
      </c>
      <c r="R180" s="195">
        <v>0</v>
      </c>
      <c r="S180" s="195">
        <v>0</v>
      </c>
      <c r="T180" s="114">
        <f t="shared" si="15"/>
        <v>0</v>
      </c>
      <c r="U180" s="196">
        <v>0</v>
      </c>
      <c r="V180" s="196">
        <v>0</v>
      </c>
      <c r="W180" s="115">
        <f t="shared" si="16"/>
        <v>0</v>
      </c>
      <c r="X180" s="116">
        <f>'SUIVI 2026'!M179</f>
        <v>56484482</v>
      </c>
      <c r="Y180" s="117">
        <f t="shared" si="17"/>
        <v>-56484482</v>
      </c>
      <c r="Z180" s="158"/>
      <c r="AA180" s="181">
        <f t="shared" si="18"/>
        <v>0</v>
      </c>
      <c r="AB180" s="182">
        <f t="shared" si="19"/>
        <v>-56484482</v>
      </c>
      <c r="AC180" s="181">
        <f>SUM(AA5:AA180)</f>
        <v>5132</v>
      </c>
      <c r="AD180" s="182">
        <f>SUM(AB5:AB180)</f>
        <v>-3953913740</v>
      </c>
      <c r="AE180" s="183">
        <f t="shared" si="20"/>
        <v>-3953908608</v>
      </c>
    </row>
    <row r="181" spans="1:31" ht="15.95" customHeight="1" x14ac:dyDescent="0.25">
      <c r="A181" s="154">
        <v>177</v>
      </c>
      <c r="B181" s="155">
        <v>46269</v>
      </c>
      <c r="C181" s="156" t="s">
        <v>205</v>
      </c>
      <c r="D181" s="157">
        <v>25</v>
      </c>
      <c r="E181" s="194">
        <v>0</v>
      </c>
      <c r="F181" s="194">
        <v>0</v>
      </c>
      <c r="G181" s="194">
        <v>0</v>
      </c>
      <c r="H181" s="194">
        <v>0</v>
      </c>
      <c r="I181" s="194">
        <v>0</v>
      </c>
      <c r="J181" s="113">
        <f t="shared" si="14"/>
        <v>0</v>
      </c>
      <c r="K181" s="195">
        <v>0</v>
      </c>
      <c r="L181" s="195">
        <v>0</v>
      </c>
      <c r="M181" s="195">
        <v>0</v>
      </c>
      <c r="N181" s="195">
        <v>0</v>
      </c>
      <c r="O181" s="195">
        <v>0</v>
      </c>
      <c r="P181" s="195">
        <v>0</v>
      </c>
      <c r="Q181" s="195">
        <v>0</v>
      </c>
      <c r="R181" s="195">
        <v>0</v>
      </c>
      <c r="S181" s="195">
        <v>0</v>
      </c>
      <c r="T181" s="114">
        <f t="shared" si="15"/>
        <v>0</v>
      </c>
      <c r="U181" s="196">
        <v>0</v>
      </c>
      <c r="V181" s="196">
        <v>0</v>
      </c>
      <c r="W181" s="115">
        <f t="shared" si="16"/>
        <v>0</v>
      </c>
      <c r="X181" s="116">
        <f>'SUIVI 2026'!M180</f>
        <v>56484482</v>
      </c>
      <c r="Y181" s="117">
        <f t="shared" si="17"/>
        <v>-56484482</v>
      </c>
      <c r="Z181" s="158"/>
      <c r="AA181" s="178">
        <f t="shared" si="18"/>
        <v>0</v>
      </c>
      <c r="AB181" s="179">
        <f t="shared" si="19"/>
        <v>-56484482</v>
      </c>
      <c r="AC181" s="178">
        <f>SUM(AA5:AA181)</f>
        <v>5132</v>
      </c>
      <c r="AD181" s="179">
        <f>SUM(AB5:AB181)</f>
        <v>-4010398222</v>
      </c>
      <c r="AE181" s="180">
        <f t="shared" si="20"/>
        <v>-4010393090</v>
      </c>
    </row>
    <row r="182" spans="1:31" ht="15.95" customHeight="1" x14ac:dyDescent="0.25">
      <c r="A182" s="154">
        <v>178</v>
      </c>
      <c r="B182" s="155">
        <v>46272</v>
      </c>
      <c r="C182" s="156" t="s">
        <v>206</v>
      </c>
      <c r="D182" s="157">
        <v>25</v>
      </c>
      <c r="E182" s="194">
        <v>0</v>
      </c>
      <c r="F182" s="194">
        <v>0</v>
      </c>
      <c r="G182" s="194">
        <v>0</v>
      </c>
      <c r="H182" s="194">
        <v>0</v>
      </c>
      <c r="I182" s="194">
        <v>0</v>
      </c>
      <c r="J182" s="113">
        <f t="shared" si="14"/>
        <v>0</v>
      </c>
      <c r="K182" s="195">
        <v>0</v>
      </c>
      <c r="L182" s="195">
        <v>0</v>
      </c>
      <c r="M182" s="195">
        <v>0</v>
      </c>
      <c r="N182" s="195">
        <v>0</v>
      </c>
      <c r="O182" s="195">
        <v>0</v>
      </c>
      <c r="P182" s="195">
        <v>0</v>
      </c>
      <c r="Q182" s="195">
        <v>0</v>
      </c>
      <c r="R182" s="195">
        <v>0</v>
      </c>
      <c r="S182" s="195">
        <v>0</v>
      </c>
      <c r="T182" s="114">
        <f t="shared" si="15"/>
        <v>0</v>
      </c>
      <c r="U182" s="196">
        <v>0</v>
      </c>
      <c r="V182" s="196">
        <v>0</v>
      </c>
      <c r="W182" s="115">
        <f t="shared" si="16"/>
        <v>0</v>
      </c>
      <c r="X182" s="116">
        <f>'SUIVI 2026'!M181</f>
        <v>56484482</v>
      </c>
      <c r="Y182" s="117">
        <f t="shared" si="17"/>
        <v>-56484482</v>
      </c>
      <c r="Z182" s="158"/>
      <c r="AA182" s="181">
        <f t="shared" si="18"/>
        <v>0</v>
      </c>
      <c r="AB182" s="182">
        <f t="shared" si="19"/>
        <v>-56484482</v>
      </c>
      <c r="AC182" s="181">
        <f>SUM(AA5:AA182)</f>
        <v>5132</v>
      </c>
      <c r="AD182" s="182">
        <f>SUM(AB5:AB182)</f>
        <v>-4066882704</v>
      </c>
      <c r="AE182" s="183">
        <f t="shared" si="20"/>
        <v>-4066877572</v>
      </c>
    </row>
    <row r="183" spans="1:31" ht="15.95" customHeight="1" x14ac:dyDescent="0.25">
      <c r="A183" s="154">
        <v>179</v>
      </c>
      <c r="B183" s="155">
        <v>46273</v>
      </c>
      <c r="C183" s="156" t="s">
        <v>207</v>
      </c>
      <c r="D183" s="157">
        <v>25</v>
      </c>
      <c r="E183" s="194">
        <v>0</v>
      </c>
      <c r="F183" s="194">
        <v>0</v>
      </c>
      <c r="G183" s="194">
        <v>0</v>
      </c>
      <c r="H183" s="194">
        <v>0</v>
      </c>
      <c r="I183" s="194">
        <v>0</v>
      </c>
      <c r="J183" s="113">
        <f t="shared" si="14"/>
        <v>0</v>
      </c>
      <c r="K183" s="195">
        <v>0</v>
      </c>
      <c r="L183" s="195">
        <v>0</v>
      </c>
      <c r="M183" s="195">
        <v>0</v>
      </c>
      <c r="N183" s="195">
        <v>0</v>
      </c>
      <c r="O183" s="195">
        <v>0</v>
      </c>
      <c r="P183" s="195">
        <v>0</v>
      </c>
      <c r="Q183" s="195">
        <v>0</v>
      </c>
      <c r="R183" s="195">
        <v>0</v>
      </c>
      <c r="S183" s="195">
        <v>0</v>
      </c>
      <c r="T183" s="114">
        <f t="shared" si="15"/>
        <v>0</v>
      </c>
      <c r="U183" s="196">
        <v>0</v>
      </c>
      <c r="V183" s="196">
        <v>0</v>
      </c>
      <c r="W183" s="115">
        <f t="shared" si="16"/>
        <v>0</v>
      </c>
      <c r="X183" s="116">
        <f>'SUIVI 2026'!M182</f>
        <v>56484482</v>
      </c>
      <c r="Y183" s="117">
        <f t="shared" si="17"/>
        <v>-56484482</v>
      </c>
      <c r="Z183" s="158"/>
      <c r="AA183" s="178">
        <f t="shared" si="18"/>
        <v>0</v>
      </c>
      <c r="AB183" s="179">
        <f t="shared" si="19"/>
        <v>-56484482</v>
      </c>
      <c r="AC183" s="178">
        <f>SUM(AA5:AA183)</f>
        <v>5132</v>
      </c>
      <c r="AD183" s="179">
        <f>SUM(AB5:AB183)</f>
        <v>-4123367186</v>
      </c>
      <c r="AE183" s="180">
        <f t="shared" si="20"/>
        <v>-4123362054</v>
      </c>
    </row>
    <row r="184" spans="1:31" ht="15.95" customHeight="1" x14ac:dyDescent="0.25">
      <c r="A184" s="154">
        <v>180</v>
      </c>
      <c r="B184" s="155">
        <v>46274</v>
      </c>
      <c r="C184" s="156" t="s">
        <v>208</v>
      </c>
      <c r="D184" s="157">
        <v>25</v>
      </c>
      <c r="E184" s="194">
        <v>0</v>
      </c>
      <c r="F184" s="194">
        <v>0</v>
      </c>
      <c r="G184" s="194">
        <v>0</v>
      </c>
      <c r="H184" s="194">
        <v>0</v>
      </c>
      <c r="I184" s="194">
        <v>0</v>
      </c>
      <c r="J184" s="113">
        <f t="shared" si="14"/>
        <v>0</v>
      </c>
      <c r="K184" s="195">
        <v>0</v>
      </c>
      <c r="L184" s="195">
        <v>0</v>
      </c>
      <c r="M184" s="195">
        <v>0</v>
      </c>
      <c r="N184" s="195">
        <v>0</v>
      </c>
      <c r="O184" s="195">
        <v>0</v>
      </c>
      <c r="P184" s="195">
        <v>0</v>
      </c>
      <c r="Q184" s="195">
        <v>0</v>
      </c>
      <c r="R184" s="195">
        <v>0</v>
      </c>
      <c r="S184" s="195">
        <v>0</v>
      </c>
      <c r="T184" s="114">
        <f t="shared" si="15"/>
        <v>0</v>
      </c>
      <c r="U184" s="196">
        <v>0</v>
      </c>
      <c r="V184" s="196">
        <v>0</v>
      </c>
      <c r="W184" s="115">
        <f t="shared" si="16"/>
        <v>0</v>
      </c>
      <c r="X184" s="116">
        <f>'SUIVI 2026'!M183</f>
        <v>56484482</v>
      </c>
      <c r="Y184" s="117">
        <f t="shared" si="17"/>
        <v>-56484482</v>
      </c>
      <c r="Z184" s="158"/>
      <c r="AA184" s="181">
        <f t="shared" si="18"/>
        <v>0</v>
      </c>
      <c r="AB184" s="182">
        <f t="shared" si="19"/>
        <v>-56484482</v>
      </c>
      <c r="AC184" s="181">
        <f>SUM(AA5:AA184)</f>
        <v>5132</v>
      </c>
      <c r="AD184" s="182">
        <f>SUM(AB5:AB184)</f>
        <v>-4179851668</v>
      </c>
      <c r="AE184" s="183">
        <f t="shared" si="20"/>
        <v>-4179846536</v>
      </c>
    </row>
    <row r="185" spans="1:31" ht="15.95" customHeight="1" x14ac:dyDescent="0.25">
      <c r="A185" s="154">
        <v>181</v>
      </c>
      <c r="B185" s="155">
        <v>46275</v>
      </c>
      <c r="C185" s="156" t="s">
        <v>204</v>
      </c>
      <c r="D185" s="157">
        <v>25</v>
      </c>
      <c r="E185" s="194">
        <v>0</v>
      </c>
      <c r="F185" s="194">
        <v>0</v>
      </c>
      <c r="G185" s="194">
        <v>0</v>
      </c>
      <c r="H185" s="194">
        <v>0</v>
      </c>
      <c r="I185" s="194">
        <v>0</v>
      </c>
      <c r="J185" s="113">
        <f t="shared" si="14"/>
        <v>0</v>
      </c>
      <c r="K185" s="195">
        <v>0</v>
      </c>
      <c r="L185" s="195">
        <v>0</v>
      </c>
      <c r="M185" s="195">
        <v>0</v>
      </c>
      <c r="N185" s="195">
        <v>0</v>
      </c>
      <c r="O185" s="195">
        <v>0</v>
      </c>
      <c r="P185" s="195">
        <v>0</v>
      </c>
      <c r="Q185" s="195">
        <v>0</v>
      </c>
      <c r="R185" s="195">
        <v>0</v>
      </c>
      <c r="S185" s="195">
        <v>0</v>
      </c>
      <c r="T185" s="114">
        <f t="shared" si="15"/>
        <v>0</v>
      </c>
      <c r="U185" s="196">
        <v>0</v>
      </c>
      <c r="V185" s="196">
        <v>0</v>
      </c>
      <c r="W185" s="115">
        <f t="shared" si="16"/>
        <v>0</v>
      </c>
      <c r="X185" s="116">
        <f>'SUIVI 2026'!M184</f>
        <v>56484482</v>
      </c>
      <c r="Y185" s="117">
        <f t="shared" si="17"/>
        <v>-56484482</v>
      </c>
      <c r="Z185" s="158"/>
      <c r="AA185" s="178">
        <f t="shared" si="18"/>
        <v>0</v>
      </c>
      <c r="AB185" s="179">
        <f t="shared" si="19"/>
        <v>-56484482</v>
      </c>
      <c r="AC185" s="178">
        <f>SUM(AA5:AA185)</f>
        <v>5132</v>
      </c>
      <c r="AD185" s="179">
        <f>SUM(AB5:AB185)</f>
        <v>-4236336150</v>
      </c>
      <c r="AE185" s="180">
        <f t="shared" si="20"/>
        <v>-4236331018</v>
      </c>
    </row>
    <row r="186" spans="1:31" ht="15.95" customHeight="1" x14ac:dyDescent="0.25">
      <c r="A186" s="154">
        <v>182</v>
      </c>
      <c r="B186" s="155">
        <v>46276</v>
      </c>
      <c r="C186" s="156" t="s">
        <v>205</v>
      </c>
      <c r="D186" s="157">
        <v>26</v>
      </c>
      <c r="E186" s="194">
        <v>0</v>
      </c>
      <c r="F186" s="194">
        <v>0</v>
      </c>
      <c r="G186" s="194">
        <v>0</v>
      </c>
      <c r="H186" s="194">
        <v>0</v>
      </c>
      <c r="I186" s="194">
        <v>0</v>
      </c>
      <c r="J186" s="113">
        <f t="shared" si="14"/>
        <v>0</v>
      </c>
      <c r="K186" s="195">
        <v>0</v>
      </c>
      <c r="L186" s="195">
        <v>0</v>
      </c>
      <c r="M186" s="195">
        <v>0</v>
      </c>
      <c r="N186" s="195">
        <v>0</v>
      </c>
      <c r="O186" s="195">
        <v>0</v>
      </c>
      <c r="P186" s="195">
        <v>0</v>
      </c>
      <c r="Q186" s="195">
        <v>0</v>
      </c>
      <c r="R186" s="195">
        <v>0</v>
      </c>
      <c r="S186" s="195">
        <v>0</v>
      </c>
      <c r="T186" s="114">
        <f t="shared" si="15"/>
        <v>0</v>
      </c>
      <c r="U186" s="196">
        <v>0</v>
      </c>
      <c r="V186" s="196">
        <v>0</v>
      </c>
      <c r="W186" s="115">
        <f t="shared" si="16"/>
        <v>0</v>
      </c>
      <c r="X186" s="116">
        <f>'SUIVI 2026'!M185</f>
        <v>56484482</v>
      </c>
      <c r="Y186" s="117">
        <f t="shared" si="17"/>
        <v>-56484482</v>
      </c>
      <c r="Z186" s="158"/>
      <c r="AA186" s="181">
        <f t="shared" si="18"/>
        <v>0</v>
      </c>
      <c r="AB186" s="182">
        <f t="shared" si="19"/>
        <v>-56484482</v>
      </c>
      <c r="AC186" s="181">
        <f>SUM(AA5:AA186)</f>
        <v>5132</v>
      </c>
      <c r="AD186" s="182">
        <f>SUM(AB5:AB186)</f>
        <v>-4292820632</v>
      </c>
      <c r="AE186" s="183">
        <f t="shared" si="20"/>
        <v>-4292815500</v>
      </c>
    </row>
    <row r="187" spans="1:31" ht="15.95" customHeight="1" x14ac:dyDescent="0.25">
      <c r="A187" s="154">
        <v>183</v>
      </c>
      <c r="B187" s="155">
        <v>46279</v>
      </c>
      <c r="C187" s="156" t="s">
        <v>206</v>
      </c>
      <c r="D187" s="157">
        <v>26</v>
      </c>
      <c r="E187" s="194">
        <v>0</v>
      </c>
      <c r="F187" s="194">
        <v>0</v>
      </c>
      <c r="G187" s="194">
        <v>0</v>
      </c>
      <c r="H187" s="194">
        <v>0</v>
      </c>
      <c r="I187" s="194">
        <v>0</v>
      </c>
      <c r="J187" s="113">
        <f t="shared" si="14"/>
        <v>0</v>
      </c>
      <c r="K187" s="195">
        <v>0</v>
      </c>
      <c r="L187" s="195">
        <v>0</v>
      </c>
      <c r="M187" s="195">
        <v>0</v>
      </c>
      <c r="N187" s="195">
        <v>0</v>
      </c>
      <c r="O187" s="195">
        <v>0</v>
      </c>
      <c r="P187" s="195">
        <v>0</v>
      </c>
      <c r="Q187" s="195">
        <v>0</v>
      </c>
      <c r="R187" s="195">
        <v>0</v>
      </c>
      <c r="S187" s="195">
        <v>0</v>
      </c>
      <c r="T187" s="114">
        <f t="shared" si="15"/>
        <v>0</v>
      </c>
      <c r="U187" s="196">
        <v>0</v>
      </c>
      <c r="V187" s="196">
        <v>0</v>
      </c>
      <c r="W187" s="115">
        <f t="shared" si="16"/>
        <v>0</v>
      </c>
      <c r="X187" s="116">
        <f>'SUIVI 2026'!M186</f>
        <v>56484482</v>
      </c>
      <c r="Y187" s="117">
        <f t="shared" si="17"/>
        <v>-56484482</v>
      </c>
      <c r="Z187" s="158"/>
      <c r="AA187" s="178">
        <f t="shared" si="18"/>
        <v>0</v>
      </c>
      <c r="AB187" s="179">
        <f t="shared" si="19"/>
        <v>-56484482</v>
      </c>
      <c r="AC187" s="178">
        <f>SUM(AA5:AA187)</f>
        <v>5132</v>
      </c>
      <c r="AD187" s="179">
        <f>SUM(AB5:AB187)</f>
        <v>-4349305114</v>
      </c>
      <c r="AE187" s="180">
        <f t="shared" si="20"/>
        <v>-4349299982</v>
      </c>
    </row>
    <row r="188" spans="1:31" ht="15.95" customHeight="1" x14ac:dyDescent="0.25">
      <c r="A188" s="154">
        <v>184</v>
      </c>
      <c r="B188" s="155">
        <v>46280</v>
      </c>
      <c r="C188" s="156" t="s">
        <v>207</v>
      </c>
      <c r="D188" s="157">
        <v>26</v>
      </c>
      <c r="E188" s="194">
        <v>0</v>
      </c>
      <c r="F188" s="194">
        <v>0</v>
      </c>
      <c r="G188" s="194">
        <v>0</v>
      </c>
      <c r="H188" s="194">
        <v>0</v>
      </c>
      <c r="I188" s="194">
        <v>0</v>
      </c>
      <c r="J188" s="113">
        <f t="shared" si="14"/>
        <v>0</v>
      </c>
      <c r="K188" s="195">
        <v>0</v>
      </c>
      <c r="L188" s="195">
        <v>0</v>
      </c>
      <c r="M188" s="195">
        <v>0</v>
      </c>
      <c r="N188" s="195">
        <v>0</v>
      </c>
      <c r="O188" s="195">
        <v>0</v>
      </c>
      <c r="P188" s="195">
        <v>0</v>
      </c>
      <c r="Q188" s="195">
        <v>0</v>
      </c>
      <c r="R188" s="195">
        <v>0</v>
      </c>
      <c r="S188" s="195">
        <v>0</v>
      </c>
      <c r="T188" s="114">
        <f t="shared" si="15"/>
        <v>0</v>
      </c>
      <c r="U188" s="196">
        <v>0</v>
      </c>
      <c r="V188" s="196">
        <v>0</v>
      </c>
      <c r="W188" s="115">
        <f t="shared" si="16"/>
        <v>0</v>
      </c>
      <c r="X188" s="116">
        <f>'SUIVI 2026'!M187</f>
        <v>56484482</v>
      </c>
      <c r="Y188" s="117">
        <f t="shared" si="17"/>
        <v>-56484482</v>
      </c>
      <c r="Z188" s="158"/>
      <c r="AA188" s="181">
        <f t="shared" si="18"/>
        <v>0</v>
      </c>
      <c r="AB188" s="182">
        <f t="shared" si="19"/>
        <v>-56484482</v>
      </c>
      <c r="AC188" s="181">
        <f>SUM(AA5:AA188)</f>
        <v>5132</v>
      </c>
      <c r="AD188" s="182">
        <f>SUM(AB5:AB188)</f>
        <v>-4405789596</v>
      </c>
      <c r="AE188" s="183">
        <f t="shared" si="20"/>
        <v>-4405784464</v>
      </c>
    </row>
    <row r="189" spans="1:31" ht="15.95" customHeight="1" x14ac:dyDescent="0.25">
      <c r="A189" s="154">
        <v>185</v>
      </c>
      <c r="B189" s="155">
        <v>46281</v>
      </c>
      <c r="C189" s="156" t="s">
        <v>208</v>
      </c>
      <c r="D189" s="157">
        <v>26</v>
      </c>
      <c r="E189" s="194">
        <v>0</v>
      </c>
      <c r="F189" s="194">
        <v>0</v>
      </c>
      <c r="G189" s="194">
        <v>0</v>
      </c>
      <c r="H189" s="194">
        <v>0</v>
      </c>
      <c r="I189" s="194">
        <v>0</v>
      </c>
      <c r="J189" s="113">
        <f t="shared" si="14"/>
        <v>0</v>
      </c>
      <c r="K189" s="195">
        <v>0</v>
      </c>
      <c r="L189" s="195">
        <v>0</v>
      </c>
      <c r="M189" s="195">
        <v>0</v>
      </c>
      <c r="N189" s="195">
        <v>0</v>
      </c>
      <c r="O189" s="195">
        <v>0</v>
      </c>
      <c r="P189" s="195">
        <v>0</v>
      </c>
      <c r="Q189" s="195">
        <v>0</v>
      </c>
      <c r="R189" s="195">
        <v>0</v>
      </c>
      <c r="S189" s="195">
        <v>0</v>
      </c>
      <c r="T189" s="114">
        <f t="shared" si="15"/>
        <v>0</v>
      </c>
      <c r="U189" s="196">
        <v>0</v>
      </c>
      <c r="V189" s="196">
        <v>0</v>
      </c>
      <c r="W189" s="115">
        <f t="shared" si="16"/>
        <v>0</v>
      </c>
      <c r="X189" s="116">
        <f>'SUIVI 2026'!M188</f>
        <v>56484482</v>
      </c>
      <c r="Y189" s="117">
        <f t="shared" si="17"/>
        <v>-56484482</v>
      </c>
      <c r="Z189" s="158"/>
      <c r="AA189" s="178">
        <f t="shared" si="18"/>
        <v>0</v>
      </c>
      <c r="AB189" s="179">
        <f t="shared" si="19"/>
        <v>-56484482</v>
      </c>
      <c r="AC189" s="178">
        <f>SUM(AA5:AA189)</f>
        <v>5132</v>
      </c>
      <c r="AD189" s="179">
        <f>SUM(AB5:AB189)</f>
        <v>-4462274078</v>
      </c>
      <c r="AE189" s="180">
        <f t="shared" si="20"/>
        <v>-4462268946</v>
      </c>
    </row>
    <row r="190" spans="1:31" ht="15.95" customHeight="1" x14ac:dyDescent="0.25">
      <c r="A190" s="154">
        <v>186</v>
      </c>
      <c r="B190" s="155">
        <v>46282</v>
      </c>
      <c r="C190" s="156" t="s">
        <v>204</v>
      </c>
      <c r="D190" s="157">
        <v>26</v>
      </c>
      <c r="E190" s="194">
        <v>0</v>
      </c>
      <c r="F190" s="194">
        <v>0</v>
      </c>
      <c r="G190" s="194">
        <v>0</v>
      </c>
      <c r="H190" s="194">
        <v>0</v>
      </c>
      <c r="I190" s="194">
        <v>0</v>
      </c>
      <c r="J190" s="113">
        <f t="shared" si="14"/>
        <v>0</v>
      </c>
      <c r="K190" s="195">
        <v>0</v>
      </c>
      <c r="L190" s="195">
        <v>0</v>
      </c>
      <c r="M190" s="195">
        <v>0</v>
      </c>
      <c r="N190" s="195">
        <v>0</v>
      </c>
      <c r="O190" s="195">
        <v>0</v>
      </c>
      <c r="P190" s="195">
        <v>0</v>
      </c>
      <c r="Q190" s="195">
        <v>0</v>
      </c>
      <c r="R190" s="195">
        <v>0</v>
      </c>
      <c r="S190" s="195">
        <v>0</v>
      </c>
      <c r="T190" s="114">
        <f t="shared" si="15"/>
        <v>0</v>
      </c>
      <c r="U190" s="196">
        <v>0</v>
      </c>
      <c r="V190" s="196">
        <v>0</v>
      </c>
      <c r="W190" s="115">
        <f t="shared" si="16"/>
        <v>0</v>
      </c>
      <c r="X190" s="116">
        <f>'SUIVI 2026'!M189</f>
        <v>56484482</v>
      </c>
      <c r="Y190" s="117">
        <f t="shared" si="17"/>
        <v>-56484482</v>
      </c>
      <c r="Z190" s="158"/>
      <c r="AA190" s="181">
        <f t="shared" si="18"/>
        <v>0</v>
      </c>
      <c r="AB190" s="182">
        <f t="shared" si="19"/>
        <v>-56484482</v>
      </c>
      <c r="AC190" s="181">
        <f>SUM(AA5:AA190)</f>
        <v>5132</v>
      </c>
      <c r="AD190" s="182">
        <f>SUM(AB5:AB190)</f>
        <v>-4518758560</v>
      </c>
      <c r="AE190" s="183">
        <f t="shared" si="20"/>
        <v>-4518753428</v>
      </c>
    </row>
    <row r="191" spans="1:31" ht="15.95" customHeight="1" x14ac:dyDescent="0.25">
      <c r="A191" s="154">
        <v>187</v>
      </c>
      <c r="B191" s="155">
        <v>46283</v>
      </c>
      <c r="C191" s="156" t="s">
        <v>205</v>
      </c>
      <c r="D191" s="157">
        <v>26</v>
      </c>
      <c r="E191" s="194">
        <v>0</v>
      </c>
      <c r="F191" s="194">
        <v>0</v>
      </c>
      <c r="G191" s="194">
        <v>0</v>
      </c>
      <c r="H191" s="194">
        <v>0</v>
      </c>
      <c r="I191" s="194">
        <v>0</v>
      </c>
      <c r="J191" s="113">
        <f t="shared" si="14"/>
        <v>0</v>
      </c>
      <c r="K191" s="195">
        <v>0</v>
      </c>
      <c r="L191" s="195">
        <v>0</v>
      </c>
      <c r="M191" s="195">
        <v>0</v>
      </c>
      <c r="N191" s="195">
        <v>0</v>
      </c>
      <c r="O191" s="195">
        <v>0</v>
      </c>
      <c r="P191" s="195">
        <v>0</v>
      </c>
      <c r="Q191" s="195">
        <v>0</v>
      </c>
      <c r="R191" s="195">
        <v>0</v>
      </c>
      <c r="S191" s="195">
        <v>0</v>
      </c>
      <c r="T191" s="114">
        <f t="shared" si="15"/>
        <v>0</v>
      </c>
      <c r="U191" s="196">
        <v>0</v>
      </c>
      <c r="V191" s="196">
        <v>0</v>
      </c>
      <c r="W191" s="115">
        <f t="shared" si="16"/>
        <v>0</v>
      </c>
      <c r="X191" s="116">
        <f>'SUIVI 2026'!M190</f>
        <v>56484482</v>
      </c>
      <c r="Y191" s="117">
        <f t="shared" si="17"/>
        <v>-56484482</v>
      </c>
      <c r="Z191" s="158"/>
      <c r="AA191" s="178">
        <f t="shared" si="18"/>
        <v>0</v>
      </c>
      <c r="AB191" s="179">
        <f t="shared" si="19"/>
        <v>-56484482</v>
      </c>
      <c r="AC191" s="178">
        <f>SUM(AA5:AA191)</f>
        <v>5132</v>
      </c>
      <c r="AD191" s="179">
        <f>SUM(AB5:AB191)</f>
        <v>-4575243042</v>
      </c>
      <c r="AE191" s="180">
        <f t="shared" si="20"/>
        <v>-4575237910</v>
      </c>
    </row>
    <row r="192" spans="1:31" ht="15.95" customHeight="1" x14ac:dyDescent="0.25">
      <c r="A192" s="154">
        <v>188</v>
      </c>
      <c r="B192" s="155">
        <v>46286</v>
      </c>
      <c r="C192" s="156" t="s">
        <v>206</v>
      </c>
      <c r="D192" s="157">
        <v>27</v>
      </c>
      <c r="E192" s="194">
        <v>0</v>
      </c>
      <c r="F192" s="194">
        <v>0</v>
      </c>
      <c r="G192" s="194">
        <v>0</v>
      </c>
      <c r="H192" s="194">
        <v>0</v>
      </c>
      <c r="I192" s="194">
        <v>0</v>
      </c>
      <c r="J192" s="113">
        <f t="shared" si="14"/>
        <v>0</v>
      </c>
      <c r="K192" s="195">
        <v>0</v>
      </c>
      <c r="L192" s="195">
        <v>0</v>
      </c>
      <c r="M192" s="195">
        <v>0</v>
      </c>
      <c r="N192" s="195">
        <v>0</v>
      </c>
      <c r="O192" s="195">
        <v>0</v>
      </c>
      <c r="P192" s="195">
        <v>0</v>
      </c>
      <c r="Q192" s="195">
        <v>0</v>
      </c>
      <c r="R192" s="195">
        <v>0</v>
      </c>
      <c r="S192" s="195">
        <v>0</v>
      </c>
      <c r="T192" s="114">
        <f t="shared" si="15"/>
        <v>0</v>
      </c>
      <c r="U192" s="196">
        <v>0</v>
      </c>
      <c r="V192" s="196">
        <v>0</v>
      </c>
      <c r="W192" s="115">
        <f t="shared" si="16"/>
        <v>0</v>
      </c>
      <c r="X192" s="116">
        <f>'SUIVI 2026'!M191</f>
        <v>56484482</v>
      </c>
      <c r="Y192" s="117">
        <f t="shared" si="17"/>
        <v>-56484482</v>
      </c>
      <c r="Z192" s="158"/>
      <c r="AA192" s="181">
        <f t="shared" si="18"/>
        <v>0</v>
      </c>
      <c r="AB192" s="182">
        <f t="shared" si="19"/>
        <v>-56484482</v>
      </c>
      <c r="AC192" s="181">
        <f>SUM(AA5:AA192)</f>
        <v>5132</v>
      </c>
      <c r="AD192" s="182">
        <f>SUM(AB5:AB192)</f>
        <v>-4631727524</v>
      </c>
      <c r="AE192" s="183">
        <f t="shared" si="20"/>
        <v>-4631722392</v>
      </c>
    </row>
    <row r="193" spans="1:31" ht="15.95" customHeight="1" x14ac:dyDescent="0.25">
      <c r="A193" s="154">
        <v>189</v>
      </c>
      <c r="B193" s="155">
        <v>46287</v>
      </c>
      <c r="C193" s="156" t="s">
        <v>207</v>
      </c>
      <c r="D193" s="157">
        <v>27</v>
      </c>
      <c r="E193" s="194">
        <v>0</v>
      </c>
      <c r="F193" s="194">
        <v>0</v>
      </c>
      <c r="G193" s="194">
        <v>0</v>
      </c>
      <c r="H193" s="194">
        <v>0</v>
      </c>
      <c r="I193" s="194">
        <v>0</v>
      </c>
      <c r="J193" s="113">
        <f t="shared" si="14"/>
        <v>0</v>
      </c>
      <c r="K193" s="195">
        <v>0</v>
      </c>
      <c r="L193" s="195">
        <v>0</v>
      </c>
      <c r="M193" s="195">
        <v>0</v>
      </c>
      <c r="N193" s="195">
        <v>0</v>
      </c>
      <c r="O193" s="195">
        <v>0</v>
      </c>
      <c r="P193" s="195">
        <v>0</v>
      </c>
      <c r="Q193" s="195">
        <v>0</v>
      </c>
      <c r="R193" s="195">
        <v>0</v>
      </c>
      <c r="S193" s="195">
        <v>0</v>
      </c>
      <c r="T193" s="114">
        <f t="shared" si="15"/>
        <v>0</v>
      </c>
      <c r="U193" s="196">
        <v>0</v>
      </c>
      <c r="V193" s="196">
        <v>0</v>
      </c>
      <c r="W193" s="115">
        <f t="shared" si="16"/>
        <v>0</v>
      </c>
      <c r="X193" s="116">
        <f>'SUIVI 2026'!M192</f>
        <v>56484482</v>
      </c>
      <c r="Y193" s="117">
        <f t="shared" si="17"/>
        <v>-56484482</v>
      </c>
      <c r="Z193" s="158"/>
      <c r="AA193" s="178">
        <f t="shared" si="18"/>
        <v>0</v>
      </c>
      <c r="AB193" s="179">
        <f t="shared" si="19"/>
        <v>-56484482</v>
      </c>
      <c r="AC193" s="178">
        <f>SUM(AA5:AA193)</f>
        <v>5132</v>
      </c>
      <c r="AD193" s="179">
        <f>SUM(AB5:AB193)</f>
        <v>-4688212006</v>
      </c>
      <c r="AE193" s="180">
        <f t="shared" si="20"/>
        <v>-4688206874</v>
      </c>
    </row>
    <row r="194" spans="1:31" ht="15.95" customHeight="1" x14ac:dyDescent="0.25">
      <c r="A194" s="154">
        <v>190</v>
      </c>
      <c r="B194" s="155">
        <v>46288</v>
      </c>
      <c r="C194" s="156" t="s">
        <v>208</v>
      </c>
      <c r="D194" s="157">
        <v>27</v>
      </c>
      <c r="E194" s="194">
        <v>0</v>
      </c>
      <c r="F194" s="194">
        <v>0</v>
      </c>
      <c r="G194" s="194">
        <v>0</v>
      </c>
      <c r="H194" s="194">
        <v>0</v>
      </c>
      <c r="I194" s="194">
        <v>0</v>
      </c>
      <c r="J194" s="113">
        <f t="shared" si="14"/>
        <v>0</v>
      </c>
      <c r="K194" s="195">
        <v>0</v>
      </c>
      <c r="L194" s="195">
        <v>0</v>
      </c>
      <c r="M194" s="195">
        <v>0</v>
      </c>
      <c r="N194" s="195">
        <v>0</v>
      </c>
      <c r="O194" s="195">
        <v>0</v>
      </c>
      <c r="P194" s="195">
        <v>0</v>
      </c>
      <c r="Q194" s="195">
        <v>0</v>
      </c>
      <c r="R194" s="195">
        <v>0</v>
      </c>
      <c r="S194" s="195">
        <v>0</v>
      </c>
      <c r="T194" s="114">
        <f t="shared" si="15"/>
        <v>0</v>
      </c>
      <c r="U194" s="196">
        <v>0</v>
      </c>
      <c r="V194" s="196">
        <v>0</v>
      </c>
      <c r="W194" s="115">
        <f t="shared" si="16"/>
        <v>0</v>
      </c>
      <c r="X194" s="116">
        <f>'SUIVI 2026'!M193</f>
        <v>56484482</v>
      </c>
      <c r="Y194" s="117">
        <f t="shared" si="17"/>
        <v>-56484482</v>
      </c>
      <c r="Z194" s="158"/>
      <c r="AA194" s="181">
        <f t="shared" si="18"/>
        <v>0</v>
      </c>
      <c r="AB194" s="182">
        <f t="shared" si="19"/>
        <v>-56484482</v>
      </c>
      <c r="AC194" s="181">
        <f>SUM(AA5:AA194)</f>
        <v>5132</v>
      </c>
      <c r="AD194" s="182">
        <f>SUM(AB5:AB194)</f>
        <v>-4744696488</v>
      </c>
      <c r="AE194" s="183">
        <f t="shared" si="20"/>
        <v>-4744691356</v>
      </c>
    </row>
    <row r="195" spans="1:31" ht="15.95" customHeight="1" x14ac:dyDescent="0.25">
      <c r="A195" s="154">
        <v>191</v>
      </c>
      <c r="B195" s="155">
        <v>46289</v>
      </c>
      <c r="C195" s="156" t="s">
        <v>204</v>
      </c>
      <c r="D195" s="157">
        <v>27</v>
      </c>
      <c r="E195" s="194">
        <v>0</v>
      </c>
      <c r="F195" s="194">
        <v>0</v>
      </c>
      <c r="G195" s="194">
        <v>0</v>
      </c>
      <c r="H195" s="194">
        <v>0</v>
      </c>
      <c r="I195" s="194">
        <v>0</v>
      </c>
      <c r="J195" s="113">
        <f t="shared" si="14"/>
        <v>0</v>
      </c>
      <c r="K195" s="195">
        <v>0</v>
      </c>
      <c r="L195" s="195">
        <v>0</v>
      </c>
      <c r="M195" s="195">
        <v>0</v>
      </c>
      <c r="N195" s="195">
        <v>0</v>
      </c>
      <c r="O195" s="195">
        <v>0</v>
      </c>
      <c r="P195" s="195">
        <v>0</v>
      </c>
      <c r="Q195" s="195">
        <v>0</v>
      </c>
      <c r="R195" s="195">
        <v>0</v>
      </c>
      <c r="S195" s="195">
        <v>0</v>
      </c>
      <c r="T195" s="114">
        <f t="shared" si="15"/>
        <v>0</v>
      </c>
      <c r="U195" s="196">
        <v>0</v>
      </c>
      <c r="V195" s="196">
        <v>0</v>
      </c>
      <c r="W195" s="115">
        <f t="shared" si="16"/>
        <v>0</v>
      </c>
      <c r="X195" s="116">
        <f>'SUIVI 2026'!M194</f>
        <v>56484482</v>
      </c>
      <c r="Y195" s="117">
        <f t="shared" si="17"/>
        <v>-56484482</v>
      </c>
      <c r="Z195" s="158"/>
      <c r="AA195" s="178">
        <f t="shared" si="18"/>
        <v>0</v>
      </c>
      <c r="AB195" s="179">
        <f t="shared" si="19"/>
        <v>-56484482</v>
      </c>
      <c r="AC195" s="178">
        <f>SUM(AA5:AA195)</f>
        <v>5132</v>
      </c>
      <c r="AD195" s="179">
        <f>SUM(AB5:AB195)</f>
        <v>-4801180970</v>
      </c>
      <c r="AE195" s="180">
        <f t="shared" si="20"/>
        <v>-4801175838</v>
      </c>
    </row>
    <row r="196" spans="1:31" ht="15.95" customHeight="1" x14ac:dyDescent="0.25">
      <c r="A196" s="154">
        <v>192</v>
      </c>
      <c r="B196" s="155">
        <v>46290</v>
      </c>
      <c r="C196" s="156" t="s">
        <v>205</v>
      </c>
      <c r="D196" s="157">
        <v>27</v>
      </c>
      <c r="E196" s="194">
        <v>0</v>
      </c>
      <c r="F196" s="194">
        <v>0</v>
      </c>
      <c r="G196" s="194">
        <v>0</v>
      </c>
      <c r="H196" s="194">
        <v>0</v>
      </c>
      <c r="I196" s="194">
        <v>0</v>
      </c>
      <c r="J196" s="113">
        <f t="shared" si="14"/>
        <v>0</v>
      </c>
      <c r="K196" s="195">
        <v>0</v>
      </c>
      <c r="L196" s="195">
        <v>0</v>
      </c>
      <c r="M196" s="195">
        <v>0</v>
      </c>
      <c r="N196" s="195">
        <v>0</v>
      </c>
      <c r="O196" s="195">
        <v>0</v>
      </c>
      <c r="P196" s="195">
        <v>0</v>
      </c>
      <c r="Q196" s="195">
        <v>0</v>
      </c>
      <c r="R196" s="195">
        <v>0</v>
      </c>
      <c r="S196" s="195">
        <v>0</v>
      </c>
      <c r="T196" s="114">
        <f t="shared" si="15"/>
        <v>0</v>
      </c>
      <c r="U196" s="196">
        <v>0</v>
      </c>
      <c r="V196" s="196">
        <v>0</v>
      </c>
      <c r="W196" s="115">
        <f t="shared" si="16"/>
        <v>0</v>
      </c>
      <c r="X196" s="116">
        <f>'SUIVI 2026'!M195</f>
        <v>56484482</v>
      </c>
      <c r="Y196" s="117">
        <f t="shared" si="17"/>
        <v>-56484482</v>
      </c>
      <c r="Z196" s="158"/>
      <c r="AA196" s="181">
        <f t="shared" si="18"/>
        <v>0</v>
      </c>
      <c r="AB196" s="182">
        <f t="shared" si="19"/>
        <v>-56484482</v>
      </c>
      <c r="AC196" s="181">
        <f>SUM(AA5:AA196)</f>
        <v>5132</v>
      </c>
      <c r="AD196" s="182">
        <f>SUM(AB5:AB196)</f>
        <v>-4857665452</v>
      </c>
      <c r="AE196" s="183">
        <f t="shared" si="20"/>
        <v>-4857660320</v>
      </c>
    </row>
    <row r="197" spans="1:31" ht="15.95" customHeight="1" x14ac:dyDescent="0.25">
      <c r="A197" s="154">
        <v>193</v>
      </c>
      <c r="B197" s="155">
        <v>46293</v>
      </c>
      <c r="C197" s="156" t="s">
        <v>206</v>
      </c>
      <c r="D197" s="157">
        <v>27</v>
      </c>
      <c r="E197" s="194">
        <v>0</v>
      </c>
      <c r="F197" s="194">
        <v>0</v>
      </c>
      <c r="G197" s="194">
        <v>0</v>
      </c>
      <c r="H197" s="194">
        <v>0</v>
      </c>
      <c r="I197" s="194">
        <v>0</v>
      </c>
      <c r="J197" s="113">
        <f t="shared" ref="J197:J260" si="21">E197+F197+G197+H197+I197</f>
        <v>0</v>
      </c>
      <c r="K197" s="195">
        <v>0</v>
      </c>
      <c r="L197" s="195">
        <v>0</v>
      </c>
      <c r="M197" s="195">
        <v>0</v>
      </c>
      <c r="N197" s="195">
        <v>0</v>
      </c>
      <c r="O197" s="195">
        <v>0</v>
      </c>
      <c r="P197" s="195">
        <v>0</v>
      </c>
      <c r="Q197" s="195">
        <v>0</v>
      </c>
      <c r="R197" s="195">
        <v>0</v>
      </c>
      <c r="S197" s="195">
        <v>0</v>
      </c>
      <c r="T197" s="114">
        <f t="shared" ref="T197:T260" si="22">K197+L197+M197+N197+O197+P197+Q197+R197+S197</f>
        <v>0</v>
      </c>
      <c r="U197" s="196">
        <v>0</v>
      </c>
      <c r="V197" s="196">
        <v>0</v>
      </c>
      <c r="W197" s="115">
        <f t="shared" ref="W197:W260" si="23">J197+T197+U197+V197</f>
        <v>0</v>
      </c>
      <c r="X197" s="116">
        <f>'SUIVI 2026'!M196</f>
        <v>56484482</v>
      </c>
      <c r="Y197" s="117">
        <f t="shared" ref="Y197:Y260" si="24">W197-X197</f>
        <v>-56484482</v>
      </c>
      <c r="Z197" s="158"/>
      <c r="AA197" s="178">
        <f t="shared" ref="AA197:AA265" si="25">IF(Y197&gt;0,Y197,0)</f>
        <v>0</v>
      </c>
      <c r="AB197" s="179">
        <f t="shared" ref="AB197:AB265" si="26">IF(Y197&lt;0,Y197,0)</f>
        <v>-56484482</v>
      </c>
      <c r="AC197" s="178">
        <f>SUM(AA5:AA197)</f>
        <v>5132</v>
      </c>
      <c r="AD197" s="179">
        <f>SUM(AB5:AB197)</f>
        <v>-4914149934</v>
      </c>
      <c r="AE197" s="180">
        <f t="shared" ref="AE197:AE260" si="27">AC197+AD197</f>
        <v>-4914144802</v>
      </c>
    </row>
    <row r="198" spans="1:31" ht="15.95" customHeight="1" x14ac:dyDescent="0.25">
      <c r="A198" s="154">
        <v>194</v>
      </c>
      <c r="B198" s="155">
        <v>46294</v>
      </c>
      <c r="C198" s="156" t="s">
        <v>207</v>
      </c>
      <c r="D198" s="157">
        <v>27</v>
      </c>
      <c r="E198" s="194">
        <v>0</v>
      </c>
      <c r="F198" s="194">
        <v>0</v>
      </c>
      <c r="G198" s="194">
        <v>0</v>
      </c>
      <c r="H198" s="194">
        <v>0</v>
      </c>
      <c r="I198" s="194">
        <v>0</v>
      </c>
      <c r="J198" s="113">
        <f t="shared" si="21"/>
        <v>0</v>
      </c>
      <c r="K198" s="195">
        <v>0</v>
      </c>
      <c r="L198" s="195">
        <v>0</v>
      </c>
      <c r="M198" s="195">
        <v>0</v>
      </c>
      <c r="N198" s="195">
        <v>0</v>
      </c>
      <c r="O198" s="195">
        <v>0</v>
      </c>
      <c r="P198" s="195">
        <v>0</v>
      </c>
      <c r="Q198" s="195">
        <v>0</v>
      </c>
      <c r="R198" s="195">
        <v>0</v>
      </c>
      <c r="S198" s="195">
        <v>0</v>
      </c>
      <c r="T198" s="114">
        <f t="shared" si="22"/>
        <v>0</v>
      </c>
      <c r="U198" s="196">
        <v>0</v>
      </c>
      <c r="V198" s="196">
        <v>0</v>
      </c>
      <c r="W198" s="115">
        <f t="shared" si="23"/>
        <v>0</v>
      </c>
      <c r="X198" s="116">
        <f>'SUIVI 2026'!M197</f>
        <v>56484482</v>
      </c>
      <c r="Y198" s="117">
        <f t="shared" si="24"/>
        <v>-56484482</v>
      </c>
      <c r="Z198" s="158"/>
      <c r="AA198" s="181">
        <f t="shared" si="25"/>
        <v>0</v>
      </c>
      <c r="AB198" s="182">
        <f t="shared" si="26"/>
        <v>-56484482</v>
      </c>
      <c r="AC198" s="181">
        <f>SUM(AA5:AA198)</f>
        <v>5132</v>
      </c>
      <c r="AD198" s="182">
        <f>SUM(AB5:AB198)</f>
        <v>-4970634416</v>
      </c>
      <c r="AE198" s="183">
        <f t="shared" si="27"/>
        <v>-4970629284</v>
      </c>
    </row>
    <row r="199" spans="1:31" ht="15.95" customHeight="1" x14ac:dyDescent="0.25">
      <c r="A199" s="154">
        <v>195</v>
      </c>
      <c r="B199" s="155">
        <v>46295</v>
      </c>
      <c r="C199" s="156" t="s">
        <v>208</v>
      </c>
      <c r="D199" s="157">
        <v>27</v>
      </c>
      <c r="E199" s="194">
        <v>0</v>
      </c>
      <c r="F199" s="194">
        <v>0</v>
      </c>
      <c r="G199" s="194">
        <v>0</v>
      </c>
      <c r="H199" s="194">
        <v>0</v>
      </c>
      <c r="I199" s="194">
        <v>0</v>
      </c>
      <c r="J199" s="113">
        <f t="shared" si="21"/>
        <v>0</v>
      </c>
      <c r="K199" s="195">
        <v>0</v>
      </c>
      <c r="L199" s="195">
        <v>0</v>
      </c>
      <c r="M199" s="195">
        <v>0</v>
      </c>
      <c r="N199" s="195">
        <v>0</v>
      </c>
      <c r="O199" s="195">
        <v>0</v>
      </c>
      <c r="P199" s="195">
        <v>0</v>
      </c>
      <c r="Q199" s="195">
        <v>0</v>
      </c>
      <c r="R199" s="195">
        <v>0</v>
      </c>
      <c r="S199" s="195">
        <v>0</v>
      </c>
      <c r="T199" s="114">
        <f t="shared" si="22"/>
        <v>0</v>
      </c>
      <c r="U199" s="196">
        <v>0</v>
      </c>
      <c r="V199" s="196">
        <v>0</v>
      </c>
      <c r="W199" s="115">
        <f t="shared" si="23"/>
        <v>0</v>
      </c>
      <c r="X199" s="116">
        <f>'SUIVI 2026'!M198</f>
        <v>56484482</v>
      </c>
      <c r="Y199" s="117">
        <f t="shared" si="24"/>
        <v>-56484482</v>
      </c>
      <c r="Z199" s="158"/>
      <c r="AA199" s="178">
        <f t="shared" si="25"/>
        <v>0</v>
      </c>
      <c r="AB199" s="179">
        <f t="shared" si="26"/>
        <v>-56484482</v>
      </c>
      <c r="AC199" s="178">
        <f>SUM(AA5:AA199)</f>
        <v>5132</v>
      </c>
      <c r="AD199" s="179">
        <f>SUM(AB5:AB199)</f>
        <v>-5027118898</v>
      </c>
      <c r="AE199" s="180">
        <f t="shared" si="27"/>
        <v>-5027113766</v>
      </c>
    </row>
    <row r="200" spans="1:31" ht="15.95" customHeight="1" x14ac:dyDescent="0.25">
      <c r="A200" s="159">
        <v>196</v>
      </c>
      <c r="B200" s="160">
        <v>46296</v>
      </c>
      <c r="C200" s="161" t="s">
        <v>204</v>
      </c>
      <c r="D200" s="162">
        <v>28</v>
      </c>
      <c r="E200" s="194">
        <v>0</v>
      </c>
      <c r="F200" s="194">
        <v>0</v>
      </c>
      <c r="G200" s="194">
        <v>0</v>
      </c>
      <c r="H200" s="194">
        <v>0</v>
      </c>
      <c r="I200" s="194">
        <v>0</v>
      </c>
      <c r="J200" s="113">
        <f t="shared" si="21"/>
        <v>0</v>
      </c>
      <c r="K200" s="195">
        <v>0</v>
      </c>
      <c r="L200" s="195">
        <v>0</v>
      </c>
      <c r="M200" s="195">
        <v>0</v>
      </c>
      <c r="N200" s="195">
        <v>0</v>
      </c>
      <c r="O200" s="195">
        <v>0</v>
      </c>
      <c r="P200" s="195">
        <v>0</v>
      </c>
      <c r="Q200" s="195">
        <v>0</v>
      </c>
      <c r="R200" s="195">
        <v>0</v>
      </c>
      <c r="S200" s="195">
        <v>0</v>
      </c>
      <c r="T200" s="114">
        <f t="shared" si="22"/>
        <v>0</v>
      </c>
      <c r="U200" s="196">
        <v>0</v>
      </c>
      <c r="V200" s="196">
        <v>0</v>
      </c>
      <c r="W200" s="115">
        <f t="shared" si="23"/>
        <v>0</v>
      </c>
      <c r="X200" s="116">
        <f>'SUIVI 2026'!M199</f>
        <v>56484482</v>
      </c>
      <c r="Y200" s="117">
        <f t="shared" si="24"/>
        <v>-56484482</v>
      </c>
      <c r="Z200" s="163"/>
      <c r="AA200" s="181">
        <f t="shared" si="25"/>
        <v>0</v>
      </c>
      <c r="AB200" s="182">
        <f t="shared" si="26"/>
        <v>-56484482</v>
      </c>
      <c r="AC200" s="181">
        <f>SUM(AA5:AA200)</f>
        <v>5132</v>
      </c>
      <c r="AD200" s="182">
        <f>SUM(AB5:AB200)</f>
        <v>-5083603380</v>
      </c>
      <c r="AE200" s="183">
        <f t="shared" si="27"/>
        <v>-5083598248</v>
      </c>
    </row>
    <row r="201" spans="1:31" ht="15.95" customHeight="1" x14ac:dyDescent="0.25">
      <c r="A201" s="159">
        <v>197</v>
      </c>
      <c r="B201" s="160">
        <v>46297</v>
      </c>
      <c r="C201" s="161" t="s">
        <v>205</v>
      </c>
      <c r="D201" s="162">
        <v>28</v>
      </c>
      <c r="E201" s="194">
        <v>0</v>
      </c>
      <c r="F201" s="194">
        <v>0</v>
      </c>
      <c r="G201" s="194">
        <v>0</v>
      </c>
      <c r="H201" s="194">
        <v>0</v>
      </c>
      <c r="I201" s="194">
        <v>0</v>
      </c>
      <c r="J201" s="113">
        <f t="shared" si="21"/>
        <v>0</v>
      </c>
      <c r="K201" s="195">
        <v>0</v>
      </c>
      <c r="L201" s="195">
        <v>0</v>
      </c>
      <c r="M201" s="195">
        <v>0</v>
      </c>
      <c r="N201" s="195">
        <v>0</v>
      </c>
      <c r="O201" s="195">
        <v>0</v>
      </c>
      <c r="P201" s="195">
        <v>0</v>
      </c>
      <c r="Q201" s="195">
        <v>0</v>
      </c>
      <c r="R201" s="195">
        <v>0</v>
      </c>
      <c r="S201" s="195">
        <v>0</v>
      </c>
      <c r="T201" s="114">
        <f t="shared" si="22"/>
        <v>0</v>
      </c>
      <c r="U201" s="196">
        <v>0</v>
      </c>
      <c r="V201" s="196">
        <v>0</v>
      </c>
      <c r="W201" s="115">
        <f t="shared" si="23"/>
        <v>0</v>
      </c>
      <c r="X201" s="116">
        <f>'SUIVI 2026'!M200</f>
        <v>56484482</v>
      </c>
      <c r="Y201" s="117">
        <f t="shared" si="24"/>
        <v>-56484482</v>
      </c>
      <c r="Z201" s="163"/>
      <c r="AA201" s="178">
        <f t="shared" si="25"/>
        <v>0</v>
      </c>
      <c r="AB201" s="179">
        <f t="shared" si="26"/>
        <v>-56484482</v>
      </c>
      <c r="AC201" s="178">
        <f>SUM(AA5:AA201)</f>
        <v>5132</v>
      </c>
      <c r="AD201" s="179">
        <f>SUM(AB5:AB201)</f>
        <v>-5140087862</v>
      </c>
      <c r="AE201" s="180">
        <f t="shared" si="27"/>
        <v>-5140082730</v>
      </c>
    </row>
    <row r="202" spans="1:31" ht="15.95" customHeight="1" x14ac:dyDescent="0.25">
      <c r="A202" s="159">
        <v>198</v>
      </c>
      <c r="B202" s="160">
        <v>46300</v>
      </c>
      <c r="C202" s="161" t="s">
        <v>206</v>
      </c>
      <c r="D202" s="162">
        <v>28</v>
      </c>
      <c r="E202" s="194">
        <v>0</v>
      </c>
      <c r="F202" s="194">
        <v>0</v>
      </c>
      <c r="G202" s="194">
        <v>0</v>
      </c>
      <c r="H202" s="194">
        <v>0</v>
      </c>
      <c r="I202" s="194">
        <v>0</v>
      </c>
      <c r="J202" s="113">
        <f t="shared" si="21"/>
        <v>0</v>
      </c>
      <c r="K202" s="195">
        <v>0</v>
      </c>
      <c r="L202" s="195">
        <v>0</v>
      </c>
      <c r="M202" s="195">
        <v>0</v>
      </c>
      <c r="N202" s="195">
        <v>0</v>
      </c>
      <c r="O202" s="195">
        <v>0</v>
      </c>
      <c r="P202" s="195">
        <v>0</v>
      </c>
      <c r="Q202" s="195">
        <v>0</v>
      </c>
      <c r="R202" s="195">
        <v>0</v>
      </c>
      <c r="S202" s="195">
        <v>0</v>
      </c>
      <c r="T202" s="114">
        <f t="shared" si="22"/>
        <v>0</v>
      </c>
      <c r="U202" s="196">
        <v>0</v>
      </c>
      <c r="V202" s="196">
        <v>0</v>
      </c>
      <c r="W202" s="115">
        <f t="shared" si="23"/>
        <v>0</v>
      </c>
      <c r="X202" s="116">
        <f>'SUIVI 2026'!M201</f>
        <v>56484482</v>
      </c>
      <c r="Y202" s="117">
        <f t="shared" si="24"/>
        <v>-56484482</v>
      </c>
      <c r="Z202" s="163"/>
      <c r="AA202" s="181">
        <f t="shared" si="25"/>
        <v>0</v>
      </c>
      <c r="AB202" s="182">
        <f t="shared" si="26"/>
        <v>-56484482</v>
      </c>
      <c r="AC202" s="181">
        <f>SUM(AA5:AA202)</f>
        <v>5132</v>
      </c>
      <c r="AD202" s="182">
        <f>SUM(AB5:AB202)</f>
        <v>-5196572344</v>
      </c>
      <c r="AE202" s="183">
        <f t="shared" si="27"/>
        <v>-5196567212</v>
      </c>
    </row>
    <row r="203" spans="1:31" ht="15.95" customHeight="1" x14ac:dyDescent="0.25">
      <c r="A203" s="159">
        <v>199</v>
      </c>
      <c r="B203" s="160">
        <v>46301</v>
      </c>
      <c r="C203" s="161" t="s">
        <v>207</v>
      </c>
      <c r="D203" s="162">
        <v>28</v>
      </c>
      <c r="E203" s="194">
        <v>0</v>
      </c>
      <c r="F203" s="194">
        <v>0</v>
      </c>
      <c r="G203" s="194">
        <v>0</v>
      </c>
      <c r="H203" s="194">
        <v>0</v>
      </c>
      <c r="I203" s="194">
        <v>0</v>
      </c>
      <c r="J203" s="113">
        <f t="shared" si="21"/>
        <v>0</v>
      </c>
      <c r="K203" s="195">
        <v>0</v>
      </c>
      <c r="L203" s="195">
        <v>0</v>
      </c>
      <c r="M203" s="195">
        <v>0</v>
      </c>
      <c r="N203" s="195">
        <v>0</v>
      </c>
      <c r="O203" s="195">
        <v>0</v>
      </c>
      <c r="P203" s="195">
        <v>0</v>
      </c>
      <c r="Q203" s="195">
        <v>0</v>
      </c>
      <c r="R203" s="195">
        <v>0</v>
      </c>
      <c r="S203" s="195">
        <v>0</v>
      </c>
      <c r="T203" s="114">
        <f t="shared" si="22"/>
        <v>0</v>
      </c>
      <c r="U203" s="196">
        <v>0</v>
      </c>
      <c r="V203" s="196">
        <v>0</v>
      </c>
      <c r="W203" s="115">
        <f t="shared" si="23"/>
        <v>0</v>
      </c>
      <c r="X203" s="116">
        <f>'SUIVI 2026'!M202</f>
        <v>56484482</v>
      </c>
      <c r="Y203" s="117">
        <f t="shared" si="24"/>
        <v>-56484482</v>
      </c>
      <c r="Z203" s="163"/>
      <c r="AA203" s="178">
        <f t="shared" si="25"/>
        <v>0</v>
      </c>
      <c r="AB203" s="179">
        <f t="shared" si="26"/>
        <v>-56484482</v>
      </c>
      <c r="AC203" s="178">
        <f>SUM(AA5:AA203)</f>
        <v>5132</v>
      </c>
      <c r="AD203" s="179">
        <f>SUM(AB5:AB203)</f>
        <v>-5253056826</v>
      </c>
      <c r="AE203" s="180">
        <f t="shared" si="27"/>
        <v>-5253051694</v>
      </c>
    </row>
    <row r="204" spans="1:31" ht="15.95" customHeight="1" x14ac:dyDescent="0.25">
      <c r="A204" s="159">
        <v>200</v>
      </c>
      <c r="B204" s="160">
        <v>46302</v>
      </c>
      <c r="C204" s="161" t="s">
        <v>208</v>
      </c>
      <c r="D204" s="162">
        <v>28</v>
      </c>
      <c r="E204" s="194">
        <v>0</v>
      </c>
      <c r="F204" s="194">
        <v>0</v>
      </c>
      <c r="G204" s="194">
        <v>0</v>
      </c>
      <c r="H204" s="194">
        <v>0</v>
      </c>
      <c r="I204" s="194">
        <v>0</v>
      </c>
      <c r="J204" s="113">
        <f t="shared" si="21"/>
        <v>0</v>
      </c>
      <c r="K204" s="195">
        <v>0</v>
      </c>
      <c r="L204" s="195">
        <v>0</v>
      </c>
      <c r="M204" s="195">
        <v>0</v>
      </c>
      <c r="N204" s="195">
        <v>0</v>
      </c>
      <c r="O204" s="195">
        <v>0</v>
      </c>
      <c r="P204" s="195">
        <v>0</v>
      </c>
      <c r="Q204" s="195">
        <v>0</v>
      </c>
      <c r="R204" s="195">
        <v>0</v>
      </c>
      <c r="S204" s="195">
        <v>0</v>
      </c>
      <c r="T204" s="114">
        <f t="shared" si="22"/>
        <v>0</v>
      </c>
      <c r="U204" s="196">
        <v>0</v>
      </c>
      <c r="V204" s="196">
        <v>0</v>
      </c>
      <c r="W204" s="115">
        <f t="shared" si="23"/>
        <v>0</v>
      </c>
      <c r="X204" s="116">
        <f>'SUIVI 2026'!M203</f>
        <v>56484482</v>
      </c>
      <c r="Y204" s="117">
        <f t="shared" si="24"/>
        <v>-56484482</v>
      </c>
      <c r="Z204" s="163"/>
      <c r="AA204" s="181">
        <f t="shared" si="25"/>
        <v>0</v>
      </c>
      <c r="AB204" s="182">
        <f t="shared" si="26"/>
        <v>-56484482</v>
      </c>
      <c r="AC204" s="181">
        <f>SUM(AA5:AA204)</f>
        <v>5132</v>
      </c>
      <c r="AD204" s="182">
        <f>SUM(AB5:AB204)</f>
        <v>-5309541308</v>
      </c>
      <c r="AE204" s="183">
        <f t="shared" si="27"/>
        <v>-5309536176</v>
      </c>
    </row>
    <row r="205" spans="1:31" ht="15.95" customHeight="1" x14ac:dyDescent="0.25">
      <c r="A205" s="159">
        <v>201</v>
      </c>
      <c r="B205" s="160">
        <v>46303</v>
      </c>
      <c r="C205" s="161" t="s">
        <v>204</v>
      </c>
      <c r="D205" s="162">
        <v>28</v>
      </c>
      <c r="E205" s="194">
        <v>0</v>
      </c>
      <c r="F205" s="194">
        <v>0</v>
      </c>
      <c r="G205" s="194">
        <v>0</v>
      </c>
      <c r="H205" s="194">
        <v>0</v>
      </c>
      <c r="I205" s="194">
        <v>0</v>
      </c>
      <c r="J205" s="113">
        <f t="shared" si="21"/>
        <v>0</v>
      </c>
      <c r="K205" s="195">
        <v>0</v>
      </c>
      <c r="L205" s="195">
        <v>0</v>
      </c>
      <c r="M205" s="195">
        <v>0</v>
      </c>
      <c r="N205" s="195">
        <v>0</v>
      </c>
      <c r="O205" s="195">
        <v>0</v>
      </c>
      <c r="P205" s="195">
        <v>0</v>
      </c>
      <c r="Q205" s="195">
        <v>0</v>
      </c>
      <c r="R205" s="195">
        <v>0</v>
      </c>
      <c r="S205" s="195">
        <v>0</v>
      </c>
      <c r="T205" s="114">
        <f t="shared" si="22"/>
        <v>0</v>
      </c>
      <c r="U205" s="196">
        <v>0</v>
      </c>
      <c r="V205" s="196">
        <v>0</v>
      </c>
      <c r="W205" s="115">
        <f t="shared" si="23"/>
        <v>0</v>
      </c>
      <c r="X205" s="116">
        <f>'SUIVI 2026'!M204</f>
        <v>56484482</v>
      </c>
      <c r="Y205" s="117">
        <f t="shared" si="24"/>
        <v>-56484482</v>
      </c>
      <c r="Z205" s="163"/>
      <c r="AA205" s="178">
        <f t="shared" si="25"/>
        <v>0</v>
      </c>
      <c r="AB205" s="179">
        <f t="shared" si="26"/>
        <v>-56484482</v>
      </c>
      <c r="AC205" s="178">
        <f>SUM(AA5:AA205)</f>
        <v>5132</v>
      </c>
      <c r="AD205" s="179">
        <f>SUM(AB5:AB205)</f>
        <v>-5366025790</v>
      </c>
      <c r="AE205" s="180">
        <f t="shared" si="27"/>
        <v>-5366020658</v>
      </c>
    </row>
    <row r="206" spans="1:31" ht="15.95" customHeight="1" x14ac:dyDescent="0.25">
      <c r="A206" s="159">
        <v>202</v>
      </c>
      <c r="B206" s="160">
        <v>46304</v>
      </c>
      <c r="C206" s="161" t="s">
        <v>205</v>
      </c>
      <c r="D206" s="162">
        <v>28</v>
      </c>
      <c r="E206" s="194">
        <v>0</v>
      </c>
      <c r="F206" s="194">
        <v>0</v>
      </c>
      <c r="G206" s="194">
        <v>0</v>
      </c>
      <c r="H206" s="194">
        <v>0</v>
      </c>
      <c r="I206" s="194">
        <v>0</v>
      </c>
      <c r="J206" s="113">
        <f t="shared" si="21"/>
        <v>0</v>
      </c>
      <c r="K206" s="195">
        <v>0</v>
      </c>
      <c r="L206" s="195">
        <v>0</v>
      </c>
      <c r="M206" s="195">
        <v>0</v>
      </c>
      <c r="N206" s="195">
        <v>0</v>
      </c>
      <c r="O206" s="195">
        <v>0</v>
      </c>
      <c r="P206" s="195">
        <v>0</v>
      </c>
      <c r="Q206" s="195">
        <v>0</v>
      </c>
      <c r="R206" s="195">
        <v>0</v>
      </c>
      <c r="S206" s="195">
        <v>0</v>
      </c>
      <c r="T206" s="114">
        <f t="shared" si="22"/>
        <v>0</v>
      </c>
      <c r="U206" s="196">
        <v>0</v>
      </c>
      <c r="V206" s="196">
        <v>0</v>
      </c>
      <c r="W206" s="115">
        <f t="shared" si="23"/>
        <v>0</v>
      </c>
      <c r="X206" s="116">
        <f>'SUIVI 2026'!M205</f>
        <v>56484482</v>
      </c>
      <c r="Y206" s="117">
        <f t="shared" si="24"/>
        <v>-56484482</v>
      </c>
      <c r="Z206" s="163"/>
      <c r="AA206" s="181">
        <f t="shared" si="25"/>
        <v>0</v>
      </c>
      <c r="AB206" s="182">
        <f t="shared" si="26"/>
        <v>-56484482</v>
      </c>
      <c r="AC206" s="181">
        <f>SUM(AA5:AA206)</f>
        <v>5132</v>
      </c>
      <c r="AD206" s="182">
        <f>SUM(AB5:AB206)</f>
        <v>-5422510272</v>
      </c>
      <c r="AE206" s="183">
        <f t="shared" si="27"/>
        <v>-5422505140</v>
      </c>
    </row>
    <row r="207" spans="1:31" ht="15.95" customHeight="1" x14ac:dyDescent="0.25">
      <c r="A207" s="159">
        <v>203</v>
      </c>
      <c r="B207" s="160">
        <v>46307</v>
      </c>
      <c r="C207" s="161" t="s">
        <v>206</v>
      </c>
      <c r="D207" s="162">
        <v>29</v>
      </c>
      <c r="E207" s="194">
        <v>0</v>
      </c>
      <c r="F207" s="194">
        <v>0</v>
      </c>
      <c r="G207" s="194">
        <v>0</v>
      </c>
      <c r="H207" s="194">
        <v>0</v>
      </c>
      <c r="I207" s="194">
        <v>0</v>
      </c>
      <c r="J207" s="113">
        <f t="shared" si="21"/>
        <v>0</v>
      </c>
      <c r="K207" s="195">
        <v>0</v>
      </c>
      <c r="L207" s="195">
        <v>0</v>
      </c>
      <c r="M207" s="195">
        <v>0</v>
      </c>
      <c r="N207" s="195">
        <v>0</v>
      </c>
      <c r="O207" s="195">
        <v>0</v>
      </c>
      <c r="P207" s="195">
        <v>0</v>
      </c>
      <c r="Q207" s="195">
        <v>0</v>
      </c>
      <c r="R207" s="195">
        <v>0</v>
      </c>
      <c r="S207" s="195">
        <v>0</v>
      </c>
      <c r="T207" s="114">
        <f t="shared" si="22"/>
        <v>0</v>
      </c>
      <c r="U207" s="196">
        <v>0</v>
      </c>
      <c r="V207" s="196">
        <v>0</v>
      </c>
      <c r="W207" s="115">
        <f t="shared" si="23"/>
        <v>0</v>
      </c>
      <c r="X207" s="116">
        <f>'SUIVI 2026'!M206</f>
        <v>56484482</v>
      </c>
      <c r="Y207" s="117">
        <f t="shared" si="24"/>
        <v>-56484482</v>
      </c>
      <c r="Z207" s="163"/>
      <c r="AA207" s="178">
        <f t="shared" si="25"/>
        <v>0</v>
      </c>
      <c r="AB207" s="179">
        <f t="shared" si="26"/>
        <v>-56484482</v>
      </c>
      <c r="AC207" s="178">
        <f>SUM(AA5:AA207)</f>
        <v>5132</v>
      </c>
      <c r="AD207" s="179">
        <f>SUM(AB5:AB207)</f>
        <v>-5478994754</v>
      </c>
      <c r="AE207" s="180">
        <f t="shared" si="27"/>
        <v>-5478989622</v>
      </c>
    </row>
    <row r="208" spans="1:31" ht="15.95" customHeight="1" x14ac:dyDescent="0.25">
      <c r="A208" s="159">
        <v>204</v>
      </c>
      <c r="B208" s="160">
        <v>46308</v>
      </c>
      <c r="C208" s="161" t="s">
        <v>207</v>
      </c>
      <c r="D208" s="162">
        <v>29</v>
      </c>
      <c r="E208" s="194">
        <v>0</v>
      </c>
      <c r="F208" s="194">
        <v>0</v>
      </c>
      <c r="G208" s="194">
        <v>0</v>
      </c>
      <c r="H208" s="194">
        <v>0</v>
      </c>
      <c r="I208" s="194">
        <v>0</v>
      </c>
      <c r="J208" s="113">
        <f t="shared" si="21"/>
        <v>0</v>
      </c>
      <c r="K208" s="195">
        <v>0</v>
      </c>
      <c r="L208" s="195">
        <v>0</v>
      </c>
      <c r="M208" s="195">
        <v>0</v>
      </c>
      <c r="N208" s="195">
        <v>0</v>
      </c>
      <c r="O208" s="195">
        <v>0</v>
      </c>
      <c r="P208" s="195">
        <v>0</v>
      </c>
      <c r="Q208" s="195">
        <v>0</v>
      </c>
      <c r="R208" s="195">
        <v>0</v>
      </c>
      <c r="S208" s="195">
        <v>0</v>
      </c>
      <c r="T208" s="114">
        <f t="shared" si="22"/>
        <v>0</v>
      </c>
      <c r="U208" s="196">
        <v>0</v>
      </c>
      <c r="V208" s="196">
        <v>0</v>
      </c>
      <c r="W208" s="115">
        <f t="shared" si="23"/>
        <v>0</v>
      </c>
      <c r="X208" s="116">
        <f>'SUIVI 2026'!M207</f>
        <v>56484482</v>
      </c>
      <c r="Y208" s="117">
        <f t="shared" si="24"/>
        <v>-56484482</v>
      </c>
      <c r="Z208" s="163"/>
      <c r="AA208" s="181">
        <f t="shared" si="25"/>
        <v>0</v>
      </c>
      <c r="AB208" s="182">
        <f t="shared" si="26"/>
        <v>-56484482</v>
      </c>
      <c r="AC208" s="181">
        <f>SUM(AA5:AA208)</f>
        <v>5132</v>
      </c>
      <c r="AD208" s="182">
        <f>SUM(AB5:AB208)</f>
        <v>-5535479236</v>
      </c>
      <c r="AE208" s="183">
        <f t="shared" si="27"/>
        <v>-5535474104</v>
      </c>
    </row>
    <row r="209" spans="1:31" ht="15.95" customHeight="1" x14ac:dyDescent="0.25">
      <c r="A209" s="159">
        <v>205</v>
      </c>
      <c r="B209" s="160">
        <v>46309</v>
      </c>
      <c r="C209" s="161" t="s">
        <v>208</v>
      </c>
      <c r="D209" s="162">
        <v>29</v>
      </c>
      <c r="E209" s="194">
        <v>0</v>
      </c>
      <c r="F209" s="194">
        <v>0</v>
      </c>
      <c r="G209" s="194">
        <v>0</v>
      </c>
      <c r="H209" s="194">
        <v>0</v>
      </c>
      <c r="I209" s="194">
        <v>0</v>
      </c>
      <c r="J209" s="113">
        <f t="shared" si="21"/>
        <v>0</v>
      </c>
      <c r="K209" s="195">
        <v>0</v>
      </c>
      <c r="L209" s="195">
        <v>0</v>
      </c>
      <c r="M209" s="195">
        <v>0</v>
      </c>
      <c r="N209" s="195">
        <v>0</v>
      </c>
      <c r="O209" s="195">
        <v>0</v>
      </c>
      <c r="P209" s="195">
        <v>0</v>
      </c>
      <c r="Q209" s="195">
        <v>0</v>
      </c>
      <c r="R209" s="195">
        <v>0</v>
      </c>
      <c r="S209" s="195">
        <v>0</v>
      </c>
      <c r="T209" s="114">
        <f t="shared" si="22"/>
        <v>0</v>
      </c>
      <c r="U209" s="196">
        <v>0</v>
      </c>
      <c r="V209" s="196">
        <v>0</v>
      </c>
      <c r="W209" s="115">
        <f t="shared" si="23"/>
        <v>0</v>
      </c>
      <c r="X209" s="116">
        <f>'SUIVI 2026'!M208</f>
        <v>56484482</v>
      </c>
      <c r="Y209" s="117">
        <f t="shared" si="24"/>
        <v>-56484482</v>
      </c>
      <c r="Z209" s="163"/>
      <c r="AA209" s="178">
        <f t="shared" si="25"/>
        <v>0</v>
      </c>
      <c r="AB209" s="179">
        <f t="shared" si="26"/>
        <v>-56484482</v>
      </c>
      <c r="AC209" s="178">
        <f>SUM(AA5:AA209)</f>
        <v>5132</v>
      </c>
      <c r="AD209" s="179">
        <f>SUM(AB5:AB209)</f>
        <v>-5591963718</v>
      </c>
      <c r="AE209" s="180">
        <f t="shared" si="27"/>
        <v>-5591958586</v>
      </c>
    </row>
    <row r="210" spans="1:31" ht="15.95" customHeight="1" x14ac:dyDescent="0.25">
      <c r="A210" s="159">
        <v>206</v>
      </c>
      <c r="B210" s="160">
        <v>46310</v>
      </c>
      <c r="C210" s="161" t="s">
        <v>204</v>
      </c>
      <c r="D210" s="162">
        <v>29</v>
      </c>
      <c r="E210" s="194">
        <v>0</v>
      </c>
      <c r="F210" s="194">
        <v>0</v>
      </c>
      <c r="G210" s="194">
        <v>0</v>
      </c>
      <c r="H210" s="194">
        <v>0</v>
      </c>
      <c r="I210" s="194">
        <v>0</v>
      </c>
      <c r="J210" s="113">
        <f t="shared" si="21"/>
        <v>0</v>
      </c>
      <c r="K210" s="195">
        <v>0</v>
      </c>
      <c r="L210" s="195">
        <v>0</v>
      </c>
      <c r="M210" s="195">
        <v>0</v>
      </c>
      <c r="N210" s="195">
        <v>0</v>
      </c>
      <c r="O210" s="195">
        <v>0</v>
      </c>
      <c r="P210" s="195">
        <v>0</v>
      </c>
      <c r="Q210" s="195">
        <v>0</v>
      </c>
      <c r="R210" s="195">
        <v>0</v>
      </c>
      <c r="S210" s="195">
        <v>0</v>
      </c>
      <c r="T210" s="114">
        <f t="shared" si="22"/>
        <v>0</v>
      </c>
      <c r="U210" s="196">
        <v>0</v>
      </c>
      <c r="V210" s="196">
        <v>0</v>
      </c>
      <c r="W210" s="115">
        <f t="shared" si="23"/>
        <v>0</v>
      </c>
      <c r="X210" s="116">
        <f>'SUIVI 2026'!M209</f>
        <v>56484482</v>
      </c>
      <c r="Y210" s="117">
        <f t="shared" si="24"/>
        <v>-56484482</v>
      </c>
      <c r="Z210" s="163"/>
      <c r="AA210" s="181">
        <f t="shared" si="25"/>
        <v>0</v>
      </c>
      <c r="AB210" s="182">
        <f t="shared" si="26"/>
        <v>-56484482</v>
      </c>
      <c r="AC210" s="181">
        <f>SUM(AA5:AA210)</f>
        <v>5132</v>
      </c>
      <c r="AD210" s="182">
        <f>SUM(AB5:AB210)</f>
        <v>-5648448200</v>
      </c>
      <c r="AE210" s="183">
        <f t="shared" si="27"/>
        <v>-5648443068</v>
      </c>
    </row>
    <row r="211" spans="1:31" ht="15.95" customHeight="1" x14ac:dyDescent="0.25">
      <c r="A211" s="159">
        <v>207</v>
      </c>
      <c r="B211" s="160">
        <v>46311</v>
      </c>
      <c r="C211" s="161" t="s">
        <v>205</v>
      </c>
      <c r="D211" s="162">
        <v>29</v>
      </c>
      <c r="E211" s="194">
        <v>0</v>
      </c>
      <c r="F211" s="194">
        <v>0</v>
      </c>
      <c r="G211" s="194">
        <v>0</v>
      </c>
      <c r="H211" s="194">
        <v>0</v>
      </c>
      <c r="I211" s="194">
        <v>0</v>
      </c>
      <c r="J211" s="113">
        <f t="shared" si="21"/>
        <v>0</v>
      </c>
      <c r="K211" s="195">
        <v>0</v>
      </c>
      <c r="L211" s="195">
        <v>0</v>
      </c>
      <c r="M211" s="195">
        <v>0</v>
      </c>
      <c r="N211" s="195">
        <v>0</v>
      </c>
      <c r="O211" s="195">
        <v>0</v>
      </c>
      <c r="P211" s="195">
        <v>0</v>
      </c>
      <c r="Q211" s="195">
        <v>0</v>
      </c>
      <c r="R211" s="195">
        <v>0</v>
      </c>
      <c r="S211" s="195">
        <v>0</v>
      </c>
      <c r="T211" s="114">
        <f t="shared" si="22"/>
        <v>0</v>
      </c>
      <c r="U211" s="196">
        <v>0</v>
      </c>
      <c r="V211" s="196">
        <v>0</v>
      </c>
      <c r="W211" s="115">
        <f t="shared" si="23"/>
        <v>0</v>
      </c>
      <c r="X211" s="116">
        <f>'SUIVI 2026'!M210</f>
        <v>56484482</v>
      </c>
      <c r="Y211" s="117">
        <f t="shared" si="24"/>
        <v>-56484482</v>
      </c>
      <c r="Z211" s="163"/>
      <c r="AA211" s="178">
        <f t="shared" si="25"/>
        <v>0</v>
      </c>
      <c r="AB211" s="179">
        <f t="shared" si="26"/>
        <v>-56484482</v>
      </c>
      <c r="AC211" s="178">
        <f>SUM(AA5:AA211)</f>
        <v>5132</v>
      </c>
      <c r="AD211" s="179">
        <f>SUM(AB5:AB211)</f>
        <v>-5704932682</v>
      </c>
      <c r="AE211" s="180">
        <f t="shared" si="27"/>
        <v>-5704927550</v>
      </c>
    </row>
    <row r="212" spans="1:31" ht="15.95" customHeight="1" x14ac:dyDescent="0.25">
      <c r="A212" s="159">
        <v>208</v>
      </c>
      <c r="B212" s="160">
        <v>46314</v>
      </c>
      <c r="C212" s="161" t="s">
        <v>206</v>
      </c>
      <c r="D212" s="162">
        <v>29</v>
      </c>
      <c r="E212" s="194">
        <v>0</v>
      </c>
      <c r="F212" s="194">
        <v>0</v>
      </c>
      <c r="G212" s="194">
        <v>0</v>
      </c>
      <c r="H212" s="194">
        <v>0</v>
      </c>
      <c r="I212" s="194">
        <v>0</v>
      </c>
      <c r="J212" s="113">
        <f t="shared" si="21"/>
        <v>0</v>
      </c>
      <c r="K212" s="195">
        <v>0</v>
      </c>
      <c r="L212" s="195">
        <v>0</v>
      </c>
      <c r="M212" s="195">
        <v>0</v>
      </c>
      <c r="N212" s="195">
        <v>0</v>
      </c>
      <c r="O212" s="195">
        <v>0</v>
      </c>
      <c r="P212" s="195">
        <v>0</v>
      </c>
      <c r="Q212" s="195">
        <v>0</v>
      </c>
      <c r="R212" s="195">
        <v>0</v>
      </c>
      <c r="S212" s="195">
        <v>0</v>
      </c>
      <c r="T212" s="114">
        <f t="shared" si="22"/>
        <v>0</v>
      </c>
      <c r="U212" s="196">
        <v>0</v>
      </c>
      <c r="V212" s="196">
        <v>0</v>
      </c>
      <c r="W212" s="115">
        <f t="shared" si="23"/>
        <v>0</v>
      </c>
      <c r="X212" s="116">
        <f>'SUIVI 2026'!M211</f>
        <v>56484482</v>
      </c>
      <c r="Y212" s="117">
        <f t="shared" si="24"/>
        <v>-56484482</v>
      </c>
      <c r="Z212" s="163"/>
      <c r="AA212" s="181">
        <f t="shared" si="25"/>
        <v>0</v>
      </c>
      <c r="AB212" s="182">
        <f t="shared" si="26"/>
        <v>-56484482</v>
      </c>
      <c r="AC212" s="181">
        <f>SUM(AA5:AA212)</f>
        <v>5132</v>
      </c>
      <c r="AD212" s="182">
        <f>SUM(AB5:AB212)</f>
        <v>-5761417164</v>
      </c>
      <c r="AE212" s="183">
        <f t="shared" si="27"/>
        <v>-5761412032</v>
      </c>
    </row>
    <row r="213" spans="1:31" ht="15.95" customHeight="1" x14ac:dyDescent="0.25">
      <c r="A213" s="159">
        <v>209</v>
      </c>
      <c r="B213" s="160">
        <v>46315</v>
      </c>
      <c r="C213" s="161" t="s">
        <v>207</v>
      </c>
      <c r="D213" s="162">
        <v>29</v>
      </c>
      <c r="E213" s="194">
        <v>0</v>
      </c>
      <c r="F213" s="194">
        <v>0</v>
      </c>
      <c r="G213" s="194">
        <v>0</v>
      </c>
      <c r="H213" s="194">
        <v>0</v>
      </c>
      <c r="I213" s="194">
        <v>0</v>
      </c>
      <c r="J213" s="113">
        <f t="shared" si="21"/>
        <v>0</v>
      </c>
      <c r="K213" s="195">
        <v>0</v>
      </c>
      <c r="L213" s="195">
        <v>0</v>
      </c>
      <c r="M213" s="195">
        <v>0</v>
      </c>
      <c r="N213" s="195">
        <v>0</v>
      </c>
      <c r="O213" s="195">
        <v>0</v>
      </c>
      <c r="P213" s="195">
        <v>0</v>
      </c>
      <c r="Q213" s="195">
        <v>0</v>
      </c>
      <c r="R213" s="195">
        <v>0</v>
      </c>
      <c r="S213" s="195">
        <v>0</v>
      </c>
      <c r="T213" s="114">
        <f t="shared" si="22"/>
        <v>0</v>
      </c>
      <c r="U213" s="196">
        <v>0</v>
      </c>
      <c r="V213" s="196">
        <v>0</v>
      </c>
      <c r="W213" s="115">
        <f t="shared" si="23"/>
        <v>0</v>
      </c>
      <c r="X213" s="116">
        <f>'SUIVI 2026'!M212</f>
        <v>56484482</v>
      </c>
      <c r="Y213" s="117">
        <f t="shared" si="24"/>
        <v>-56484482</v>
      </c>
      <c r="Z213" s="163"/>
      <c r="AA213" s="178">
        <f t="shared" si="25"/>
        <v>0</v>
      </c>
      <c r="AB213" s="179">
        <f t="shared" si="26"/>
        <v>-56484482</v>
      </c>
      <c r="AC213" s="178">
        <f>SUM(AA5:AA213)</f>
        <v>5132</v>
      </c>
      <c r="AD213" s="179">
        <f>SUM(AB5:AB213)</f>
        <v>-5817901646</v>
      </c>
      <c r="AE213" s="180">
        <f t="shared" si="27"/>
        <v>-5817896514</v>
      </c>
    </row>
    <row r="214" spans="1:31" ht="15.95" customHeight="1" x14ac:dyDescent="0.25">
      <c r="A214" s="159">
        <v>210</v>
      </c>
      <c r="B214" s="160">
        <v>46316</v>
      </c>
      <c r="C214" s="161" t="s">
        <v>208</v>
      </c>
      <c r="D214" s="162">
        <v>30</v>
      </c>
      <c r="E214" s="194">
        <v>0</v>
      </c>
      <c r="F214" s="194">
        <v>0</v>
      </c>
      <c r="G214" s="194">
        <v>0</v>
      </c>
      <c r="H214" s="194">
        <v>0</v>
      </c>
      <c r="I214" s="194">
        <v>0</v>
      </c>
      <c r="J214" s="113">
        <f t="shared" si="21"/>
        <v>0</v>
      </c>
      <c r="K214" s="195">
        <v>0</v>
      </c>
      <c r="L214" s="195">
        <v>0</v>
      </c>
      <c r="M214" s="195">
        <v>0</v>
      </c>
      <c r="N214" s="195">
        <v>0</v>
      </c>
      <c r="O214" s="195">
        <v>0</v>
      </c>
      <c r="P214" s="195">
        <v>0</v>
      </c>
      <c r="Q214" s="195">
        <v>0</v>
      </c>
      <c r="R214" s="195">
        <v>0</v>
      </c>
      <c r="S214" s="195">
        <v>0</v>
      </c>
      <c r="T214" s="114">
        <f t="shared" si="22"/>
        <v>0</v>
      </c>
      <c r="U214" s="196">
        <v>0</v>
      </c>
      <c r="V214" s="196">
        <v>0</v>
      </c>
      <c r="W214" s="115">
        <f t="shared" si="23"/>
        <v>0</v>
      </c>
      <c r="X214" s="116">
        <f>'SUIVI 2026'!M213</f>
        <v>56484482</v>
      </c>
      <c r="Y214" s="117">
        <f t="shared" si="24"/>
        <v>-56484482</v>
      </c>
      <c r="Z214" s="163"/>
      <c r="AA214" s="181">
        <f t="shared" si="25"/>
        <v>0</v>
      </c>
      <c r="AB214" s="182">
        <f t="shared" si="26"/>
        <v>-56484482</v>
      </c>
      <c r="AC214" s="181">
        <f>SUM(AA5:AA214)</f>
        <v>5132</v>
      </c>
      <c r="AD214" s="182">
        <f>SUM(AB5:AB214)</f>
        <v>-5874386128</v>
      </c>
      <c r="AE214" s="183">
        <f t="shared" si="27"/>
        <v>-5874380996</v>
      </c>
    </row>
    <row r="215" spans="1:31" ht="15.95" customHeight="1" x14ac:dyDescent="0.25">
      <c r="A215" s="159">
        <v>211</v>
      </c>
      <c r="B215" s="160">
        <v>46317</v>
      </c>
      <c r="C215" s="161" t="s">
        <v>204</v>
      </c>
      <c r="D215" s="162">
        <v>30</v>
      </c>
      <c r="E215" s="194">
        <v>0</v>
      </c>
      <c r="F215" s="194">
        <v>0</v>
      </c>
      <c r="G215" s="194">
        <v>0</v>
      </c>
      <c r="H215" s="194">
        <v>0</v>
      </c>
      <c r="I215" s="194">
        <v>0</v>
      </c>
      <c r="J215" s="113">
        <f t="shared" si="21"/>
        <v>0</v>
      </c>
      <c r="K215" s="195">
        <v>0</v>
      </c>
      <c r="L215" s="195">
        <v>0</v>
      </c>
      <c r="M215" s="195">
        <v>0</v>
      </c>
      <c r="N215" s="195">
        <v>0</v>
      </c>
      <c r="O215" s="195">
        <v>0</v>
      </c>
      <c r="P215" s="195">
        <v>0</v>
      </c>
      <c r="Q215" s="195">
        <v>0</v>
      </c>
      <c r="R215" s="195">
        <v>0</v>
      </c>
      <c r="S215" s="195">
        <v>0</v>
      </c>
      <c r="T215" s="114">
        <f t="shared" si="22"/>
        <v>0</v>
      </c>
      <c r="U215" s="196">
        <v>0</v>
      </c>
      <c r="V215" s="196">
        <v>0</v>
      </c>
      <c r="W215" s="115">
        <f t="shared" si="23"/>
        <v>0</v>
      </c>
      <c r="X215" s="116">
        <f>'SUIVI 2026'!M214</f>
        <v>56484482</v>
      </c>
      <c r="Y215" s="117">
        <f t="shared" si="24"/>
        <v>-56484482</v>
      </c>
      <c r="Z215" s="163"/>
      <c r="AA215" s="178">
        <f t="shared" si="25"/>
        <v>0</v>
      </c>
      <c r="AB215" s="179">
        <f t="shared" si="26"/>
        <v>-56484482</v>
      </c>
      <c r="AC215" s="178">
        <f>SUM(AA5:AA215)</f>
        <v>5132</v>
      </c>
      <c r="AD215" s="179">
        <f>SUM(AB5:AB215)</f>
        <v>-5930870610</v>
      </c>
      <c r="AE215" s="180">
        <f t="shared" si="27"/>
        <v>-5930865478</v>
      </c>
    </row>
    <row r="216" spans="1:31" ht="15.95" customHeight="1" x14ac:dyDescent="0.25">
      <c r="A216" s="159">
        <v>212</v>
      </c>
      <c r="B216" s="160">
        <v>46318</v>
      </c>
      <c r="C216" s="161" t="s">
        <v>205</v>
      </c>
      <c r="D216" s="162">
        <v>30</v>
      </c>
      <c r="E216" s="194">
        <v>0</v>
      </c>
      <c r="F216" s="194">
        <v>0</v>
      </c>
      <c r="G216" s="194">
        <v>0</v>
      </c>
      <c r="H216" s="194">
        <v>0</v>
      </c>
      <c r="I216" s="194">
        <v>0</v>
      </c>
      <c r="J216" s="113">
        <f t="shared" si="21"/>
        <v>0</v>
      </c>
      <c r="K216" s="195">
        <v>0</v>
      </c>
      <c r="L216" s="195">
        <v>0</v>
      </c>
      <c r="M216" s="195">
        <v>0</v>
      </c>
      <c r="N216" s="195">
        <v>0</v>
      </c>
      <c r="O216" s="195">
        <v>0</v>
      </c>
      <c r="P216" s="195">
        <v>0</v>
      </c>
      <c r="Q216" s="195">
        <v>0</v>
      </c>
      <c r="R216" s="195">
        <v>0</v>
      </c>
      <c r="S216" s="195">
        <v>0</v>
      </c>
      <c r="T216" s="114">
        <f t="shared" si="22"/>
        <v>0</v>
      </c>
      <c r="U216" s="196">
        <v>0</v>
      </c>
      <c r="V216" s="196">
        <v>0</v>
      </c>
      <c r="W216" s="115">
        <f t="shared" si="23"/>
        <v>0</v>
      </c>
      <c r="X216" s="116">
        <f>'SUIVI 2026'!M215</f>
        <v>56484482</v>
      </c>
      <c r="Y216" s="117">
        <f t="shared" si="24"/>
        <v>-56484482</v>
      </c>
      <c r="Z216" s="163"/>
      <c r="AA216" s="181">
        <f t="shared" si="25"/>
        <v>0</v>
      </c>
      <c r="AB216" s="182">
        <f t="shared" si="26"/>
        <v>-56484482</v>
      </c>
      <c r="AC216" s="181">
        <f>SUM(AA5:AA216)</f>
        <v>5132</v>
      </c>
      <c r="AD216" s="182">
        <f>SUM(AB5:AB216)</f>
        <v>-5987355092</v>
      </c>
      <c r="AE216" s="183">
        <f t="shared" si="27"/>
        <v>-5987349960</v>
      </c>
    </row>
    <row r="217" spans="1:31" ht="15.95" customHeight="1" x14ac:dyDescent="0.25">
      <c r="A217" s="159">
        <v>213</v>
      </c>
      <c r="B217" s="160">
        <v>46321</v>
      </c>
      <c r="C217" s="161" t="s">
        <v>206</v>
      </c>
      <c r="D217" s="162">
        <v>30</v>
      </c>
      <c r="E217" s="194">
        <v>0</v>
      </c>
      <c r="F217" s="194">
        <v>0</v>
      </c>
      <c r="G217" s="194">
        <v>0</v>
      </c>
      <c r="H217" s="194">
        <v>0</v>
      </c>
      <c r="I217" s="194">
        <v>0</v>
      </c>
      <c r="J217" s="113">
        <f t="shared" si="21"/>
        <v>0</v>
      </c>
      <c r="K217" s="195">
        <v>0</v>
      </c>
      <c r="L217" s="195">
        <v>0</v>
      </c>
      <c r="M217" s="195">
        <v>0</v>
      </c>
      <c r="N217" s="195">
        <v>0</v>
      </c>
      <c r="O217" s="195">
        <v>0</v>
      </c>
      <c r="P217" s="195">
        <v>0</v>
      </c>
      <c r="Q217" s="195">
        <v>0</v>
      </c>
      <c r="R217" s="195">
        <v>0</v>
      </c>
      <c r="S217" s="195">
        <v>0</v>
      </c>
      <c r="T217" s="114">
        <f t="shared" si="22"/>
        <v>0</v>
      </c>
      <c r="U217" s="196">
        <v>0</v>
      </c>
      <c r="V217" s="196">
        <v>0</v>
      </c>
      <c r="W217" s="115">
        <f t="shared" si="23"/>
        <v>0</v>
      </c>
      <c r="X217" s="116">
        <f>'SUIVI 2026'!M216</f>
        <v>56484482</v>
      </c>
      <c r="Y217" s="117">
        <f t="shared" si="24"/>
        <v>-56484482</v>
      </c>
      <c r="Z217" s="163"/>
      <c r="AA217" s="178">
        <f t="shared" si="25"/>
        <v>0</v>
      </c>
      <c r="AB217" s="179">
        <f t="shared" si="26"/>
        <v>-56484482</v>
      </c>
      <c r="AC217" s="178">
        <f>SUM(AA5:AA217)</f>
        <v>5132</v>
      </c>
      <c r="AD217" s="179">
        <f>SUM(AB5:AB217)</f>
        <v>-6043839574</v>
      </c>
      <c r="AE217" s="180">
        <f t="shared" si="27"/>
        <v>-6043834442</v>
      </c>
    </row>
    <row r="218" spans="1:31" ht="15.95" customHeight="1" x14ac:dyDescent="0.25">
      <c r="A218" s="159">
        <v>214</v>
      </c>
      <c r="B218" s="160">
        <v>46322</v>
      </c>
      <c r="C218" s="161" t="s">
        <v>207</v>
      </c>
      <c r="D218" s="162">
        <v>30</v>
      </c>
      <c r="E218" s="194">
        <v>0</v>
      </c>
      <c r="F218" s="194">
        <v>0</v>
      </c>
      <c r="G218" s="194">
        <v>0</v>
      </c>
      <c r="H218" s="194">
        <v>0</v>
      </c>
      <c r="I218" s="194">
        <v>0</v>
      </c>
      <c r="J218" s="113">
        <f t="shared" si="21"/>
        <v>0</v>
      </c>
      <c r="K218" s="195">
        <v>0</v>
      </c>
      <c r="L218" s="195">
        <v>0</v>
      </c>
      <c r="M218" s="195">
        <v>0</v>
      </c>
      <c r="N218" s="195">
        <v>0</v>
      </c>
      <c r="O218" s="195">
        <v>0</v>
      </c>
      <c r="P218" s="195">
        <v>0</v>
      </c>
      <c r="Q218" s="195">
        <v>0</v>
      </c>
      <c r="R218" s="195">
        <v>0</v>
      </c>
      <c r="S218" s="195">
        <v>0</v>
      </c>
      <c r="T218" s="114">
        <f t="shared" si="22"/>
        <v>0</v>
      </c>
      <c r="U218" s="196">
        <v>0</v>
      </c>
      <c r="V218" s="196">
        <v>0</v>
      </c>
      <c r="W218" s="115">
        <f t="shared" si="23"/>
        <v>0</v>
      </c>
      <c r="X218" s="116">
        <f>'SUIVI 2026'!M217</f>
        <v>56484482</v>
      </c>
      <c r="Y218" s="117">
        <f t="shared" si="24"/>
        <v>-56484482</v>
      </c>
      <c r="Z218" s="163"/>
      <c r="AA218" s="181">
        <f t="shared" si="25"/>
        <v>0</v>
      </c>
      <c r="AB218" s="182">
        <f t="shared" si="26"/>
        <v>-56484482</v>
      </c>
      <c r="AC218" s="181">
        <f>SUM(AA5:AA218)</f>
        <v>5132</v>
      </c>
      <c r="AD218" s="182">
        <f>SUM(AB5:AB218)</f>
        <v>-6100324056</v>
      </c>
      <c r="AE218" s="183">
        <f t="shared" si="27"/>
        <v>-6100318924</v>
      </c>
    </row>
    <row r="219" spans="1:31" ht="15.95" customHeight="1" x14ac:dyDescent="0.25">
      <c r="A219" s="159">
        <v>215</v>
      </c>
      <c r="B219" s="160">
        <v>46323</v>
      </c>
      <c r="C219" s="161" t="s">
        <v>208</v>
      </c>
      <c r="D219" s="162">
        <v>30</v>
      </c>
      <c r="E219" s="194">
        <v>0</v>
      </c>
      <c r="F219" s="194">
        <v>0</v>
      </c>
      <c r="G219" s="194">
        <v>0</v>
      </c>
      <c r="H219" s="194">
        <v>0</v>
      </c>
      <c r="I219" s="194">
        <v>0</v>
      </c>
      <c r="J219" s="113">
        <f t="shared" si="21"/>
        <v>0</v>
      </c>
      <c r="K219" s="195">
        <v>0</v>
      </c>
      <c r="L219" s="195">
        <v>0</v>
      </c>
      <c r="M219" s="195">
        <v>0</v>
      </c>
      <c r="N219" s="195">
        <v>0</v>
      </c>
      <c r="O219" s="195">
        <v>0</v>
      </c>
      <c r="P219" s="195">
        <v>0</v>
      </c>
      <c r="Q219" s="195">
        <v>0</v>
      </c>
      <c r="R219" s="195">
        <v>0</v>
      </c>
      <c r="S219" s="195">
        <v>0</v>
      </c>
      <c r="T219" s="114">
        <f t="shared" si="22"/>
        <v>0</v>
      </c>
      <c r="U219" s="196">
        <v>0</v>
      </c>
      <c r="V219" s="196">
        <v>0</v>
      </c>
      <c r="W219" s="115">
        <f t="shared" si="23"/>
        <v>0</v>
      </c>
      <c r="X219" s="116">
        <f>'SUIVI 2026'!M218</f>
        <v>56484482</v>
      </c>
      <c r="Y219" s="117">
        <f t="shared" si="24"/>
        <v>-56484482</v>
      </c>
      <c r="Z219" s="163"/>
      <c r="AA219" s="178">
        <f t="shared" si="25"/>
        <v>0</v>
      </c>
      <c r="AB219" s="179">
        <f t="shared" si="26"/>
        <v>-56484482</v>
      </c>
      <c r="AC219" s="178">
        <f>SUM(AA5:AA219)</f>
        <v>5132</v>
      </c>
      <c r="AD219" s="179">
        <f>SUM(AB5:AB219)</f>
        <v>-6156808538</v>
      </c>
      <c r="AE219" s="180">
        <f t="shared" si="27"/>
        <v>-6156803406</v>
      </c>
    </row>
    <row r="220" spans="1:31" ht="15.95" customHeight="1" x14ac:dyDescent="0.25">
      <c r="A220" s="159">
        <v>216</v>
      </c>
      <c r="B220" s="160">
        <v>46324</v>
      </c>
      <c r="C220" s="161" t="s">
        <v>204</v>
      </c>
      <c r="D220" s="162">
        <v>30</v>
      </c>
      <c r="E220" s="194">
        <v>0</v>
      </c>
      <c r="F220" s="194">
        <v>0</v>
      </c>
      <c r="G220" s="194">
        <v>0</v>
      </c>
      <c r="H220" s="194">
        <v>0</v>
      </c>
      <c r="I220" s="194">
        <v>0</v>
      </c>
      <c r="J220" s="113">
        <f t="shared" si="21"/>
        <v>0</v>
      </c>
      <c r="K220" s="195">
        <v>0</v>
      </c>
      <c r="L220" s="195">
        <v>0</v>
      </c>
      <c r="M220" s="195">
        <v>0</v>
      </c>
      <c r="N220" s="195">
        <v>0</v>
      </c>
      <c r="O220" s="195">
        <v>0</v>
      </c>
      <c r="P220" s="195">
        <v>0</v>
      </c>
      <c r="Q220" s="195">
        <v>0</v>
      </c>
      <c r="R220" s="195">
        <v>0</v>
      </c>
      <c r="S220" s="195">
        <v>0</v>
      </c>
      <c r="T220" s="114">
        <f t="shared" si="22"/>
        <v>0</v>
      </c>
      <c r="U220" s="196">
        <v>0</v>
      </c>
      <c r="V220" s="196">
        <v>0</v>
      </c>
      <c r="W220" s="115">
        <f t="shared" si="23"/>
        <v>0</v>
      </c>
      <c r="X220" s="116">
        <f>'SUIVI 2026'!M219</f>
        <v>56484482</v>
      </c>
      <c r="Y220" s="117">
        <f t="shared" si="24"/>
        <v>-56484482</v>
      </c>
      <c r="Z220" s="163"/>
      <c r="AA220" s="181">
        <f t="shared" si="25"/>
        <v>0</v>
      </c>
      <c r="AB220" s="182">
        <f t="shared" si="26"/>
        <v>-56484482</v>
      </c>
      <c r="AC220" s="181">
        <f>SUM(AA5:AA220)</f>
        <v>5132</v>
      </c>
      <c r="AD220" s="182">
        <f>SUM(AB5:AB220)</f>
        <v>-6213293020</v>
      </c>
      <c r="AE220" s="183">
        <f t="shared" si="27"/>
        <v>-6213287888</v>
      </c>
    </row>
    <row r="221" spans="1:31" ht="15.95" customHeight="1" x14ac:dyDescent="0.25">
      <c r="A221" s="159">
        <v>217</v>
      </c>
      <c r="B221" s="160">
        <v>46325</v>
      </c>
      <c r="C221" s="161" t="s">
        <v>205</v>
      </c>
      <c r="D221" s="162">
        <v>30</v>
      </c>
      <c r="E221" s="194">
        <v>0</v>
      </c>
      <c r="F221" s="194">
        <v>0</v>
      </c>
      <c r="G221" s="194">
        <v>0</v>
      </c>
      <c r="H221" s="194">
        <v>0</v>
      </c>
      <c r="I221" s="194">
        <v>0</v>
      </c>
      <c r="J221" s="113">
        <f t="shared" si="21"/>
        <v>0</v>
      </c>
      <c r="K221" s="195">
        <v>0</v>
      </c>
      <c r="L221" s="195">
        <v>0</v>
      </c>
      <c r="M221" s="195">
        <v>0</v>
      </c>
      <c r="N221" s="195">
        <v>0</v>
      </c>
      <c r="O221" s="195">
        <v>0</v>
      </c>
      <c r="P221" s="195">
        <v>0</v>
      </c>
      <c r="Q221" s="195">
        <v>0</v>
      </c>
      <c r="R221" s="195">
        <v>0</v>
      </c>
      <c r="S221" s="195">
        <v>0</v>
      </c>
      <c r="T221" s="114">
        <f t="shared" si="22"/>
        <v>0</v>
      </c>
      <c r="U221" s="196">
        <v>0</v>
      </c>
      <c r="V221" s="196">
        <v>0</v>
      </c>
      <c r="W221" s="115">
        <f t="shared" si="23"/>
        <v>0</v>
      </c>
      <c r="X221" s="116">
        <f>'SUIVI 2026'!M220</f>
        <v>56484482</v>
      </c>
      <c r="Y221" s="117">
        <f t="shared" si="24"/>
        <v>-56484482</v>
      </c>
      <c r="Z221" s="163"/>
      <c r="AA221" s="178">
        <f t="shared" si="25"/>
        <v>0</v>
      </c>
      <c r="AB221" s="179">
        <f t="shared" si="26"/>
        <v>-56484482</v>
      </c>
      <c r="AC221" s="178">
        <f>SUM(AA5:AA221)</f>
        <v>5132</v>
      </c>
      <c r="AD221" s="179">
        <f>SUM(AB5:AB221)</f>
        <v>-6269777502</v>
      </c>
      <c r="AE221" s="180">
        <f t="shared" si="27"/>
        <v>-6269772370</v>
      </c>
    </row>
    <row r="222" spans="1:31" ht="15.95" customHeight="1" x14ac:dyDescent="0.25">
      <c r="A222" s="164">
        <v>218</v>
      </c>
      <c r="B222" s="165">
        <v>46328</v>
      </c>
      <c r="C222" s="166" t="s">
        <v>206</v>
      </c>
      <c r="D222" s="167">
        <v>31</v>
      </c>
      <c r="E222" s="194">
        <v>0</v>
      </c>
      <c r="F222" s="194">
        <v>0</v>
      </c>
      <c r="G222" s="194">
        <v>0</v>
      </c>
      <c r="H222" s="194">
        <v>0</v>
      </c>
      <c r="I222" s="194">
        <v>0</v>
      </c>
      <c r="J222" s="113">
        <f t="shared" si="21"/>
        <v>0</v>
      </c>
      <c r="K222" s="195">
        <v>0</v>
      </c>
      <c r="L222" s="195">
        <v>0</v>
      </c>
      <c r="M222" s="195">
        <v>0</v>
      </c>
      <c r="N222" s="195">
        <v>0</v>
      </c>
      <c r="O222" s="195">
        <v>0</v>
      </c>
      <c r="P222" s="195">
        <v>0</v>
      </c>
      <c r="Q222" s="195">
        <v>0</v>
      </c>
      <c r="R222" s="195">
        <v>0</v>
      </c>
      <c r="S222" s="195">
        <v>0</v>
      </c>
      <c r="T222" s="114">
        <f t="shared" si="22"/>
        <v>0</v>
      </c>
      <c r="U222" s="196">
        <v>0</v>
      </c>
      <c r="V222" s="196">
        <v>0</v>
      </c>
      <c r="W222" s="115">
        <f t="shared" si="23"/>
        <v>0</v>
      </c>
      <c r="X222" s="116">
        <f>'SUIVI 2026'!M221</f>
        <v>56484482</v>
      </c>
      <c r="Y222" s="117">
        <f t="shared" si="24"/>
        <v>-56484482</v>
      </c>
      <c r="Z222" s="168"/>
      <c r="AA222" s="181">
        <f t="shared" si="25"/>
        <v>0</v>
      </c>
      <c r="AB222" s="182">
        <f t="shared" si="26"/>
        <v>-56484482</v>
      </c>
      <c r="AC222" s="181">
        <f>SUM(AA5:AA222)</f>
        <v>5132</v>
      </c>
      <c r="AD222" s="182">
        <f>SUM(AB5:AB222)</f>
        <v>-6326261984</v>
      </c>
      <c r="AE222" s="183">
        <f t="shared" si="27"/>
        <v>-6326256852</v>
      </c>
    </row>
    <row r="223" spans="1:31" ht="15.95" customHeight="1" x14ac:dyDescent="0.25">
      <c r="A223" s="164">
        <v>219</v>
      </c>
      <c r="B223" s="165">
        <v>46329</v>
      </c>
      <c r="C223" s="166" t="s">
        <v>207</v>
      </c>
      <c r="D223" s="167">
        <v>31</v>
      </c>
      <c r="E223" s="194">
        <v>0</v>
      </c>
      <c r="F223" s="194">
        <v>0</v>
      </c>
      <c r="G223" s="194">
        <v>0</v>
      </c>
      <c r="H223" s="194">
        <v>0</v>
      </c>
      <c r="I223" s="194">
        <v>0</v>
      </c>
      <c r="J223" s="113">
        <f t="shared" si="21"/>
        <v>0</v>
      </c>
      <c r="K223" s="195">
        <v>0</v>
      </c>
      <c r="L223" s="195">
        <v>0</v>
      </c>
      <c r="M223" s="195">
        <v>0</v>
      </c>
      <c r="N223" s="195">
        <v>0</v>
      </c>
      <c r="O223" s="195">
        <v>0</v>
      </c>
      <c r="P223" s="195">
        <v>0</v>
      </c>
      <c r="Q223" s="195">
        <v>0</v>
      </c>
      <c r="R223" s="195">
        <v>0</v>
      </c>
      <c r="S223" s="195">
        <v>0</v>
      </c>
      <c r="T223" s="114">
        <f t="shared" si="22"/>
        <v>0</v>
      </c>
      <c r="U223" s="196">
        <v>0</v>
      </c>
      <c r="V223" s="196">
        <v>0</v>
      </c>
      <c r="W223" s="115">
        <f t="shared" si="23"/>
        <v>0</v>
      </c>
      <c r="X223" s="116">
        <f>'SUIVI 2026'!M222</f>
        <v>56484482</v>
      </c>
      <c r="Y223" s="117">
        <f t="shared" si="24"/>
        <v>-56484482</v>
      </c>
      <c r="Z223" s="168"/>
      <c r="AA223" s="178">
        <f t="shared" si="25"/>
        <v>0</v>
      </c>
      <c r="AB223" s="179">
        <f t="shared" si="26"/>
        <v>-56484482</v>
      </c>
      <c r="AC223" s="178">
        <f>SUM(AA5:AA223)</f>
        <v>5132</v>
      </c>
      <c r="AD223" s="179">
        <f>SUM(AB5:AB223)</f>
        <v>-6382746466</v>
      </c>
      <c r="AE223" s="180">
        <f t="shared" si="27"/>
        <v>-6382741334</v>
      </c>
    </row>
    <row r="224" spans="1:31" ht="15.95" customHeight="1" x14ac:dyDescent="0.25">
      <c r="A224" s="164">
        <v>220</v>
      </c>
      <c r="B224" s="165">
        <v>46330</v>
      </c>
      <c r="C224" s="166" t="s">
        <v>208</v>
      </c>
      <c r="D224" s="167">
        <v>31</v>
      </c>
      <c r="E224" s="194">
        <v>0</v>
      </c>
      <c r="F224" s="194">
        <v>0</v>
      </c>
      <c r="G224" s="194">
        <v>0</v>
      </c>
      <c r="H224" s="194">
        <v>0</v>
      </c>
      <c r="I224" s="194">
        <v>0</v>
      </c>
      <c r="J224" s="113">
        <f t="shared" si="21"/>
        <v>0</v>
      </c>
      <c r="K224" s="195">
        <v>0</v>
      </c>
      <c r="L224" s="195">
        <v>0</v>
      </c>
      <c r="M224" s="195">
        <v>0</v>
      </c>
      <c r="N224" s="195">
        <v>0</v>
      </c>
      <c r="O224" s="195">
        <v>0</v>
      </c>
      <c r="P224" s="195">
        <v>0</v>
      </c>
      <c r="Q224" s="195">
        <v>0</v>
      </c>
      <c r="R224" s="195">
        <v>0</v>
      </c>
      <c r="S224" s="195">
        <v>0</v>
      </c>
      <c r="T224" s="114">
        <f t="shared" si="22"/>
        <v>0</v>
      </c>
      <c r="U224" s="196">
        <v>0</v>
      </c>
      <c r="V224" s="196">
        <v>0</v>
      </c>
      <c r="W224" s="115">
        <f t="shared" si="23"/>
        <v>0</v>
      </c>
      <c r="X224" s="116">
        <f>'SUIVI 2026'!M223</f>
        <v>56484482</v>
      </c>
      <c r="Y224" s="117">
        <f t="shared" si="24"/>
        <v>-56484482</v>
      </c>
      <c r="Z224" s="168"/>
      <c r="AA224" s="181">
        <f t="shared" si="25"/>
        <v>0</v>
      </c>
      <c r="AB224" s="182">
        <f t="shared" si="26"/>
        <v>-56484482</v>
      </c>
      <c r="AC224" s="181">
        <f>SUM(AA5:AA224)</f>
        <v>5132</v>
      </c>
      <c r="AD224" s="182">
        <f>SUM(AB5:AB224)</f>
        <v>-6439230948</v>
      </c>
      <c r="AE224" s="183">
        <f t="shared" si="27"/>
        <v>-6439225816</v>
      </c>
    </row>
    <row r="225" spans="1:31" ht="15.95" customHeight="1" x14ac:dyDescent="0.25">
      <c r="A225" s="164">
        <v>221</v>
      </c>
      <c r="B225" s="165">
        <v>46331</v>
      </c>
      <c r="C225" s="166" t="s">
        <v>204</v>
      </c>
      <c r="D225" s="167">
        <v>31</v>
      </c>
      <c r="E225" s="194">
        <v>0</v>
      </c>
      <c r="F225" s="194">
        <v>0</v>
      </c>
      <c r="G225" s="194">
        <v>0</v>
      </c>
      <c r="H225" s="194">
        <v>0</v>
      </c>
      <c r="I225" s="194">
        <v>0</v>
      </c>
      <c r="J225" s="113">
        <f t="shared" si="21"/>
        <v>0</v>
      </c>
      <c r="K225" s="195">
        <v>0</v>
      </c>
      <c r="L225" s="195">
        <v>0</v>
      </c>
      <c r="M225" s="195">
        <v>0</v>
      </c>
      <c r="N225" s="195">
        <v>0</v>
      </c>
      <c r="O225" s="195">
        <v>0</v>
      </c>
      <c r="P225" s="195">
        <v>0</v>
      </c>
      <c r="Q225" s="195">
        <v>0</v>
      </c>
      <c r="R225" s="195">
        <v>0</v>
      </c>
      <c r="S225" s="195">
        <v>0</v>
      </c>
      <c r="T225" s="114">
        <f t="shared" si="22"/>
        <v>0</v>
      </c>
      <c r="U225" s="196">
        <v>0</v>
      </c>
      <c r="V225" s="196">
        <v>0</v>
      </c>
      <c r="W225" s="115">
        <f t="shared" si="23"/>
        <v>0</v>
      </c>
      <c r="X225" s="116">
        <f>'SUIVI 2026'!M224</f>
        <v>56484482</v>
      </c>
      <c r="Y225" s="117">
        <f t="shared" si="24"/>
        <v>-56484482</v>
      </c>
      <c r="Z225" s="168"/>
      <c r="AA225" s="178">
        <f t="shared" si="25"/>
        <v>0</v>
      </c>
      <c r="AB225" s="179">
        <f t="shared" si="26"/>
        <v>-56484482</v>
      </c>
      <c r="AC225" s="178">
        <f>SUM(AA5:AA225)</f>
        <v>5132</v>
      </c>
      <c r="AD225" s="179">
        <f>SUM(AB5:AB225)</f>
        <v>-6495715430</v>
      </c>
      <c r="AE225" s="180">
        <f t="shared" si="27"/>
        <v>-6495710298</v>
      </c>
    </row>
    <row r="226" spans="1:31" ht="15.95" customHeight="1" x14ac:dyDescent="0.25">
      <c r="A226" s="164">
        <v>222</v>
      </c>
      <c r="B226" s="165">
        <v>46332</v>
      </c>
      <c r="C226" s="166" t="s">
        <v>205</v>
      </c>
      <c r="D226" s="167">
        <v>31</v>
      </c>
      <c r="E226" s="194">
        <v>0</v>
      </c>
      <c r="F226" s="194">
        <v>0</v>
      </c>
      <c r="G226" s="194">
        <v>0</v>
      </c>
      <c r="H226" s="194">
        <v>0</v>
      </c>
      <c r="I226" s="194">
        <v>0</v>
      </c>
      <c r="J226" s="113">
        <f t="shared" si="21"/>
        <v>0</v>
      </c>
      <c r="K226" s="195">
        <v>0</v>
      </c>
      <c r="L226" s="195">
        <v>0</v>
      </c>
      <c r="M226" s="195">
        <v>0</v>
      </c>
      <c r="N226" s="195">
        <v>0</v>
      </c>
      <c r="O226" s="195">
        <v>0</v>
      </c>
      <c r="P226" s="195">
        <v>0</v>
      </c>
      <c r="Q226" s="195">
        <v>0</v>
      </c>
      <c r="R226" s="195">
        <v>0</v>
      </c>
      <c r="S226" s="195">
        <v>0</v>
      </c>
      <c r="T226" s="114">
        <f t="shared" si="22"/>
        <v>0</v>
      </c>
      <c r="U226" s="196">
        <v>0</v>
      </c>
      <c r="V226" s="196">
        <v>0</v>
      </c>
      <c r="W226" s="115">
        <f t="shared" si="23"/>
        <v>0</v>
      </c>
      <c r="X226" s="116">
        <f>'SUIVI 2026'!M225</f>
        <v>56484482</v>
      </c>
      <c r="Y226" s="117">
        <f t="shared" si="24"/>
        <v>-56484482</v>
      </c>
      <c r="Z226" s="168"/>
      <c r="AA226" s="181">
        <f t="shared" si="25"/>
        <v>0</v>
      </c>
      <c r="AB226" s="182">
        <f t="shared" si="26"/>
        <v>-56484482</v>
      </c>
      <c r="AC226" s="181">
        <f>SUM(AA5:AA226)</f>
        <v>5132</v>
      </c>
      <c r="AD226" s="182">
        <f>SUM(AB5:AB226)</f>
        <v>-6552199912</v>
      </c>
      <c r="AE226" s="183">
        <f t="shared" si="27"/>
        <v>-6552194780</v>
      </c>
    </row>
    <row r="227" spans="1:31" ht="15.95" customHeight="1" x14ac:dyDescent="0.25">
      <c r="A227" s="164">
        <v>223</v>
      </c>
      <c r="B227" s="165">
        <v>46335</v>
      </c>
      <c r="C227" s="166" t="s">
        <v>206</v>
      </c>
      <c r="D227" s="167">
        <v>31</v>
      </c>
      <c r="E227" s="194">
        <v>0</v>
      </c>
      <c r="F227" s="194">
        <v>0</v>
      </c>
      <c r="G227" s="194">
        <v>0</v>
      </c>
      <c r="H227" s="194">
        <v>0</v>
      </c>
      <c r="I227" s="194">
        <v>0</v>
      </c>
      <c r="J227" s="113">
        <f t="shared" si="21"/>
        <v>0</v>
      </c>
      <c r="K227" s="195">
        <v>0</v>
      </c>
      <c r="L227" s="195">
        <v>0</v>
      </c>
      <c r="M227" s="195">
        <v>0</v>
      </c>
      <c r="N227" s="195">
        <v>0</v>
      </c>
      <c r="O227" s="195">
        <v>0</v>
      </c>
      <c r="P227" s="195">
        <v>0</v>
      </c>
      <c r="Q227" s="195">
        <v>0</v>
      </c>
      <c r="R227" s="195">
        <v>0</v>
      </c>
      <c r="S227" s="195">
        <v>0</v>
      </c>
      <c r="T227" s="114">
        <f t="shared" si="22"/>
        <v>0</v>
      </c>
      <c r="U227" s="196">
        <v>0</v>
      </c>
      <c r="V227" s="196">
        <v>0</v>
      </c>
      <c r="W227" s="115">
        <f t="shared" si="23"/>
        <v>0</v>
      </c>
      <c r="X227" s="116">
        <f>'SUIVI 2026'!M226</f>
        <v>56484482</v>
      </c>
      <c r="Y227" s="117">
        <f t="shared" si="24"/>
        <v>-56484482</v>
      </c>
      <c r="Z227" s="168"/>
      <c r="AA227" s="178">
        <f t="shared" si="25"/>
        <v>0</v>
      </c>
      <c r="AB227" s="179">
        <f t="shared" si="26"/>
        <v>-56484482</v>
      </c>
      <c r="AC227" s="178">
        <f>SUM(AA5:AA227)</f>
        <v>5132</v>
      </c>
      <c r="AD227" s="179">
        <f>SUM(AB5:AB227)</f>
        <v>-6608684394</v>
      </c>
      <c r="AE227" s="180">
        <f t="shared" si="27"/>
        <v>-6608679262</v>
      </c>
    </row>
    <row r="228" spans="1:31" ht="15.95" customHeight="1" x14ac:dyDescent="0.25">
      <c r="A228" s="164">
        <v>224</v>
      </c>
      <c r="B228" s="165">
        <v>46336</v>
      </c>
      <c r="C228" s="166" t="s">
        <v>207</v>
      </c>
      <c r="D228" s="167">
        <v>31</v>
      </c>
      <c r="E228" s="194">
        <v>0</v>
      </c>
      <c r="F228" s="194">
        <v>0</v>
      </c>
      <c r="G228" s="194">
        <v>0</v>
      </c>
      <c r="H228" s="194">
        <v>0</v>
      </c>
      <c r="I228" s="194">
        <v>0</v>
      </c>
      <c r="J228" s="113">
        <f t="shared" si="21"/>
        <v>0</v>
      </c>
      <c r="K228" s="195">
        <v>0</v>
      </c>
      <c r="L228" s="195">
        <v>0</v>
      </c>
      <c r="M228" s="195">
        <v>0</v>
      </c>
      <c r="N228" s="195">
        <v>0</v>
      </c>
      <c r="O228" s="195">
        <v>0</v>
      </c>
      <c r="P228" s="195">
        <v>0</v>
      </c>
      <c r="Q228" s="195">
        <v>0</v>
      </c>
      <c r="R228" s="195">
        <v>0</v>
      </c>
      <c r="S228" s="195">
        <v>0</v>
      </c>
      <c r="T228" s="114">
        <f t="shared" si="22"/>
        <v>0</v>
      </c>
      <c r="U228" s="196">
        <v>0</v>
      </c>
      <c r="V228" s="196">
        <v>0</v>
      </c>
      <c r="W228" s="115">
        <f t="shared" si="23"/>
        <v>0</v>
      </c>
      <c r="X228" s="116">
        <f>'SUIVI 2026'!M227</f>
        <v>56484482</v>
      </c>
      <c r="Y228" s="117">
        <f t="shared" si="24"/>
        <v>-56484482</v>
      </c>
      <c r="Z228" s="168"/>
      <c r="AA228" s="181">
        <f t="shared" si="25"/>
        <v>0</v>
      </c>
      <c r="AB228" s="182">
        <f t="shared" si="26"/>
        <v>-56484482</v>
      </c>
      <c r="AC228" s="181">
        <f>SUM(AA5:AA228)</f>
        <v>5132</v>
      </c>
      <c r="AD228" s="182">
        <f>SUM(AB5:AB228)</f>
        <v>-6665168876</v>
      </c>
      <c r="AE228" s="183">
        <f t="shared" si="27"/>
        <v>-6665163744</v>
      </c>
    </row>
    <row r="229" spans="1:31" ht="15.95" customHeight="1" x14ac:dyDescent="0.25">
      <c r="A229" s="164">
        <v>225</v>
      </c>
      <c r="B229" s="165">
        <v>46337</v>
      </c>
      <c r="C229" s="166" t="s">
        <v>208</v>
      </c>
      <c r="D229" s="167">
        <v>32</v>
      </c>
      <c r="E229" s="194">
        <v>0</v>
      </c>
      <c r="F229" s="194">
        <v>0</v>
      </c>
      <c r="G229" s="194">
        <v>0</v>
      </c>
      <c r="H229" s="194">
        <v>0</v>
      </c>
      <c r="I229" s="194">
        <v>0</v>
      </c>
      <c r="J229" s="113">
        <f t="shared" si="21"/>
        <v>0</v>
      </c>
      <c r="K229" s="195">
        <v>0</v>
      </c>
      <c r="L229" s="195">
        <v>0</v>
      </c>
      <c r="M229" s="195">
        <v>0</v>
      </c>
      <c r="N229" s="195">
        <v>0</v>
      </c>
      <c r="O229" s="195">
        <v>0</v>
      </c>
      <c r="P229" s="195">
        <v>0</v>
      </c>
      <c r="Q229" s="195">
        <v>0</v>
      </c>
      <c r="R229" s="195">
        <v>0</v>
      </c>
      <c r="S229" s="195">
        <v>0</v>
      </c>
      <c r="T229" s="114">
        <f t="shared" si="22"/>
        <v>0</v>
      </c>
      <c r="U229" s="196">
        <v>0</v>
      </c>
      <c r="V229" s="196">
        <v>0</v>
      </c>
      <c r="W229" s="115">
        <f t="shared" si="23"/>
        <v>0</v>
      </c>
      <c r="X229" s="116">
        <f>'SUIVI 2026'!M228</f>
        <v>56484482</v>
      </c>
      <c r="Y229" s="117">
        <f t="shared" si="24"/>
        <v>-56484482</v>
      </c>
      <c r="Z229" s="168"/>
      <c r="AA229" s="178">
        <f t="shared" si="25"/>
        <v>0</v>
      </c>
      <c r="AB229" s="179">
        <f t="shared" si="26"/>
        <v>-56484482</v>
      </c>
      <c r="AC229" s="178">
        <f>SUM(AA5:AA229)</f>
        <v>5132</v>
      </c>
      <c r="AD229" s="179">
        <f>SUM(AB5:AB229)</f>
        <v>-6721653358</v>
      </c>
      <c r="AE229" s="180">
        <f t="shared" si="27"/>
        <v>-6721648226</v>
      </c>
    </row>
    <row r="230" spans="1:31" ht="15.95" customHeight="1" x14ac:dyDescent="0.25">
      <c r="A230" s="164">
        <v>226</v>
      </c>
      <c r="B230" s="165">
        <v>46338</v>
      </c>
      <c r="C230" s="166" t="s">
        <v>204</v>
      </c>
      <c r="D230" s="167">
        <v>32</v>
      </c>
      <c r="E230" s="194">
        <v>0</v>
      </c>
      <c r="F230" s="194">
        <v>0</v>
      </c>
      <c r="G230" s="194">
        <v>0</v>
      </c>
      <c r="H230" s="194">
        <v>0</v>
      </c>
      <c r="I230" s="194">
        <v>0</v>
      </c>
      <c r="J230" s="113">
        <f t="shared" si="21"/>
        <v>0</v>
      </c>
      <c r="K230" s="195">
        <v>0</v>
      </c>
      <c r="L230" s="195">
        <v>0</v>
      </c>
      <c r="M230" s="195">
        <v>0</v>
      </c>
      <c r="N230" s="195">
        <v>0</v>
      </c>
      <c r="O230" s="195">
        <v>0</v>
      </c>
      <c r="P230" s="195">
        <v>0</v>
      </c>
      <c r="Q230" s="195">
        <v>0</v>
      </c>
      <c r="R230" s="195">
        <v>0</v>
      </c>
      <c r="S230" s="195">
        <v>0</v>
      </c>
      <c r="T230" s="114">
        <f t="shared" si="22"/>
        <v>0</v>
      </c>
      <c r="U230" s="196">
        <v>0</v>
      </c>
      <c r="V230" s="196">
        <v>0</v>
      </c>
      <c r="W230" s="115">
        <f t="shared" si="23"/>
        <v>0</v>
      </c>
      <c r="X230" s="116">
        <f>'SUIVI 2026'!M229</f>
        <v>56484482</v>
      </c>
      <c r="Y230" s="117">
        <f t="shared" si="24"/>
        <v>-56484482</v>
      </c>
      <c r="Z230" s="168"/>
      <c r="AA230" s="181">
        <f t="shared" si="25"/>
        <v>0</v>
      </c>
      <c r="AB230" s="182">
        <f t="shared" si="26"/>
        <v>-56484482</v>
      </c>
      <c r="AC230" s="181">
        <f>SUM(AA5:AA230)</f>
        <v>5132</v>
      </c>
      <c r="AD230" s="182">
        <f>SUM(AB5:AB230)</f>
        <v>-6778137840</v>
      </c>
      <c r="AE230" s="183">
        <f t="shared" si="27"/>
        <v>-6778132708</v>
      </c>
    </row>
    <row r="231" spans="1:31" ht="15.95" customHeight="1" x14ac:dyDescent="0.25">
      <c r="A231" s="164">
        <v>227</v>
      </c>
      <c r="B231" s="165">
        <v>46339</v>
      </c>
      <c r="C231" s="166" t="s">
        <v>205</v>
      </c>
      <c r="D231" s="167">
        <v>32</v>
      </c>
      <c r="E231" s="194">
        <v>0</v>
      </c>
      <c r="F231" s="194">
        <v>0</v>
      </c>
      <c r="G231" s="194">
        <v>0</v>
      </c>
      <c r="H231" s="194">
        <v>0</v>
      </c>
      <c r="I231" s="194">
        <v>0</v>
      </c>
      <c r="J231" s="113">
        <f t="shared" si="21"/>
        <v>0</v>
      </c>
      <c r="K231" s="195">
        <v>0</v>
      </c>
      <c r="L231" s="195">
        <v>0</v>
      </c>
      <c r="M231" s="195">
        <v>0</v>
      </c>
      <c r="N231" s="195">
        <v>0</v>
      </c>
      <c r="O231" s="195">
        <v>0</v>
      </c>
      <c r="P231" s="195">
        <v>0</v>
      </c>
      <c r="Q231" s="195">
        <v>0</v>
      </c>
      <c r="R231" s="195">
        <v>0</v>
      </c>
      <c r="S231" s="195">
        <v>0</v>
      </c>
      <c r="T231" s="114">
        <f t="shared" si="22"/>
        <v>0</v>
      </c>
      <c r="U231" s="196">
        <v>0</v>
      </c>
      <c r="V231" s="196">
        <v>0</v>
      </c>
      <c r="W231" s="115">
        <f t="shared" si="23"/>
        <v>0</v>
      </c>
      <c r="X231" s="116">
        <f>'SUIVI 2026'!M230</f>
        <v>56484482</v>
      </c>
      <c r="Y231" s="117">
        <f t="shared" si="24"/>
        <v>-56484482</v>
      </c>
      <c r="Z231" s="168"/>
      <c r="AA231" s="178">
        <f t="shared" si="25"/>
        <v>0</v>
      </c>
      <c r="AB231" s="179">
        <f t="shared" si="26"/>
        <v>-56484482</v>
      </c>
      <c r="AC231" s="178">
        <f>SUM(AA5:AA231)</f>
        <v>5132</v>
      </c>
      <c r="AD231" s="179">
        <f>SUM(AB5:AB231)</f>
        <v>-6834622322</v>
      </c>
      <c r="AE231" s="180">
        <f t="shared" si="27"/>
        <v>-6834617190</v>
      </c>
    </row>
    <row r="232" spans="1:31" ht="15.95" customHeight="1" x14ac:dyDescent="0.25">
      <c r="A232" s="164">
        <v>228</v>
      </c>
      <c r="B232" s="165">
        <v>46342</v>
      </c>
      <c r="C232" s="166" t="s">
        <v>206</v>
      </c>
      <c r="D232" s="167">
        <v>32</v>
      </c>
      <c r="E232" s="194">
        <v>0</v>
      </c>
      <c r="F232" s="194">
        <v>0</v>
      </c>
      <c r="G232" s="194">
        <v>0</v>
      </c>
      <c r="H232" s="194">
        <v>0</v>
      </c>
      <c r="I232" s="194">
        <v>0</v>
      </c>
      <c r="J232" s="113">
        <f t="shared" si="21"/>
        <v>0</v>
      </c>
      <c r="K232" s="195">
        <v>0</v>
      </c>
      <c r="L232" s="195">
        <v>0</v>
      </c>
      <c r="M232" s="195">
        <v>0</v>
      </c>
      <c r="N232" s="195">
        <v>0</v>
      </c>
      <c r="O232" s="195">
        <v>0</v>
      </c>
      <c r="P232" s="195">
        <v>0</v>
      </c>
      <c r="Q232" s="195">
        <v>0</v>
      </c>
      <c r="R232" s="195">
        <v>0</v>
      </c>
      <c r="S232" s="195">
        <v>0</v>
      </c>
      <c r="T232" s="114">
        <f t="shared" si="22"/>
        <v>0</v>
      </c>
      <c r="U232" s="196">
        <v>0</v>
      </c>
      <c r="V232" s="196">
        <v>0</v>
      </c>
      <c r="W232" s="115">
        <f t="shared" si="23"/>
        <v>0</v>
      </c>
      <c r="X232" s="116">
        <f>'SUIVI 2026'!M231</f>
        <v>56484482</v>
      </c>
      <c r="Y232" s="117">
        <f t="shared" si="24"/>
        <v>-56484482</v>
      </c>
      <c r="Z232" s="168"/>
      <c r="AA232" s="181">
        <f t="shared" si="25"/>
        <v>0</v>
      </c>
      <c r="AB232" s="182">
        <f t="shared" si="26"/>
        <v>-56484482</v>
      </c>
      <c r="AC232" s="181">
        <f>SUM(AA5:AA232)</f>
        <v>5132</v>
      </c>
      <c r="AD232" s="182">
        <f>SUM(AB5:AB232)</f>
        <v>-6891106804</v>
      </c>
      <c r="AE232" s="183">
        <f t="shared" si="27"/>
        <v>-6891101672</v>
      </c>
    </row>
    <row r="233" spans="1:31" ht="15.95" customHeight="1" x14ac:dyDescent="0.25">
      <c r="A233" s="164">
        <v>229</v>
      </c>
      <c r="B233" s="165">
        <v>46343</v>
      </c>
      <c r="C233" s="166" t="s">
        <v>207</v>
      </c>
      <c r="D233" s="167">
        <v>32</v>
      </c>
      <c r="E233" s="194">
        <v>0</v>
      </c>
      <c r="F233" s="194">
        <v>0</v>
      </c>
      <c r="G233" s="194">
        <v>0</v>
      </c>
      <c r="H233" s="194">
        <v>0</v>
      </c>
      <c r="I233" s="194">
        <v>0</v>
      </c>
      <c r="J233" s="113">
        <f t="shared" si="21"/>
        <v>0</v>
      </c>
      <c r="K233" s="195">
        <v>0</v>
      </c>
      <c r="L233" s="195">
        <v>0</v>
      </c>
      <c r="M233" s="195">
        <v>0</v>
      </c>
      <c r="N233" s="195">
        <v>0</v>
      </c>
      <c r="O233" s="195">
        <v>0</v>
      </c>
      <c r="P233" s="195">
        <v>0</v>
      </c>
      <c r="Q233" s="195">
        <v>0</v>
      </c>
      <c r="R233" s="195">
        <v>0</v>
      </c>
      <c r="S233" s="195">
        <v>0</v>
      </c>
      <c r="T233" s="114">
        <f t="shared" si="22"/>
        <v>0</v>
      </c>
      <c r="U233" s="196">
        <v>0</v>
      </c>
      <c r="V233" s="196">
        <v>0</v>
      </c>
      <c r="W233" s="115">
        <f t="shared" si="23"/>
        <v>0</v>
      </c>
      <c r="X233" s="116">
        <f>'SUIVI 2026'!M232</f>
        <v>56484482</v>
      </c>
      <c r="Y233" s="117">
        <f t="shared" si="24"/>
        <v>-56484482</v>
      </c>
      <c r="Z233" s="168"/>
      <c r="AA233" s="178">
        <f t="shared" si="25"/>
        <v>0</v>
      </c>
      <c r="AB233" s="179">
        <f t="shared" si="26"/>
        <v>-56484482</v>
      </c>
      <c r="AC233" s="178">
        <f>SUM(AA5:AA233)</f>
        <v>5132</v>
      </c>
      <c r="AD233" s="179">
        <f>SUM(AB5:AB233)</f>
        <v>-6947591286</v>
      </c>
      <c r="AE233" s="180">
        <f t="shared" si="27"/>
        <v>-6947586154</v>
      </c>
    </row>
    <row r="234" spans="1:31" ht="15.95" customHeight="1" x14ac:dyDescent="0.25">
      <c r="A234" s="164">
        <v>230</v>
      </c>
      <c r="B234" s="165">
        <v>46344</v>
      </c>
      <c r="C234" s="166" t="s">
        <v>208</v>
      </c>
      <c r="D234" s="167">
        <v>32</v>
      </c>
      <c r="E234" s="194">
        <v>0</v>
      </c>
      <c r="F234" s="194">
        <v>0</v>
      </c>
      <c r="G234" s="194">
        <v>0</v>
      </c>
      <c r="H234" s="194">
        <v>0</v>
      </c>
      <c r="I234" s="194">
        <v>0</v>
      </c>
      <c r="J234" s="113">
        <f t="shared" si="21"/>
        <v>0</v>
      </c>
      <c r="K234" s="195">
        <v>0</v>
      </c>
      <c r="L234" s="195">
        <v>0</v>
      </c>
      <c r="M234" s="195">
        <v>0</v>
      </c>
      <c r="N234" s="195">
        <v>0</v>
      </c>
      <c r="O234" s="195">
        <v>0</v>
      </c>
      <c r="P234" s="195">
        <v>0</v>
      </c>
      <c r="Q234" s="195">
        <v>0</v>
      </c>
      <c r="R234" s="195">
        <v>0</v>
      </c>
      <c r="S234" s="195">
        <v>0</v>
      </c>
      <c r="T234" s="114">
        <f t="shared" si="22"/>
        <v>0</v>
      </c>
      <c r="U234" s="196">
        <v>0</v>
      </c>
      <c r="V234" s="196">
        <v>0</v>
      </c>
      <c r="W234" s="115">
        <f t="shared" si="23"/>
        <v>0</v>
      </c>
      <c r="X234" s="116">
        <f>'SUIVI 2026'!M233</f>
        <v>56484482</v>
      </c>
      <c r="Y234" s="117">
        <f t="shared" si="24"/>
        <v>-56484482</v>
      </c>
      <c r="Z234" s="168"/>
      <c r="AA234" s="181">
        <f t="shared" si="25"/>
        <v>0</v>
      </c>
      <c r="AB234" s="182">
        <f t="shared" si="26"/>
        <v>-56484482</v>
      </c>
      <c r="AC234" s="181">
        <f>SUM(AA5:AA234)</f>
        <v>5132</v>
      </c>
      <c r="AD234" s="182">
        <f>SUM(AB5:AB234)</f>
        <v>-7004075768</v>
      </c>
      <c r="AE234" s="183">
        <f t="shared" si="27"/>
        <v>-7004070636</v>
      </c>
    </row>
    <row r="235" spans="1:31" ht="15.95" customHeight="1" x14ac:dyDescent="0.25">
      <c r="A235" s="164">
        <v>231</v>
      </c>
      <c r="B235" s="165">
        <v>46345</v>
      </c>
      <c r="C235" s="166" t="s">
        <v>204</v>
      </c>
      <c r="D235" s="167">
        <v>32</v>
      </c>
      <c r="E235" s="194">
        <v>0</v>
      </c>
      <c r="F235" s="194">
        <v>0</v>
      </c>
      <c r="G235" s="194">
        <v>0</v>
      </c>
      <c r="H235" s="194">
        <v>0</v>
      </c>
      <c r="I235" s="194">
        <v>0</v>
      </c>
      <c r="J235" s="113">
        <f t="shared" si="21"/>
        <v>0</v>
      </c>
      <c r="K235" s="195">
        <v>0</v>
      </c>
      <c r="L235" s="195">
        <v>0</v>
      </c>
      <c r="M235" s="195">
        <v>0</v>
      </c>
      <c r="N235" s="195">
        <v>0</v>
      </c>
      <c r="O235" s="195">
        <v>0</v>
      </c>
      <c r="P235" s="195">
        <v>0</v>
      </c>
      <c r="Q235" s="195">
        <v>0</v>
      </c>
      <c r="R235" s="195">
        <v>0</v>
      </c>
      <c r="S235" s="195">
        <v>0</v>
      </c>
      <c r="T235" s="114">
        <f t="shared" si="22"/>
        <v>0</v>
      </c>
      <c r="U235" s="196">
        <v>0</v>
      </c>
      <c r="V235" s="196">
        <v>0</v>
      </c>
      <c r="W235" s="115">
        <f t="shared" si="23"/>
        <v>0</v>
      </c>
      <c r="X235" s="116">
        <f>'SUIVI 2026'!M234</f>
        <v>56484482</v>
      </c>
      <c r="Y235" s="117">
        <f t="shared" si="24"/>
        <v>-56484482</v>
      </c>
      <c r="Z235" s="168"/>
      <c r="AA235" s="178">
        <f t="shared" si="25"/>
        <v>0</v>
      </c>
      <c r="AB235" s="179">
        <f t="shared" si="26"/>
        <v>-56484482</v>
      </c>
      <c r="AC235" s="178">
        <f>SUM(AA5:AA235)</f>
        <v>5132</v>
      </c>
      <c r="AD235" s="179">
        <f>SUM(AB5:AB235)</f>
        <v>-7060560250</v>
      </c>
      <c r="AE235" s="180">
        <f t="shared" si="27"/>
        <v>-7060555118</v>
      </c>
    </row>
    <row r="236" spans="1:31" ht="15.95" customHeight="1" x14ac:dyDescent="0.25">
      <c r="A236" s="164">
        <v>232</v>
      </c>
      <c r="B236" s="165">
        <v>46346</v>
      </c>
      <c r="C236" s="166" t="s">
        <v>205</v>
      </c>
      <c r="D236" s="167">
        <v>32</v>
      </c>
      <c r="E236" s="194">
        <v>0</v>
      </c>
      <c r="F236" s="194">
        <v>0</v>
      </c>
      <c r="G236" s="194">
        <v>0</v>
      </c>
      <c r="H236" s="194">
        <v>0</v>
      </c>
      <c r="I236" s="194">
        <v>0</v>
      </c>
      <c r="J236" s="113">
        <f t="shared" si="21"/>
        <v>0</v>
      </c>
      <c r="K236" s="195">
        <v>0</v>
      </c>
      <c r="L236" s="195">
        <v>0</v>
      </c>
      <c r="M236" s="195">
        <v>0</v>
      </c>
      <c r="N236" s="195">
        <v>0</v>
      </c>
      <c r="O236" s="195">
        <v>0</v>
      </c>
      <c r="P236" s="195">
        <v>0</v>
      </c>
      <c r="Q236" s="195">
        <v>0</v>
      </c>
      <c r="R236" s="195">
        <v>0</v>
      </c>
      <c r="S236" s="195">
        <v>0</v>
      </c>
      <c r="T236" s="114">
        <f t="shared" si="22"/>
        <v>0</v>
      </c>
      <c r="U236" s="196">
        <v>0</v>
      </c>
      <c r="V236" s="196">
        <v>0</v>
      </c>
      <c r="W236" s="115">
        <f t="shared" si="23"/>
        <v>0</v>
      </c>
      <c r="X236" s="116">
        <f>'SUIVI 2026'!M235</f>
        <v>56484482</v>
      </c>
      <c r="Y236" s="117">
        <f t="shared" si="24"/>
        <v>-56484482</v>
      </c>
      <c r="Z236" s="168"/>
      <c r="AA236" s="181">
        <f t="shared" si="25"/>
        <v>0</v>
      </c>
      <c r="AB236" s="182">
        <f t="shared" si="26"/>
        <v>-56484482</v>
      </c>
      <c r="AC236" s="181">
        <f>SUM(AA5:AA236)</f>
        <v>5132</v>
      </c>
      <c r="AD236" s="182">
        <f>SUM(AB5:AB236)</f>
        <v>-7117044732</v>
      </c>
      <c r="AE236" s="183">
        <f t="shared" si="27"/>
        <v>-7117039600</v>
      </c>
    </row>
    <row r="237" spans="1:31" ht="15.95" customHeight="1" x14ac:dyDescent="0.25">
      <c r="A237" s="164">
        <v>233</v>
      </c>
      <c r="B237" s="165">
        <v>46349</v>
      </c>
      <c r="C237" s="166" t="s">
        <v>206</v>
      </c>
      <c r="D237" s="167">
        <v>33</v>
      </c>
      <c r="E237" s="194">
        <v>0</v>
      </c>
      <c r="F237" s="194">
        <v>0</v>
      </c>
      <c r="G237" s="194">
        <v>0</v>
      </c>
      <c r="H237" s="194">
        <v>0</v>
      </c>
      <c r="I237" s="194">
        <v>0</v>
      </c>
      <c r="J237" s="113">
        <f t="shared" si="21"/>
        <v>0</v>
      </c>
      <c r="K237" s="195">
        <v>0</v>
      </c>
      <c r="L237" s="195">
        <v>0</v>
      </c>
      <c r="M237" s="195">
        <v>0</v>
      </c>
      <c r="N237" s="195">
        <v>0</v>
      </c>
      <c r="O237" s="195">
        <v>0</v>
      </c>
      <c r="P237" s="195">
        <v>0</v>
      </c>
      <c r="Q237" s="195">
        <v>0</v>
      </c>
      <c r="R237" s="195">
        <v>0</v>
      </c>
      <c r="S237" s="195">
        <v>0</v>
      </c>
      <c r="T237" s="114">
        <f t="shared" si="22"/>
        <v>0</v>
      </c>
      <c r="U237" s="196">
        <v>0</v>
      </c>
      <c r="V237" s="196">
        <v>0</v>
      </c>
      <c r="W237" s="115">
        <f t="shared" si="23"/>
        <v>0</v>
      </c>
      <c r="X237" s="116">
        <f>'SUIVI 2026'!M236</f>
        <v>56484482</v>
      </c>
      <c r="Y237" s="117">
        <f t="shared" si="24"/>
        <v>-56484482</v>
      </c>
      <c r="Z237" s="168"/>
      <c r="AA237" s="178">
        <f t="shared" si="25"/>
        <v>0</v>
      </c>
      <c r="AB237" s="179">
        <f t="shared" si="26"/>
        <v>-56484482</v>
      </c>
      <c r="AC237" s="178">
        <f>SUM(AA5:AA237)</f>
        <v>5132</v>
      </c>
      <c r="AD237" s="179">
        <f>SUM(AB5:AB237)</f>
        <v>-7173529214</v>
      </c>
      <c r="AE237" s="180">
        <f t="shared" si="27"/>
        <v>-7173524082</v>
      </c>
    </row>
    <row r="238" spans="1:31" ht="15.95" customHeight="1" x14ac:dyDescent="0.25">
      <c r="A238" s="164">
        <v>234</v>
      </c>
      <c r="B238" s="165">
        <v>46350</v>
      </c>
      <c r="C238" s="166" t="s">
        <v>207</v>
      </c>
      <c r="D238" s="167">
        <v>33</v>
      </c>
      <c r="E238" s="194">
        <v>0</v>
      </c>
      <c r="F238" s="194">
        <v>0</v>
      </c>
      <c r="G238" s="194">
        <v>0</v>
      </c>
      <c r="H238" s="194">
        <v>0</v>
      </c>
      <c r="I238" s="194">
        <v>0</v>
      </c>
      <c r="J238" s="113">
        <f t="shared" si="21"/>
        <v>0</v>
      </c>
      <c r="K238" s="195">
        <v>0</v>
      </c>
      <c r="L238" s="195">
        <v>0</v>
      </c>
      <c r="M238" s="195">
        <v>0</v>
      </c>
      <c r="N238" s="195">
        <v>0</v>
      </c>
      <c r="O238" s="195">
        <v>0</v>
      </c>
      <c r="P238" s="195">
        <v>0</v>
      </c>
      <c r="Q238" s="195">
        <v>0</v>
      </c>
      <c r="R238" s="195">
        <v>0</v>
      </c>
      <c r="S238" s="195">
        <v>0</v>
      </c>
      <c r="T238" s="114">
        <f t="shared" si="22"/>
        <v>0</v>
      </c>
      <c r="U238" s="196">
        <v>0</v>
      </c>
      <c r="V238" s="196">
        <v>0</v>
      </c>
      <c r="W238" s="115">
        <f t="shared" si="23"/>
        <v>0</v>
      </c>
      <c r="X238" s="116">
        <f>'SUIVI 2026'!M237</f>
        <v>56484482</v>
      </c>
      <c r="Y238" s="117">
        <f t="shared" si="24"/>
        <v>-56484482</v>
      </c>
      <c r="Z238" s="168"/>
      <c r="AA238" s="181">
        <f t="shared" si="25"/>
        <v>0</v>
      </c>
      <c r="AB238" s="182">
        <f t="shared" si="26"/>
        <v>-56484482</v>
      </c>
      <c r="AC238" s="181">
        <f>SUM(AA5:AA238)</f>
        <v>5132</v>
      </c>
      <c r="AD238" s="182">
        <f>SUM(AB5:AB238)</f>
        <v>-7230013696</v>
      </c>
      <c r="AE238" s="183">
        <f t="shared" si="27"/>
        <v>-7230008564</v>
      </c>
    </row>
    <row r="239" spans="1:31" ht="15.95" customHeight="1" x14ac:dyDescent="0.25">
      <c r="A239" s="164">
        <v>235</v>
      </c>
      <c r="B239" s="165">
        <v>46351</v>
      </c>
      <c r="C239" s="166" t="s">
        <v>208</v>
      </c>
      <c r="D239" s="167">
        <v>33</v>
      </c>
      <c r="E239" s="194">
        <v>0</v>
      </c>
      <c r="F239" s="194">
        <v>0</v>
      </c>
      <c r="G239" s="194">
        <v>0</v>
      </c>
      <c r="H239" s="194">
        <v>0</v>
      </c>
      <c r="I239" s="194">
        <v>0</v>
      </c>
      <c r="J239" s="113">
        <f t="shared" si="21"/>
        <v>0</v>
      </c>
      <c r="K239" s="195">
        <v>0</v>
      </c>
      <c r="L239" s="195">
        <v>0</v>
      </c>
      <c r="M239" s="195">
        <v>0</v>
      </c>
      <c r="N239" s="195">
        <v>0</v>
      </c>
      <c r="O239" s="195">
        <v>0</v>
      </c>
      <c r="P239" s="195">
        <v>0</v>
      </c>
      <c r="Q239" s="195">
        <v>0</v>
      </c>
      <c r="R239" s="195">
        <v>0</v>
      </c>
      <c r="S239" s="195">
        <v>0</v>
      </c>
      <c r="T239" s="114">
        <f t="shared" si="22"/>
        <v>0</v>
      </c>
      <c r="U239" s="196">
        <v>0</v>
      </c>
      <c r="V239" s="196">
        <v>0</v>
      </c>
      <c r="W239" s="115">
        <f t="shared" si="23"/>
        <v>0</v>
      </c>
      <c r="X239" s="116">
        <f>'SUIVI 2026'!M238</f>
        <v>56484482</v>
      </c>
      <c r="Y239" s="117">
        <f t="shared" si="24"/>
        <v>-56484482</v>
      </c>
      <c r="Z239" s="168"/>
      <c r="AA239" s="178">
        <f t="shared" si="25"/>
        <v>0</v>
      </c>
      <c r="AB239" s="179">
        <f t="shared" si="26"/>
        <v>-56484482</v>
      </c>
      <c r="AC239" s="178">
        <f>SUM(AA5:AA239)</f>
        <v>5132</v>
      </c>
      <c r="AD239" s="179">
        <f>SUM(AB5:AB239)</f>
        <v>-7286498178</v>
      </c>
      <c r="AE239" s="180">
        <f t="shared" si="27"/>
        <v>-7286493046</v>
      </c>
    </row>
    <row r="240" spans="1:31" ht="15.95" customHeight="1" x14ac:dyDescent="0.25">
      <c r="A240" s="164">
        <v>236</v>
      </c>
      <c r="B240" s="165">
        <v>46352</v>
      </c>
      <c r="C240" s="166" t="s">
        <v>204</v>
      </c>
      <c r="D240" s="167">
        <v>33</v>
      </c>
      <c r="E240" s="194">
        <v>0</v>
      </c>
      <c r="F240" s="194">
        <v>0</v>
      </c>
      <c r="G240" s="194">
        <v>0</v>
      </c>
      <c r="H240" s="194">
        <v>0</v>
      </c>
      <c r="I240" s="194">
        <v>0</v>
      </c>
      <c r="J240" s="113">
        <f t="shared" si="21"/>
        <v>0</v>
      </c>
      <c r="K240" s="195">
        <v>0</v>
      </c>
      <c r="L240" s="195">
        <v>0</v>
      </c>
      <c r="M240" s="195">
        <v>0</v>
      </c>
      <c r="N240" s="195">
        <v>0</v>
      </c>
      <c r="O240" s="195">
        <v>0</v>
      </c>
      <c r="P240" s="195">
        <v>0</v>
      </c>
      <c r="Q240" s="195">
        <v>0</v>
      </c>
      <c r="R240" s="195">
        <v>0</v>
      </c>
      <c r="S240" s="195">
        <v>0</v>
      </c>
      <c r="T240" s="114">
        <f t="shared" si="22"/>
        <v>0</v>
      </c>
      <c r="U240" s="196">
        <v>0</v>
      </c>
      <c r="V240" s="196">
        <v>0</v>
      </c>
      <c r="W240" s="115">
        <f t="shared" si="23"/>
        <v>0</v>
      </c>
      <c r="X240" s="116">
        <f>'SUIVI 2026'!M239</f>
        <v>56484482</v>
      </c>
      <c r="Y240" s="117">
        <f t="shared" si="24"/>
        <v>-56484482</v>
      </c>
      <c r="Z240" s="168"/>
      <c r="AA240" s="181">
        <f t="shared" si="25"/>
        <v>0</v>
      </c>
      <c r="AB240" s="182">
        <f t="shared" si="26"/>
        <v>-56484482</v>
      </c>
      <c r="AC240" s="181">
        <f>SUM(AA5:AA240)</f>
        <v>5132</v>
      </c>
      <c r="AD240" s="182">
        <f>SUM(AB5:AB240)</f>
        <v>-7342982660</v>
      </c>
      <c r="AE240" s="183">
        <f t="shared" si="27"/>
        <v>-7342977528</v>
      </c>
    </row>
    <row r="241" spans="1:31" ht="15.95" customHeight="1" x14ac:dyDescent="0.25">
      <c r="A241" s="164">
        <v>237</v>
      </c>
      <c r="B241" s="165">
        <v>46353</v>
      </c>
      <c r="C241" s="166" t="s">
        <v>205</v>
      </c>
      <c r="D241" s="167">
        <v>33</v>
      </c>
      <c r="E241" s="194">
        <v>0</v>
      </c>
      <c r="F241" s="194">
        <v>0</v>
      </c>
      <c r="G241" s="194">
        <v>0</v>
      </c>
      <c r="H241" s="194">
        <v>0</v>
      </c>
      <c r="I241" s="194">
        <v>0</v>
      </c>
      <c r="J241" s="113">
        <f t="shared" si="21"/>
        <v>0</v>
      </c>
      <c r="K241" s="195">
        <v>0</v>
      </c>
      <c r="L241" s="195">
        <v>0</v>
      </c>
      <c r="M241" s="195">
        <v>0</v>
      </c>
      <c r="N241" s="195">
        <v>0</v>
      </c>
      <c r="O241" s="195">
        <v>0</v>
      </c>
      <c r="P241" s="195">
        <v>0</v>
      </c>
      <c r="Q241" s="195">
        <v>0</v>
      </c>
      <c r="R241" s="195">
        <v>0</v>
      </c>
      <c r="S241" s="195">
        <v>0</v>
      </c>
      <c r="T241" s="114">
        <f t="shared" si="22"/>
        <v>0</v>
      </c>
      <c r="U241" s="196">
        <v>0</v>
      </c>
      <c r="V241" s="196">
        <v>0</v>
      </c>
      <c r="W241" s="115">
        <f t="shared" si="23"/>
        <v>0</v>
      </c>
      <c r="X241" s="116">
        <f>'SUIVI 2026'!M240</f>
        <v>56484482</v>
      </c>
      <c r="Y241" s="117">
        <f t="shared" si="24"/>
        <v>-56484482</v>
      </c>
      <c r="Z241" s="168"/>
      <c r="AA241" s="178">
        <f t="shared" si="25"/>
        <v>0</v>
      </c>
      <c r="AB241" s="179">
        <f t="shared" si="26"/>
        <v>-56484482</v>
      </c>
      <c r="AC241" s="178">
        <f>SUM(AA5:AA241)</f>
        <v>5132</v>
      </c>
      <c r="AD241" s="179">
        <f>SUM(AB5:AB241)</f>
        <v>-7399467142</v>
      </c>
      <c r="AE241" s="180">
        <f t="shared" si="27"/>
        <v>-7399462010</v>
      </c>
    </row>
    <row r="242" spans="1:31" ht="15.95" customHeight="1" x14ac:dyDescent="0.25">
      <c r="A242" s="164">
        <v>238</v>
      </c>
      <c r="B242" s="165">
        <v>46356</v>
      </c>
      <c r="C242" s="166" t="s">
        <v>206</v>
      </c>
      <c r="D242" s="167">
        <v>33</v>
      </c>
      <c r="E242" s="194">
        <v>0</v>
      </c>
      <c r="F242" s="194">
        <v>0</v>
      </c>
      <c r="G242" s="194">
        <v>0</v>
      </c>
      <c r="H242" s="194">
        <v>0</v>
      </c>
      <c r="I242" s="194">
        <v>0</v>
      </c>
      <c r="J242" s="113">
        <f t="shared" si="21"/>
        <v>0</v>
      </c>
      <c r="K242" s="195">
        <v>0</v>
      </c>
      <c r="L242" s="195">
        <v>0</v>
      </c>
      <c r="M242" s="195">
        <v>0</v>
      </c>
      <c r="N242" s="195">
        <v>0</v>
      </c>
      <c r="O242" s="195">
        <v>0</v>
      </c>
      <c r="P242" s="195">
        <v>0</v>
      </c>
      <c r="Q242" s="195">
        <v>0</v>
      </c>
      <c r="R242" s="195">
        <v>0</v>
      </c>
      <c r="S242" s="195">
        <v>0</v>
      </c>
      <c r="T242" s="114">
        <f t="shared" si="22"/>
        <v>0</v>
      </c>
      <c r="U242" s="196">
        <v>0</v>
      </c>
      <c r="V242" s="196">
        <v>0</v>
      </c>
      <c r="W242" s="115">
        <f t="shared" si="23"/>
        <v>0</v>
      </c>
      <c r="X242" s="116">
        <f>'SUIVI 2026'!M241</f>
        <v>56484482</v>
      </c>
      <c r="Y242" s="117">
        <f t="shared" si="24"/>
        <v>-56484482</v>
      </c>
      <c r="Z242" s="168"/>
      <c r="AA242" s="181">
        <f t="shared" si="25"/>
        <v>0</v>
      </c>
      <c r="AB242" s="182">
        <f t="shared" si="26"/>
        <v>-56484482</v>
      </c>
      <c r="AC242" s="181">
        <f>SUM(AA5:AA242)</f>
        <v>5132</v>
      </c>
      <c r="AD242" s="182">
        <f>SUM(AB5:AB242)</f>
        <v>-7455951624</v>
      </c>
      <c r="AE242" s="183">
        <f t="shared" si="27"/>
        <v>-7455946492</v>
      </c>
    </row>
    <row r="243" spans="1:31" ht="15.95" customHeight="1" x14ac:dyDescent="0.25">
      <c r="A243" s="169">
        <v>239</v>
      </c>
      <c r="B243" s="170">
        <v>46357</v>
      </c>
      <c r="C243" s="171" t="s">
        <v>207</v>
      </c>
      <c r="D243" s="172">
        <v>34</v>
      </c>
      <c r="E243" s="194">
        <v>0</v>
      </c>
      <c r="F243" s="194">
        <v>0</v>
      </c>
      <c r="G243" s="194">
        <v>0</v>
      </c>
      <c r="H243" s="194">
        <v>0</v>
      </c>
      <c r="I243" s="194">
        <v>0</v>
      </c>
      <c r="J243" s="113">
        <f t="shared" si="21"/>
        <v>0</v>
      </c>
      <c r="K243" s="195">
        <v>0</v>
      </c>
      <c r="L243" s="195">
        <v>0</v>
      </c>
      <c r="M243" s="195">
        <v>0</v>
      </c>
      <c r="N243" s="195">
        <v>0</v>
      </c>
      <c r="O243" s="195">
        <v>0</v>
      </c>
      <c r="P243" s="195">
        <v>0</v>
      </c>
      <c r="Q243" s="195">
        <v>0</v>
      </c>
      <c r="R243" s="195">
        <v>0</v>
      </c>
      <c r="S243" s="195">
        <v>0</v>
      </c>
      <c r="T243" s="114">
        <f t="shared" si="22"/>
        <v>0</v>
      </c>
      <c r="U243" s="196">
        <v>0</v>
      </c>
      <c r="V243" s="196">
        <v>0</v>
      </c>
      <c r="W243" s="115">
        <f t="shared" si="23"/>
        <v>0</v>
      </c>
      <c r="X243" s="116">
        <f>'SUIVI 2026'!M242</f>
        <v>56484482</v>
      </c>
      <c r="Y243" s="117">
        <f t="shared" si="24"/>
        <v>-56484482</v>
      </c>
      <c r="Z243" s="173"/>
      <c r="AA243" s="178">
        <f t="shared" si="25"/>
        <v>0</v>
      </c>
      <c r="AB243" s="179">
        <f t="shared" si="26"/>
        <v>-56484482</v>
      </c>
      <c r="AC243" s="178">
        <f>SUM(AA5:AA243)</f>
        <v>5132</v>
      </c>
      <c r="AD243" s="179">
        <f>SUM(AB5:AB243)</f>
        <v>-7512436106</v>
      </c>
      <c r="AE243" s="180">
        <f t="shared" si="27"/>
        <v>-7512430974</v>
      </c>
    </row>
    <row r="244" spans="1:31" ht="15.95" customHeight="1" x14ac:dyDescent="0.25">
      <c r="A244" s="169">
        <v>240</v>
      </c>
      <c r="B244" s="170">
        <v>46358</v>
      </c>
      <c r="C244" s="171" t="s">
        <v>208</v>
      </c>
      <c r="D244" s="172">
        <v>34</v>
      </c>
      <c r="E244" s="194">
        <v>0</v>
      </c>
      <c r="F244" s="194">
        <v>0</v>
      </c>
      <c r="G244" s="194">
        <v>0</v>
      </c>
      <c r="H244" s="194">
        <v>0</v>
      </c>
      <c r="I244" s="194">
        <v>0</v>
      </c>
      <c r="J244" s="113">
        <f t="shared" si="21"/>
        <v>0</v>
      </c>
      <c r="K244" s="195">
        <v>0</v>
      </c>
      <c r="L244" s="195">
        <v>0</v>
      </c>
      <c r="M244" s="195">
        <v>0</v>
      </c>
      <c r="N244" s="195">
        <v>0</v>
      </c>
      <c r="O244" s="195">
        <v>0</v>
      </c>
      <c r="P244" s="195">
        <v>0</v>
      </c>
      <c r="Q244" s="195">
        <v>0</v>
      </c>
      <c r="R244" s="195">
        <v>0</v>
      </c>
      <c r="S244" s="195">
        <v>0</v>
      </c>
      <c r="T244" s="114">
        <f t="shared" si="22"/>
        <v>0</v>
      </c>
      <c r="U244" s="196">
        <v>0</v>
      </c>
      <c r="V244" s="196">
        <v>0</v>
      </c>
      <c r="W244" s="115">
        <f t="shared" si="23"/>
        <v>0</v>
      </c>
      <c r="X244" s="116">
        <f>'SUIVI 2026'!M243</f>
        <v>56484482</v>
      </c>
      <c r="Y244" s="117">
        <f t="shared" si="24"/>
        <v>-56484482</v>
      </c>
      <c r="Z244" s="173"/>
      <c r="AA244" s="181">
        <f t="shared" si="25"/>
        <v>0</v>
      </c>
      <c r="AB244" s="182">
        <f t="shared" si="26"/>
        <v>-56484482</v>
      </c>
      <c r="AC244" s="181">
        <f>SUM(AA5:AA244)</f>
        <v>5132</v>
      </c>
      <c r="AD244" s="182">
        <f>SUM(AB5:AB244)</f>
        <v>-7568920588</v>
      </c>
      <c r="AE244" s="183">
        <f t="shared" si="27"/>
        <v>-7568915456</v>
      </c>
    </row>
    <row r="245" spans="1:31" ht="15.95" customHeight="1" x14ac:dyDescent="0.25">
      <c r="A245" s="169">
        <v>241</v>
      </c>
      <c r="B245" s="170">
        <v>46359</v>
      </c>
      <c r="C245" s="171" t="s">
        <v>204</v>
      </c>
      <c r="D245" s="172">
        <v>34</v>
      </c>
      <c r="E245" s="194">
        <v>0</v>
      </c>
      <c r="F245" s="194">
        <v>0</v>
      </c>
      <c r="G245" s="194">
        <v>0</v>
      </c>
      <c r="H245" s="194">
        <v>0</v>
      </c>
      <c r="I245" s="194">
        <v>0</v>
      </c>
      <c r="J245" s="113">
        <f t="shared" si="21"/>
        <v>0</v>
      </c>
      <c r="K245" s="195">
        <v>0</v>
      </c>
      <c r="L245" s="195">
        <v>0</v>
      </c>
      <c r="M245" s="195">
        <v>0</v>
      </c>
      <c r="N245" s="195">
        <v>0</v>
      </c>
      <c r="O245" s="195">
        <v>0</v>
      </c>
      <c r="P245" s="195">
        <v>0</v>
      </c>
      <c r="Q245" s="195">
        <v>0</v>
      </c>
      <c r="R245" s="195">
        <v>0</v>
      </c>
      <c r="S245" s="195">
        <v>0</v>
      </c>
      <c r="T245" s="114">
        <f t="shared" si="22"/>
        <v>0</v>
      </c>
      <c r="U245" s="196">
        <v>0</v>
      </c>
      <c r="V245" s="196">
        <v>0</v>
      </c>
      <c r="W245" s="115">
        <f t="shared" si="23"/>
        <v>0</v>
      </c>
      <c r="X245" s="116">
        <f>'SUIVI 2026'!M244</f>
        <v>56484482</v>
      </c>
      <c r="Y245" s="117">
        <f t="shared" si="24"/>
        <v>-56484482</v>
      </c>
      <c r="Z245" s="173"/>
      <c r="AA245" s="178">
        <f t="shared" si="25"/>
        <v>0</v>
      </c>
      <c r="AB245" s="179">
        <f t="shared" si="26"/>
        <v>-56484482</v>
      </c>
      <c r="AC245" s="178">
        <f>SUM(AA5:AA245)</f>
        <v>5132</v>
      </c>
      <c r="AD245" s="179">
        <f>SUM(AB5:AB245)</f>
        <v>-7625405070</v>
      </c>
      <c r="AE245" s="180">
        <f t="shared" si="27"/>
        <v>-7625399938</v>
      </c>
    </row>
    <row r="246" spans="1:31" ht="15.95" customHeight="1" x14ac:dyDescent="0.25">
      <c r="A246" s="169">
        <v>242</v>
      </c>
      <c r="B246" s="170">
        <v>46360</v>
      </c>
      <c r="C246" s="171" t="s">
        <v>205</v>
      </c>
      <c r="D246" s="172">
        <v>34</v>
      </c>
      <c r="E246" s="194">
        <v>0</v>
      </c>
      <c r="F246" s="194">
        <v>0</v>
      </c>
      <c r="G246" s="194">
        <v>0</v>
      </c>
      <c r="H246" s="194">
        <v>0</v>
      </c>
      <c r="I246" s="194">
        <v>0</v>
      </c>
      <c r="J246" s="113">
        <f t="shared" si="21"/>
        <v>0</v>
      </c>
      <c r="K246" s="195">
        <v>0</v>
      </c>
      <c r="L246" s="195">
        <v>0</v>
      </c>
      <c r="M246" s="195">
        <v>0</v>
      </c>
      <c r="N246" s="195">
        <v>0</v>
      </c>
      <c r="O246" s="195">
        <v>0</v>
      </c>
      <c r="P246" s="195">
        <v>0</v>
      </c>
      <c r="Q246" s="195">
        <v>0</v>
      </c>
      <c r="R246" s="195">
        <v>0</v>
      </c>
      <c r="S246" s="195">
        <v>0</v>
      </c>
      <c r="T246" s="114">
        <f t="shared" si="22"/>
        <v>0</v>
      </c>
      <c r="U246" s="196">
        <v>0</v>
      </c>
      <c r="V246" s="196">
        <v>0</v>
      </c>
      <c r="W246" s="115">
        <f t="shared" si="23"/>
        <v>0</v>
      </c>
      <c r="X246" s="116">
        <f>'SUIVI 2026'!M245</f>
        <v>56484482</v>
      </c>
      <c r="Y246" s="117">
        <f t="shared" si="24"/>
        <v>-56484482</v>
      </c>
      <c r="Z246" s="173"/>
      <c r="AA246" s="181">
        <f t="shared" si="25"/>
        <v>0</v>
      </c>
      <c r="AB246" s="182">
        <f t="shared" si="26"/>
        <v>-56484482</v>
      </c>
      <c r="AC246" s="181">
        <f>SUM(AA5:AA246)</f>
        <v>5132</v>
      </c>
      <c r="AD246" s="182">
        <f>SUM(AB5:AB246)</f>
        <v>-7681889552</v>
      </c>
      <c r="AE246" s="183">
        <f t="shared" si="27"/>
        <v>-7681884420</v>
      </c>
    </row>
    <row r="247" spans="1:31" ht="15.95" customHeight="1" x14ac:dyDescent="0.25">
      <c r="A247" s="169">
        <v>243</v>
      </c>
      <c r="B247" s="170">
        <v>46363</v>
      </c>
      <c r="C247" s="171" t="s">
        <v>206</v>
      </c>
      <c r="D247" s="172">
        <v>34</v>
      </c>
      <c r="E247" s="194">
        <v>0</v>
      </c>
      <c r="F247" s="194">
        <v>0</v>
      </c>
      <c r="G247" s="194">
        <v>0</v>
      </c>
      <c r="H247" s="194">
        <v>0</v>
      </c>
      <c r="I247" s="194">
        <v>0</v>
      </c>
      <c r="J247" s="113">
        <f t="shared" si="21"/>
        <v>0</v>
      </c>
      <c r="K247" s="195">
        <v>0</v>
      </c>
      <c r="L247" s="195">
        <v>0</v>
      </c>
      <c r="M247" s="195">
        <v>0</v>
      </c>
      <c r="N247" s="195">
        <v>0</v>
      </c>
      <c r="O247" s="195">
        <v>0</v>
      </c>
      <c r="P247" s="195">
        <v>0</v>
      </c>
      <c r="Q247" s="195">
        <v>0</v>
      </c>
      <c r="R247" s="195">
        <v>0</v>
      </c>
      <c r="S247" s="195">
        <v>0</v>
      </c>
      <c r="T247" s="114">
        <f t="shared" si="22"/>
        <v>0</v>
      </c>
      <c r="U247" s="196">
        <v>0</v>
      </c>
      <c r="V247" s="196">
        <v>0</v>
      </c>
      <c r="W247" s="115">
        <f t="shared" si="23"/>
        <v>0</v>
      </c>
      <c r="X247" s="116">
        <f>'SUIVI 2026'!M246</f>
        <v>56484482</v>
      </c>
      <c r="Y247" s="117">
        <f t="shared" si="24"/>
        <v>-56484482</v>
      </c>
      <c r="Z247" s="173"/>
      <c r="AA247" s="178">
        <f t="shared" si="25"/>
        <v>0</v>
      </c>
      <c r="AB247" s="179">
        <f t="shared" si="26"/>
        <v>-56484482</v>
      </c>
      <c r="AC247" s="178">
        <f>SUM(AA5:AA247)</f>
        <v>5132</v>
      </c>
      <c r="AD247" s="179">
        <f>SUM(AB5:AB247)</f>
        <v>-7738374034</v>
      </c>
      <c r="AE247" s="180">
        <f t="shared" si="27"/>
        <v>-7738368902</v>
      </c>
    </row>
    <row r="248" spans="1:31" ht="15.95" customHeight="1" x14ac:dyDescent="0.25">
      <c r="A248" s="169">
        <v>244</v>
      </c>
      <c r="B248" s="170">
        <v>46364</v>
      </c>
      <c r="C248" s="171" t="s">
        <v>207</v>
      </c>
      <c r="D248" s="172">
        <v>34</v>
      </c>
      <c r="E248" s="194">
        <v>0</v>
      </c>
      <c r="F248" s="194">
        <v>0</v>
      </c>
      <c r="G248" s="194">
        <v>0</v>
      </c>
      <c r="H248" s="194">
        <v>0</v>
      </c>
      <c r="I248" s="194">
        <v>0</v>
      </c>
      <c r="J248" s="113">
        <f t="shared" si="21"/>
        <v>0</v>
      </c>
      <c r="K248" s="195">
        <v>0</v>
      </c>
      <c r="L248" s="195">
        <v>0</v>
      </c>
      <c r="M248" s="195">
        <v>0</v>
      </c>
      <c r="N248" s="195">
        <v>0</v>
      </c>
      <c r="O248" s="195">
        <v>0</v>
      </c>
      <c r="P248" s="195">
        <v>0</v>
      </c>
      <c r="Q248" s="195">
        <v>0</v>
      </c>
      <c r="R248" s="195">
        <v>0</v>
      </c>
      <c r="S248" s="195">
        <v>0</v>
      </c>
      <c r="T248" s="114">
        <f t="shared" si="22"/>
        <v>0</v>
      </c>
      <c r="U248" s="196">
        <v>0</v>
      </c>
      <c r="V248" s="196">
        <v>0</v>
      </c>
      <c r="W248" s="115">
        <f t="shared" si="23"/>
        <v>0</v>
      </c>
      <c r="X248" s="116">
        <f>'SUIVI 2026'!M247</f>
        <v>56484482</v>
      </c>
      <c r="Y248" s="117">
        <f t="shared" si="24"/>
        <v>-56484482</v>
      </c>
      <c r="Z248" s="173"/>
      <c r="AA248" s="181">
        <f t="shared" si="25"/>
        <v>0</v>
      </c>
      <c r="AB248" s="182">
        <f t="shared" si="26"/>
        <v>-56484482</v>
      </c>
      <c r="AC248" s="181">
        <f>SUM(AA5:AA248)</f>
        <v>5132</v>
      </c>
      <c r="AD248" s="182">
        <f>SUM(AB5:AB248)</f>
        <v>-7794858516</v>
      </c>
      <c r="AE248" s="183">
        <f t="shared" si="27"/>
        <v>-7794853384</v>
      </c>
    </row>
    <row r="249" spans="1:31" ht="15.95" customHeight="1" x14ac:dyDescent="0.25">
      <c r="A249" s="169">
        <v>245</v>
      </c>
      <c r="B249" s="170">
        <v>46365</v>
      </c>
      <c r="C249" s="171" t="s">
        <v>208</v>
      </c>
      <c r="D249" s="172">
        <v>34</v>
      </c>
      <c r="E249" s="194">
        <v>0</v>
      </c>
      <c r="F249" s="194">
        <v>0</v>
      </c>
      <c r="G249" s="194">
        <v>0</v>
      </c>
      <c r="H249" s="194">
        <v>0</v>
      </c>
      <c r="I249" s="194">
        <v>0</v>
      </c>
      <c r="J249" s="113">
        <f t="shared" si="21"/>
        <v>0</v>
      </c>
      <c r="K249" s="195">
        <v>0</v>
      </c>
      <c r="L249" s="195">
        <v>0</v>
      </c>
      <c r="M249" s="195">
        <v>0</v>
      </c>
      <c r="N249" s="195">
        <v>0</v>
      </c>
      <c r="O249" s="195">
        <v>0</v>
      </c>
      <c r="P249" s="195">
        <v>0</v>
      </c>
      <c r="Q249" s="195">
        <v>0</v>
      </c>
      <c r="R249" s="195">
        <v>0</v>
      </c>
      <c r="S249" s="195">
        <v>0</v>
      </c>
      <c r="T249" s="114">
        <f t="shared" si="22"/>
        <v>0</v>
      </c>
      <c r="U249" s="196">
        <v>0</v>
      </c>
      <c r="V249" s="196">
        <v>0</v>
      </c>
      <c r="W249" s="115">
        <f t="shared" si="23"/>
        <v>0</v>
      </c>
      <c r="X249" s="116">
        <f>'SUIVI 2026'!M248</f>
        <v>56484482</v>
      </c>
      <c r="Y249" s="117">
        <f t="shared" si="24"/>
        <v>-56484482</v>
      </c>
      <c r="Z249" s="173"/>
      <c r="AA249" s="178">
        <f t="shared" si="25"/>
        <v>0</v>
      </c>
      <c r="AB249" s="179">
        <f t="shared" si="26"/>
        <v>-56484482</v>
      </c>
      <c r="AC249" s="178">
        <f>SUM(AA5:AA249)</f>
        <v>5132</v>
      </c>
      <c r="AD249" s="179">
        <f>SUM(AB5:AB249)</f>
        <v>-7851342998</v>
      </c>
      <c r="AE249" s="180">
        <f t="shared" si="27"/>
        <v>-7851337866</v>
      </c>
    </row>
    <row r="250" spans="1:31" ht="15.95" customHeight="1" x14ac:dyDescent="0.25">
      <c r="A250" s="169">
        <v>246</v>
      </c>
      <c r="B250" s="170">
        <v>46366</v>
      </c>
      <c r="C250" s="171" t="s">
        <v>204</v>
      </c>
      <c r="D250" s="172">
        <v>34</v>
      </c>
      <c r="E250" s="194">
        <v>0</v>
      </c>
      <c r="F250" s="194">
        <v>0</v>
      </c>
      <c r="G250" s="194">
        <v>0</v>
      </c>
      <c r="H250" s="194">
        <v>0</v>
      </c>
      <c r="I250" s="194">
        <v>0</v>
      </c>
      <c r="J250" s="113">
        <f t="shared" si="21"/>
        <v>0</v>
      </c>
      <c r="K250" s="195">
        <v>0</v>
      </c>
      <c r="L250" s="195">
        <v>0</v>
      </c>
      <c r="M250" s="195">
        <v>0</v>
      </c>
      <c r="N250" s="195">
        <v>0</v>
      </c>
      <c r="O250" s="195">
        <v>0</v>
      </c>
      <c r="P250" s="195">
        <v>0</v>
      </c>
      <c r="Q250" s="195">
        <v>0</v>
      </c>
      <c r="R250" s="195">
        <v>0</v>
      </c>
      <c r="S250" s="195">
        <v>0</v>
      </c>
      <c r="T250" s="114">
        <f t="shared" si="22"/>
        <v>0</v>
      </c>
      <c r="U250" s="196">
        <v>0</v>
      </c>
      <c r="V250" s="196">
        <v>0</v>
      </c>
      <c r="W250" s="115">
        <f t="shared" si="23"/>
        <v>0</v>
      </c>
      <c r="X250" s="116">
        <f>'SUIVI 2026'!M249</f>
        <v>56484482</v>
      </c>
      <c r="Y250" s="117">
        <f t="shared" si="24"/>
        <v>-56484482</v>
      </c>
      <c r="Z250" s="173"/>
      <c r="AA250" s="181">
        <f t="shared" si="25"/>
        <v>0</v>
      </c>
      <c r="AB250" s="182">
        <f t="shared" si="26"/>
        <v>-56484482</v>
      </c>
      <c r="AC250" s="181">
        <f>SUM(AA5:AA250)</f>
        <v>5132</v>
      </c>
      <c r="AD250" s="182">
        <f>SUM(AB5:AB250)</f>
        <v>-7907827480</v>
      </c>
      <c r="AE250" s="183">
        <f t="shared" si="27"/>
        <v>-7907822348</v>
      </c>
    </row>
    <row r="251" spans="1:31" ht="15.95" customHeight="1" x14ac:dyDescent="0.25">
      <c r="A251" s="169">
        <v>247</v>
      </c>
      <c r="B251" s="170">
        <v>46367</v>
      </c>
      <c r="C251" s="171" t="s">
        <v>205</v>
      </c>
      <c r="D251" s="172">
        <v>35</v>
      </c>
      <c r="E251" s="194">
        <v>0</v>
      </c>
      <c r="F251" s="194">
        <v>0</v>
      </c>
      <c r="G251" s="194">
        <v>0</v>
      </c>
      <c r="H251" s="194">
        <v>0</v>
      </c>
      <c r="I251" s="194">
        <v>0</v>
      </c>
      <c r="J251" s="113">
        <f t="shared" si="21"/>
        <v>0</v>
      </c>
      <c r="K251" s="195">
        <v>0</v>
      </c>
      <c r="L251" s="195">
        <v>0</v>
      </c>
      <c r="M251" s="195">
        <v>0</v>
      </c>
      <c r="N251" s="195">
        <v>0</v>
      </c>
      <c r="O251" s="195">
        <v>0</v>
      </c>
      <c r="P251" s="195">
        <v>0</v>
      </c>
      <c r="Q251" s="195">
        <v>0</v>
      </c>
      <c r="R251" s="195">
        <v>0</v>
      </c>
      <c r="S251" s="195">
        <v>0</v>
      </c>
      <c r="T251" s="114">
        <f t="shared" si="22"/>
        <v>0</v>
      </c>
      <c r="U251" s="196">
        <v>0</v>
      </c>
      <c r="V251" s="196">
        <v>0</v>
      </c>
      <c r="W251" s="115">
        <f t="shared" si="23"/>
        <v>0</v>
      </c>
      <c r="X251" s="116">
        <f>'SUIVI 2026'!M250</f>
        <v>56484482</v>
      </c>
      <c r="Y251" s="117">
        <f t="shared" si="24"/>
        <v>-56484482</v>
      </c>
      <c r="Z251" s="173"/>
      <c r="AA251" s="178">
        <f t="shared" si="25"/>
        <v>0</v>
      </c>
      <c r="AB251" s="179">
        <f t="shared" si="26"/>
        <v>-56484482</v>
      </c>
      <c r="AC251" s="178">
        <f>SUM(AA5:AA251)</f>
        <v>5132</v>
      </c>
      <c r="AD251" s="179">
        <f>SUM(AB5:AB251)</f>
        <v>-7964311962</v>
      </c>
      <c r="AE251" s="180">
        <f t="shared" si="27"/>
        <v>-7964306830</v>
      </c>
    </row>
    <row r="252" spans="1:31" ht="15.95" customHeight="1" x14ac:dyDescent="0.25">
      <c r="A252" s="169">
        <v>248</v>
      </c>
      <c r="B252" s="170">
        <v>46370</v>
      </c>
      <c r="C252" s="171" t="s">
        <v>206</v>
      </c>
      <c r="D252" s="172">
        <v>35</v>
      </c>
      <c r="E252" s="194">
        <v>0</v>
      </c>
      <c r="F252" s="194">
        <v>0</v>
      </c>
      <c r="G252" s="194">
        <v>0</v>
      </c>
      <c r="H252" s="194">
        <v>0</v>
      </c>
      <c r="I252" s="194">
        <v>0</v>
      </c>
      <c r="J252" s="113">
        <f t="shared" si="21"/>
        <v>0</v>
      </c>
      <c r="K252" s="195">
        <v>0</v>
      </c>
      <c r="L252" s="195">
        <v>0</v>
      </c>
      <c r="M252" s="195">
        <v>0</v>
      </c>
      <c r="N252" s="195">
        <v>0</v>
      </c>
      <c r="O252" s="195">
        <v>0</v>
      </c>
      <c r="P252" s="195">
        <v>0</v>
      </c>
      <c r="Q252" s="195">
        <v>0</v>
      </c>
      <c r="R252" s="195">
        <v>0</v>
      </c>
      <c r="S252" s="195">
        <v>0</v>
      </c>
      <c r="T252" s="114">
        <f t="shared" si="22"/>
        <v>0</v>
      </c>
      <c r="U252" s="196">
        <v>0</v>
      </c>
      <c r="V252" s="196">
        <v>0</v>
      </c>
      <c r="W252" s="115">
        <f t="shared" si="23"/>
        <v>0</v>
      </c>
      <c r="X252" s="116">
        <f>'SUIVI 2026'!M251</f>
        <v>56484482</v>
      </c>
      <c r="Y252" s="117">
        <f t="shared" si="24"/>
        <v>-56484482</v>
      </c>
      <c r="Z252" s="173"/>
      <c r="AA252" s="181">
        <f t="shared" si="25"/>
        <v>0</v>
      </c>
      <c r="AB252" s="182">
        <f t="shared" si="26"/>
        <v>-56484482</v>
      </c>
      <c r="AC252" s="181">
        <f>SUM(AA5:AA252)</f>
        <v>5132</v>
      </c>
      <c r="AD252" s="182">
        <f>SUM(AB5:AB252)</f>
        <v>-8020796444</v>
      </c>
      <c r="AE252" s="183">
        <f t="shared" si="27"/>
        <v>-8020791312</v>
      </c>
    </row>
    <row r="253" spans="1:31" ht="15.95" customHeight="1" x14ac:dyDescent="0.25">
      <c r="A253" s="169">
        <v>249</v>
      </c>
      <c r="B253" s="170">
        <v>46371</v>
      </c>
      <c r="C253" s="171" t="s">
        <v>207</v>
      </c>
      <c r="D253" s="172">
        <v>35</v>
      </c>
      <c r="E253" s="194">
        <v>0</v>
      </c>
      <c r="F253" s="194">
        <v>0</v>
      </c>
      <c r="G253" s="194">
        <v>0</v>
      </c>
      <c r="H253" s="194">
        <v>0</v>
      </c>
      <c r="I253" s="194">
        <v>0</v>
      </c>
      <c r="J253" s="113">
        <f t="shared" si="21"/>
        <v>0</v>
      </c>
      <c r="K253" s="195">
        <v>0</v>
      </c>
      <c r="L253" s="195">
        <v>0</v>
      </c>
      <c r="M253" s="195">
        <v>0</v>
      </c>
      <c r="N253" s="195">
        <v>0</v>
      </c>
      <c r="O253" s="195">
        <v>0</v>
      </c>
      <c r="P253" s="195">
        <v>0</v>
      </c>
      <c r="Q253" s="195">
        <v>0</v>
      </c>
      <c r="R253" s="195">
        <v>0</v>
      </c>
      <c r="S253" s="195">
        <v>0</v>
      </c>
      <c r="T253" s="114">
        <f t="shared" si="22"/>
        <v>0</v>
      </c>
      <c r="U253" s="196">
        <v>0</v>
      </c>
      <c r="V253" s="196">
        <v>0</v>
      </c>
      <c r="W253" s="115">
        <f t="shared" si="23"/>
        <v>0</v>
      </c>
      <c r="X253" s="116">
        <f>'SUIVI 2026'!M252</f>
        <v>56484482</v>
      </c>
      <c r="Y253" s="117">
        <f t="shared" si="24"/>
        <v>-56484482</v>
      </c>
      <c r="Z253" s="173"/>
      <c r="AA253" s="178">
        <f t="shared" si="25"/>
        <v>0</v>
      </c>
      <c r="AB253" s="179">
        <f t="shared" si="26"/>
        <v>-56484482</v>
      </c>
      <c r="AC253" s="178">
        <f>SUM(AA5:AA253)</f>
        <v>5132</v>
      </c>
      <c r="AD253" s="179">
        <f>SUM(AB5:AB253)</f>
        <v>-8077280926</v>
      </c>
      <c r="AE253" s="180">
        <f t="shared" si="27"/>
        <v>-8077275794</v>
      </c>
    </row>
    <row r="254" spans="1:31" ht="15.95" customHeight="1" x14ac:dyDescent="0.25">
      <c r="A254" s="169">
        <v>250</v>
      </c>
      <c r="B254" s="170">
        <v>46372</v>
      </c>
      <c r="C254" s="171" t="s">
        <v>208</v>
      </c>
      <c r="D254" s="172">
        <v>35</v>
      </c>
      <c r="E254" s="194">
        <v>0</v>
      </c>
      <c r="F254" s="194">
        <v>0</v>
      </c>
      <c r="G254" s="194">
        <v>0</v>
      </c>
      <c r="H254" s="194">
        <v>0</v>
      </c>
      <c r="I254" s="194">
        <v>0</v>
      </c>
      <c r="J254" s="113">
        <f t="shared" si="21"/>
        <v>0</v>
      </c>
      <c r="K254" s="195">
        <v>0</v>
      </c>
      <c r="L254" s="195">
        <v>0</v>
      </c>
      <c r="M254" s="195">
        <v>0</v>
      </c>
      <c r="N254" s="195">
        <v>0</v>
      </c>
      <c r="O254" s="195">
        <v>0</v>
      </c>
      <c r="P254" s="195">
        <v>0</v>
      </c>
      <c r="Q254" s="195">
        <v>0</v>
      </c>
      <c r="R254" s="195">
        <v>0</v>
      </c>
      <c r="S254" s="195">
        <v>0</v>
      </c>
      <c r="T254" s="114">
        <f t="shared" si="22"/>
        <v>0</v>
      </c>
      <c r="U254" s="196">
        <v>0</v>
      </c>
      <c r="V254" s="196">
        <v>0</v>
      </c>
      <c r="W254" s="115">
        <f t="shared" si="23"/>
        <v>0</v>
      </c>
      <c r="X254" s="116">
        <f>'SUIVI 2026'!M253</f>
        <v>56484482</v>
      </c>
      <c r="Y254" s="117">
        <f t="shared" si="24"/>
        <v>-56484482</v>
      </c>
      <c r="Z254" s="173"/>
      <c r="AA254" s="181">
        <f t="shared" si="25"/>
        <v>0</v>
      </c>
      <c r="AB254" s="182">
        <f t="shared" si="26"/>
        <v>-56484482</v>
      </c>
      <c r="AC254" s="181">
        <f>SUM(AA5:AA254)</f>
        <v>5132</v>
      </c>
      <c r="AD254" s="182">
        <f>SUM(AB5:AB254)</f>
        <v>-8133765408</v>
      </c>
      <c r="AE254" s="183">
        <f t="shared" si="27"/>
        <v>-8133760276</v>
      </c>
    </row>
    <row r="255" spans="1:31" ht="15.95" customHeight="1" x14ac:dyDescent="0.25">
      <c r="A255" s="169">
        <v>251</v>
      </c>
      <c r="B255" s="170">
        <v>46373</v>
      </c>
      <c r="C255" s="171" t="s">
        <v>204</v>
      </c>
      <c r="D255" s="172">
        <v>35</v>
      </c>
      <c r="E255" s="194">
        <v>0</v>
      </c>
      <c r="F255" s="194">
        <v>0</v>
      </c>
      <c r="G255" s="194">
        <v>0</v>
      </c>
      <c r="H255" s="194">
        <v>0</v>
      </c>
      <c r="I255" s="194">
        <v>0</v>
      </c>
      <c r="J255" s="113">
        <f t="shared" si="21"/>
        <v>0</v>
      </c>
      <c r="K255" s="195">
        <v>0</v>
      </c>
      <c r="L255" s="195">
        <v>0</v>
      </c>
      <c r="M255" s="195">
        <v>0</v>
      </c>
      <c r="N255" s="195">
        <v>0</v>
      </c>
      <c r="O255" s="195">
        <v>0</v>
      </c>
      <c r="P255" s="195">
        <v>0</v>
      </c>
      <c r="Q255" s="195">
        <v>0</v>
      </c>
      <c r="R255" s="195">
        <v>0</v>
      </c>
      <c r="S255" s="195">
        <v>0</v>
      </c>
      <c r="T255" s="114">
        <f t="shared" si="22"/>
        <v>0</v>
      </c>
      <c r="U255" s="196">
        <v>0</v>
      </c>
      <c r="V255" s="196">
        <v>0</v>
      </c>
      <c r="W255" s="115">
        <f t="shared" si="23"/>
        <v>0</v>
      </c>
      <c r="X255" s="116">
        <f>'SUIVI 2026'!M254</f>
        <v>56484482</v>
      </c>
      <c r="Y255" s="117">
        <f t="shared" si="24"/>
        <v>-56484482</v>
      </c>
      <c r="Z255" s="173"/>
      <c r="AA255" s="178">
        <f t="shared" si="25"/>
        <v>0</v>
      </c>
      <c r="AB255" s="179">
        <f t="shared" si="26"/>
        <v>-56484482</v>
      </c>
      <c r="AC255" s="178">
        <f>SUM(AA5:AA255)</f>
        <v>5132</v>
      </c>
      <c r="AD255" s="179">
        <f>SUM(AB5:AB255)</f>
        <v>-8190249890</v>
      </c>
      <c r="AE255" s="180">
        <f t="shared" si="27"/>
        <v>-8190244758</v>
      </c>
    </row>
    <row r="256" spans="1:31" ht="15.95" customHeight="1" x14ac:dyDescent="0.25">
      <c r="A256" s="169">
        <v>252</v>
      </c>
      <c r="B256" s="170">
        <v>46374</v>
      </c>
      <c r="C256" s="171" t="s">
        <v>205</v>
      </c>
      <c r="D256" s="172">
        <v>35</v>
      </c>
      <c r="E256" s="194">
        <v>0</v>
      </c>
      <c r="F256" s="194">
        <v>0</v>
      </c>
      <c r="G256" s="194">
        <v>0</v>
      </c>
      <c r="H256" s="194">
        <v>0</v>
      </c>
      <c r="I256" s="194">
        <v>0</v>
      </c>
      <c r="J256" s="113">
        <f t="shared" si="21"/>
        <v>0</v>
      </c>
      <c r="K256" s="195">
        <v>0</v>
      </c>
      <c r="L256" s="195">
        <v>0</v>
      </c>
      <c r="M256" s="195">
        <v>0</v>
      </c>
      <c r="N256" s="195">
        <v>0</v>
      </c>
      <c r="O256" s="195">
        <v>0</v>
      </c>
      <c r="P256" s="195">
        <v>0</v>
      </c>
      <c r="Q256" s="195">
        <v>0</v>
      </c>
      <c r="R256" s="195">
        <v>0</v>
      </c>
      <c r="S256" s="195">
        <v>0</v>
      </c>
      <c r="T256" s="114">
        <f t="shared" si="22"/>
        <v>0</v>
      </c>
      <c r="U256" s="196">
        <v>0</v>
      </c>
      <c r="V256" s="196">
        <v>0</v>
      </c>
      <c r="W256" s="115">
        <f t="shared" si="23"/>
        <v>0</v>
      </c>
      <c r="X256" s="116">
        <f>'SUIVI 2026'!M255</f>
        <v>56484482</v>
      </c>
      <c r="Y256" s="117">
        <f t="shared" si="24"/>
        <v>-56484482</v>
      </c>
      <c r="Z256" s="173"/>
      <c r="AA256" s="181">
        <f t="shared" si="25"/>
        <v>0</v>
      </c>
      <c r="AB256" s="182">
        <f t="shared" si="26"/>
        <v>-56484482</v>
      </c>
      <c r="AC256" s="181">
        <f>SUM(AA5:AA256)</f>
        <v>5132</v>
      </c>
      <c r="AD256" s="182">
        <f>SUM(AB5:AB256)</f>
        <v>-8246734372</v>
      </c>
      <c r="AE256" s="183">
        <f t="shared" si="27"/>
        <v>-8246729240</v>
      </c>
    </row>
    <row r="257" spans="1:31" ht="15.95" customHeight="1" x14ac:dyDescent="0.25">
      <c r="A257" s="169">
        <v>253</v>
      </c>
      <c r="B257" s="170">
        <v>46377</v>
      </c>
      <c r="C257" s="171" t="s">
        <v>206</v>
      </c>
      <c r="D257" s="172">
        <v>36</v>
      </c>
      <c r="E257" s="194">
        <v>0</v>
      </c>
      <c r="F257" s="194">
        <v>0</v>
      </c>
      <c r="G257" s="194">
        <v>0</v>
      </c>
      <c r="H257" s="194">
        <v>0</v>
      </c>
      <c r="I257" s="194">
        <v>0</v>
      </c>
      <c r="J257" s="113">
        <f t="shared" si="21"/>
        <v>0</v>
      </c>
      <c r="K257" s="195">
        <v>0</v>
      </c>
      <c r="L257" s="195">
        <v>0</v>
      </c>
      <c r="M257" s="195">
        <v>0</v>
      </c>
      <c r="N257" s="195">
        <v>0</v>
      </c>
      <c r="O257" s="195">
        <v>0</v>
      </c>
      <c r="P257" s="195">
        <v>0</v>
      </c>
      <c r="Q257" s="195">
        <v>0</v>
      </c>
      <c r="R257" s="195">
        <v>0</v>
      </c>
      <c r="S257" s="195">
        <v>0</v>
      </c>
      <c r="T257" s="114">
        <f t="shared" si="22"/>
        <v>0</v>
      </c>
      <c r="U257" s="196">
        <v>0</v>
      </c>
      <c r="V257" s="196">
        <v>0</v>
      </c>
      <c r="W257" s="115">
        <f t="shared" si="23"/>
        <v>0</v>
      </c>
      <c r="X257" s="116">
        <f>'SUIVI 2026'!M256</f>
        <v>56484482</v>
      </c>
      <c r="Y257" s="117">
        <f t="shared" si="24"/>
        <v>-56484482</v>
      </c>
      <c r="Z257" s="173"/>
      <c r="AA257" s="178">
        <f t="shared" si="25"/>
        <v>0</v>
      </c>
      <c r="AB257" s="179">
        <f t="shared" si="26"/>
        <v>-56484482</v>
      </c>
      <c r="AC257" s="178">
        <f>SUM(AA5:AA257)</f>
        <v>5132</v>
      </c>
      <c r="AD257" s="179">
        <f>SUM(AB5:AB257)</f>
        <v>-8303218854</v>
      </c>
      <c r="AE257" s="180">
        <f t="shared" si="27"/>
        <v>-8303213722</v>
      </c>
    </row>
    <row r="258" spans="1:31" ht="15.95" customHeight="1" x14ac:dyDescent="0.25">
      <c r="A258" s="169">
        <v>254</v>
      </c>
      <c r="B258" s="170">
        <v>46378</v>
      </c>
      <c r="C258" s="171" t="s">
        <v>207</v>
      </c>
      <c r="D258" s="172">
        <v>36</v>
      </c>
      <c r="E258" s="194">
        <v>0</v>
      </c>
      <c r="F258" s="194">
        <v>0</v>
      </c>
      <c r="G258" s="194">
        <v>0</v>
      </c>
      <c r="H258" s="194">
        <v>0</v>
      </c>
      <c r="I258" s="194">
        <v>0</v>
      </c>
      <c r="J258" s="113">
        <f t="shared" si="21"/>
        <v>0</v>
      </c>
      <c r="K258" s="195">
        <v>0</v>
      </c>
      <c r="L258" s="195">
        <v>0</v>
      </c>
      <c r="M258" s="195">
        <v>0</v>
      </c>
      <c r="N258" s="195">
        <v>0</v>
      </c>
      <c r="O258" s="195">
        <v>0</v>
      </c>
      <c r="P258" s="195">
        <v>0</v>
      </c>
      <c r="Q258" s="195">
        <v>0</v>
      </c>
      <c r="R258" s="195">
        <v>0</v>
      </c>
      <c r="S258" s="195">
        <v>0</v>
      </c>
      <c r="T258" s="114">
        <f t="shared" si="22"/>
        <v>0</v>
      </c>
      <c r="U258" s="196">
        <v>0</v>
      </c>
      <c r="V258" s="196">
        <v>0</v>
      </c>
      <c r="W258" s="115">
        <f t="shared" si="23"/>
        <v>0</v>
      </c>
      <c r="X258" s="116">
        <f>'SUIVI 2026'!M257</f>
        <v>56484482</v>
      </c>
      <c r="Y258" s="117">
        <f t="shared" si="24"/>
        <v>-56484482</v>
      </c>
      <c r="Z258" s="173"/>
      <c r="AA258" s="181">
        <f t="shared" si="25"/>
        <v>0</v>
      </c>
      <c r="AB258" s="182">
        <f t="shared" si="26"/>
        <v>-56484482</v>
      </c>
      <c r="AC258" s="181">
        <f>SUM(AA5:AA258)</f>
        <v>5132</v>
      </c>
      <c r="AD258" s="182">
        <f>SUM(AB5:AB258)</f>
        <v>-8359703336</v>
      </c>
      <c r="AE258" s="183">
        <f t="shared" si="27"/>
        <v>-8359698204</v>
      </c>
    </row>
    <row r="259" spans="1:31" ht="15.95" customHeight="1" x14ac:dyDescent="0.25">
      <c r="A259" s="169">
        <v>255</v>
      </c>
      <c r="B259" s="170">
        <v>46379</v>
      </c>
      <c r="C259" s="171" t="s">
        <v>208</v>
      </c>
      <c r="D259" s="172">
        <v>36</v>
      </c>
      <c r="E259" s="194">
        <v>0</v>
      </c>
      <c r="F259" s="194">
        <v>0</v>
      </c>
      <c r="G259" s="194">
        <v>0</v>
      </c>
      <c r="H259" s="194">
        <v>0</v>
      </c>
      <c r="I259" s="194">
        <v>0</v>
      </c>
      <c r="J259" s="113">
        <f t="shared" si="21"/>
        <v>0</v>
      </c>
      <c r="K259" s="195">
        <v>0</v>
      </c>
      <c r="L259" s="195">
        <v>0</v>
      </c>
      <c r="M259" s="195">
        <v>0</v>
      </c>
      <c r="N259" s="195">
        <v>0</v>
      </c>
      <c r="O259" s="195">
        <v>0</v>
      </c>
      <c r="P259" s="195">
        <v>0</v>
      </c>
      <c r="Q259" s="195">
        <v>0</v>
      </c>
      <c r="R259" s="195">
        <v>0</v>
      </c>
      <c r="S259" s="195">
        <v>0</v>
      </c>
      <c r="T259" s="114">
        <f t="shared" si="22"/>
        <v>0</v>
      </c>
      <c r="U259" s="196">
        <v>0</v>
      </c>
      <c r="V259" s="196">
        <v>0</v>
      </c>
      <c r="W259" s="115">
        <f t="shared" si="23"/>
        <v>0</v>
      </c>
      <c r="X259" s="116">
        <f>'SUIVI 2026'!M258</f>
        <v>56484482</v>
      </c>
      <c r="Y259" s="117">
        <f t="shared" si="24"/>
        <v>-56484482</v>
      </c>
      <c r="Z259" s="173"/>
      <c r="AA259" s="178">
        <f t="shared" si="25"/>
        <v>0</v>
      </c>
      <c r="AB259" s="179">
        <f t="shared" si="26"/>
        <v>-56484482</v>
      </c>
      <c r="AC259" s="178">
        <f>SUM(AA5:AA259)</f>
        <v>5132</v>
      </c>
      <c r="AD259" s="179">
        <f>SUM(AB5:AB259)</f>
        <v>-8416187818</v>
      </c>
      <c r="AE259" s="180">
        <f t="shared" si="27"/>
        <v>-8416182686</v>
      </c>
    </row>
    <row r="260" spans="1:31" ht="15.95" customHeight="1" x14ac:dyDescent="0.25">
      <c r="A260" s="169">
        <v>256</v>
      </c>
      <c r="B260" s="170">
        <v>46380</v>
      </c>
      <c r="C260" s="171" t="s">
        <v>204</v>
      </c>
      <c r="D260" s="172">
        <v>36</v>
      </c>
      <c r="E260" s="194">
        <v>0</v>
      </c>
      <c r="F260" s="194">
        <v>0</v>
      </c>
      <c r="G260" s="194">
        <v>0</v>
      </c>
      <c r="H260" s="194">
        <v>0</v>
      </c>
      <c r="I260" s="194">
        <v>0</v>
      </c>
      <c r="J260" s="113">
        <f t="shared" si="21"/>
        <v>0</v>
      </c>
      <c r="K260" s="195">
        <v>0</v>
      </c>
      <c r="L260" s="195">
        <v>0</v>
      </c>
      <c r="M260" s="195">
        <v>0</v>
      </c>
      <c r="N260" s="195">
        <v>0</v>
      </c>
      <c r="O260" s="195">
        <v>0</v>
      </c>
      <c r="P260" s="195">
        <v>0</v>
      </c>
      <c r="Q260" s="195">
        <v>0</v>
      </c>
      <c r="R260" s="195">
        <v>0</v>
      </c>
      <c r="S260" s="195">
        <v>0</v>
      </c>
      <c r="T260" s="114">
        <f t="shared" si="22"/>
        <v>0</v>
      </c>
      <c r="U260" s="196">
        <v>0</v>
      </c>
      <c r="V260" s="196">
        <v>0</v>
      </c>
      <c r="W260" s="115">
        <f t="shared" si="23"/>
        <v>0</v>
      </c>
      <c r="X260" s="116">
        <f>'SUIVI 2026'!M259</f>
        <v>56484482</v>
      </c>
      <c r="Y260" s="117">
        <f t="shared" si="24"/>
        <v>-56484482</v>
      </c>
      <c r="Z260" s="173"/>
      <c r="AA260" s="181">
        <f t="shared" si="25"/>
        <v>0</v>
      </c>
      <c r="AB260" s="182">
        <f t="shared" si="26"/>
        <v>-56484482</v>
      </c>
      <c r="AC260" s="181">
        <f>SUM(AA5:AA260)</f>
        <v>5132</v>
      </c>
      <c r="AD260" s="182">
        <f>SUM(AB5:AB260)</f>
        <v>-8472672300</v>
      </c>
      <c r="AE260" s="183">
        <f t="shared" si="27"/>
        <v>-8472667168</v>
      </c>
    </row>
    <row r="261" spans="1:31" ht="15.95" customHeight="1" x14ac:dyDescent="0.25">
      <c r="A261" s="169">
        <v>257</v>
      </c>
      <c r="B261" s="170">
        <v>46381</v>
      </c>
      <c r="C261" s="171" t="s">
        <v>205</v>
      </c>
      <c r="D261" s="172">
        <v>36</v>
      </c>
      <c r="E261" s="194">
        <v>0</v>
      </c>
      <c r="F261" s="194">
        <v>0</v>
      </c>
      <c r="G261" s="194">
        <v>0</v>
      </c>
      <c r="H261" s="194">
        <v>0</v>
      </c>
      <c r="I261" s="194">
        <v>0</v>
      </c>
      <c r="J261" s="113">
        <f t="shared" ref="J261:J265" si="28">E261+F261+G261+H261+I261</f>
        <v>0</v>
      </c>
      <c r="K261" s="195">
        <v>0</v>
      </c>
      <c r="L261" s="195">
        <v>0</v>
      </c>
      <c r="M261" s="195">
        <v>0</v>
      </c>
      <c r="N261" s="195">
        <v>0</v>
      </c>
      <c r="O261" s="195">
        <v>0</v>
      </c>
      <c r="P261" s="195">
        <v>0</v>
      </c>
      <c r="Q261" s="195">
        <v>0</v>
      </c>
      <c r="R261" s="195">
        <v>0</v>
      </c>
      <c r="S261" s="195">
        <v>0</v>
      </c>
      <c r="T261" s="114">
        <f t="shared" ref="T261:T265" si="29">K261+L261+M261+N261+O261+P261+Q261+R261+S261</f>
        <v>0</v>
      </c>
      <c r="U261" s="196">
        <v>0</v>
      </c>
      <c r="V261" s="196">
        <v>0</v>
      </c>
      <c r="W261" s="115">
        <f t="shared" ref="W261:W265" si="30">J261+T261+U261+V261</f>
        <v>0</v>
      </c>
      <c r="X261" s="116">
        <f>'SUIVI 2026'!M260</f>
        <v>56484482</v>
      </c>
      <c r="Y261" s="117">
        <f t="shared" ref="Y261:Y265" si="31">W261-X261</f>
        <v>-56484482</v>
      </c>
      <c r="Z261" s="173"/>
      <c r="AA261" s="178">
        <f t="shared" si="25"/>
        <v>0</v>
      </c>
      <c r="AB261" s="179">
        <f t="shared" si="26"/>
        <v>-56484482</v>
      </c>
      <c r="AC261" s="178">
        <f>SUM(AA5:AA261)</f>
        <v>5132</v>
      </c>
      <c r="AD261" s="179">
        <f>SUM(AB5:AB261)</f>
        <v>-8529156782</v>
      </c>
      <c r="AE261" s="180">
        <f t="shared" ref="AE261:AE265" si="32">AC261+AD261</f>
        <v>-8529151650</v>
      </c>
    </row>
    <row r="262" spans="1:31" ht="15.95" customHeight="1" x14ac:dyDescent="0.25">
      <c r="A262" s="169">
        <v>258</v>
      </c>
      <c r="B262" s="170">
        <v>46384</v>
      </c>
      <c r="C262" s="171" t="s">
        <v>206</v>
      </c>
      <c r="D262" s="172">
        <v>36</v>
      </c>
      <c r="E262" s="194">
        <v>0</v>
      </c>
      <c r="F262" s="194">
        <v>0</v>
      </c>
      <c r="G262" s="194">
        <v>0</v>
      </c>
      <c r="H262" s="194">
        <v>0</v>
      </c>
      <c r="I262" s="194">
        <v>0</v>
      </c>
      <c r="J262" s="113">
        <f t="shared" si="28"/>
        <v>0</v>
      </c>
      <c r="K262" s="195">
        <v>0</v>
      </c>
      <c r="L262" s="195">
        <v>0</v>
      </c>
      <c r="M262" s="195">
        <v>0</v>
      </c>
      <c r="N262" s="195">
        <v>0</v>
      </c>
      <c r="O262" s="195">
        <v>0</v>
      </c>
      <c r="P262" s="195">
        <v>0</v>
      </c>
      <c r="Q262" s="195">
        <v>0</v>
      </c>
      <c r="R262" s="195">
        <v>0</v>
      </c>
      <c r="S262" s="195">
        <v>0</v>
      </c>
      <c r="T262" s="114">
        <f t="shared" si="29"/>
        <v>0</v>
      </c>
      <c r="U262" s="196">
        <v>0</v>
      </c>
      <c r="V262" s="196">
        <v>0</v>
      </c>
      <c r="W262" s="115">
        <f t="shared" si="30"/>
        <v>0</v>
      </c>
      <c r="X262" s="116">
        <f>'SUIVI 2026'!M261</f>
        <v>56484482</v>
      </c>
      <c r="Y262" s="117">
        <f t="shared" si="31"/>
        <v>-56484482</v>
      </c>
      <c r="Z262" s="173"/>
      <c r="AA262" s="181">
        <f t="shared" si="25"/>
        <v>0</v>
      </c>
      <c r="AB262" s="182">
        <f t="shared" si="26"/>
        <v>-56484482</v>
      </c>
      <c r="AC262" s="181">
        <f>SUM(AA5:AA262)</f>
        <v>5132</v>
      </c>
      <c r="AD262" s="182">
        <f>SUM(AB5:AB262)</f>
        <v>-8585641264</v>
      </c>
      <c r="AE262" s="183">
        <f t="shared" si="32"/>
        <v>-8585636132</v>
      </c>
    </row>
    <row r="263" spans="1:31" ht="15.95" customHeight="1" x14ac:dyDescent="0.25">
      <c r="A263" s="169">
        <v>259</v>
      </c>
      <c r="B263" s="170">
        <v>46385</v>
      </c>
      <c r="C263" s="171" t="s">
        <v>207</v>
      </c>
      <c r="D263" s="172">
        <v>36</v>
      </c>
      <c r="E263" s="194">
        <v>0</v>
      </c>
      <c r="F263" s="194">
        <v>0</v>
      </c>
      <c r="G263" s="194">
        <v>0</v>
      </c>
      <c r="H263" s="194">
        <v>0</v>
      </c>
      <c r="I263" s="194">
        <v>0</v>
      </c>
      <c r="J263" s="113">
        <f t="shared" si="28"/>
        <v>0</v>
      </c>
      <c r="K263" s="195">
        <v>0</v>
      </c>
      <c r="L263" s="195">
        <v>0</v>
      </c>
      <c r="M263" s="195">
        <v>0</v>
      </c>
      <c r="N263" s="195">
        <v>0</v>
      </c>
      <c r="O263" s="195">
        <v>0</v>
      </c>
      <c r="P263" s="195">
        <v>0</v>
      </c>
      <c r="Q263" s="195">
        <v>0</v>
      </c>
      <c r="R263" s="195">
        <v>0</v>
      </c>
      <c r="S263" s="195">
        <v>0</v>
      </c>
      <c r="T263" s="114">
        <f t="shared" si="29"/>
        <v>0</v>
      </c>
      <c r="U263" s="196">
        <v>0</v>
      </c>
      <c r="V263" s="196">
        <v>0</v>
      </c>
      <c r="W263" s="115">
        <f t="shared" si="30"/>
        <v>0</v>
      </c>
      <c r="X263" s="116">
        <f>'SUIVI 2026'!M262</f>
        <v>56484482</v>
      </c>
      <c r="Y263" s="117">
        <f t="shared" si="31"/>
        <v>-56484482</v>
      </c>
      <c r="Z263" s="173"/>
      <c r="AA263" s="178">
        <f t="shared" si="25"/>
        <v>0</v>
      </c>
      <c r="AB263" s="179">
        <f t="shared" si="26"/>
        <v>-56484482</v>
      </c>
      <c r="AC263" s="178">
        <f>SUM(AA5:AA263)</f>
        <v>5132</v>
      </c>
      <c r="AD263" s="179">
        <f>SUM(AB5:AB263)</f>
        <v>-8642125746</v>
      </c>
      <c r="AE263" s="180">
        <f t="shared" si="32"/>
        <v>-8642120614</v>
      </c>
    </row>
    <row r="264" spans="1:31" ht="15.95" customHeight="1" x14ac:dyDescent="0.25">
      <c r="A264" s="169">
        <v>260</v>
      </c>
      <c r="B264" s="170">
        <v>46386</v>
      </c>
      <c r="C264" s="171" t="s">
        <v>208</v>
      </c>
      <c r="D264" s="172">
        <v>36</v>
      </c>
      <c r="E264" s="194">
        <v>0</v>
      </c>
      <c r="F264" s="194">
        <v>0</v>
      </c>
      <c r="G264" s="194">
        <v>0</v>
      </c>
      <c r="H264" s="194">
        <v>0</v>
      </c>
      <c r="I264" s="194">
        <v>0</v>
      </c>
      <c r="J264" s="113">
        <f t="shared" si="28"/>
        <v>0</v>
      </c>
      <c r="K264" s="195">
        <v>0</v>
      </c>
      <c r="L264" s="195">
        <v>0</v>
      </c>
      <c r="M264" s="195">
        <v>0</v>
      </c>
      <c r="N264" s="195">
        <v>0</v>
      </c>
      <c r="O264" s="195">
        <v>0</v>
      </c>
      <c r="P264" s="195">
        <v>0</v>
      </c>
      <c r="Q264" s="195">
        <v>0</v>
      </c>
      <c r="R264" s="195">
        <v>0</v>
      </c>
      <c r="S264" s="195">
        <v>0</v>
      </c>
      <c r="T264" s="114">
        <f t="shared" si="29"/>
        <v>0</v>
      </c>
      <c r="U264" s="196">
        <v>0</v>
      </c>
      <c r="V264" s="196">
        <v>0</v>
      </c>
      <c r="W264" s="115">
        <f t="shared" si="30"/>
        <v>0</v>
      </c>
      <c r="X264" s="116">
        <f>'SUIVI 2026'!M263</f>
        <v>56484482</v>
      </c>
      <c r="Y264" s="117">
        <f t="shared" si="31"/>
        <v>-56484482</v>
      </c>
      <c r="Z264" s="173"/>
      <c r="AA264" s="181">
        <f t="shared" si="25"/>
        <v>0</v>
      </c>
      <c r="AB264" s="182">
        <f t="shared" si="26"/>
        <v>-56484482</v>
      </c>
      <c r="AC264" s="181">
        <f>SUM(AA5:AA264)</f>
        <v>5132</v>
      </c>
      <c r="AD264" s="182">
        <f>SUM(AB5:AB264)</f>
        <v>-8698610228</v>
      </c>
      <c r="AE264" s="183">
        <f t="shared" si="32"/>
        <v>-8698605096</v>
      </c>
    </row>
    <row r="265" spans="1:31" ht="15.95" customHeight="1" x14ac:dyDescent="0.25">
      <c r="A265" s="169">
        <v>261</v>
      </c>
      <c r="B265" s="170">
        <v>46387</v>
      </c>
      <c r="C265" s="171" t="s">
        <v>204</v>
      </c>
      <c r="D265" s="172">
        <v>36</v>
      </c>
      <c r="E265" s="194">
        <v>0</v>
      </c>
      <c r="F265" s="194">
        <v>0</v>
      </c>
      <c r="G265" s="194">
        <v>0</v>
      </c>
      <c r="H265" s="194">
        <v>0</v>
      </c>
      <c r="I265" s="194">
        <v>0</v>
      </c>
      <c r="J265" s="113">
        <f t="shared" si="28"/>
        <v>0</v>
      </c>
      <c r="K265" s="195">
        <v>0</v>
      </c>
      <c r="L265" s="195">
        <v>0</v>
      </c>
      <c r="M265" s="195">
        <v>0</v>
      </c>
      <c r="N265" s="195">
        <v>0</v>
      </c>
      <c r="O265" s="195">
        <v>0</v>
      </c>
      <c r="P265" s="195">
        <v>0</v>
      </c>
      <c r="Q265" s="195">
        <v>0</v>
      </c>
      <c r="R265" s="195">
        <v>0</v>
      </c>
      <c r="S265" s="195">
        <v>0</v>
      </c>
      <c r="T265" s="114">
        <f t="shared" si="29"/>
        <v>0</v>
      </c>
      <c r="U265" s="196">
        <v>0</v>
      </c>
      <c r="V265" s="196">
        <v>0</v>
      </c>
      <c r="W265" s="115">
        <f t="shared" si="30"/>
        <v>0</v>
      </c>
      <c r="X265" s="116">
        <f>'SUIVI 2026'!M264</f>
        <v>56484482</v>
      </c>
      <c r="Y265" s="117">
        <f t="shared" si="31"/>
        <v>-56484482</v>
      </c>
      <c r="Z265" s="173"/>
      <c r="AA265" s="178">
        <f t="shared" si="25"/>
        <v>0</v>
      </c>
      <c r="AB265" s="179">
        <f t="shared" si="26"/>
        <v>-56484482</v>
      </c>
      <c r="AC265" s="178">
        <f>SUM(AA5:AA265)</f>
        <v>5132</v>
      </c>
      <c r="AD265" s="179">
        <f>SUM(AB5:AB265)</f>
        <v>-8755094710</v>
      </c>
      <c r="AE265" s="180">
        <f t="shared" si="32"/>
        <v>-8755089578</v>
      </c>
    </row>
    <row r="266" spans="1:31" ht="20.100000000000001" customHeight="1" x14ac:dyDescent="0.25">
      <c r="A266" s="326" t="s">
        <v>209</v>
      </c>
      <c r="B266" s="276"/>
      <c r="C266" s="276"/>
      <c r="D266" s="277"/>
      <c r="E266" s="174">
        <f t="shared" ref="E266:Y266" si="33">SUM(E5:E265)</f>
        <v>126940000</v>
      </c>
      <c r="F266" s="174">
        <f t="shared" si="33"/>
        <v>30525000</v>
      </c>
      <c r="G266" s="174">
        <f t="shared" si="33"/>
        <v>100000</v>
      </c>
      <c r="H266" s="174">
        <f t="shared" si="33"/>
        <v>19000</v>
      </c>
      <c r="I266" s="174">
        <f t="shared" si="33"/>
        <v>13500</v>
      </c>
      <c r="J266" s="174">
        <f t="shared" si="33"/>
        <v>157597500</v>
      </c>
      <c r="K266" s="174">
        <f t="shared" si="33"/>
        <v>0</v>
      </c>
      <c r="L266" s="174">
        <f t="shared" si="33"/>
        <v>750</v>
      </c>
      <c r="M266" s="174">
        <f t="shared" si="33"/>
        <v>0</v>
      </c>
      <c r="N266" s="174">
        <f t="shared" si="33"/>
        <v>1200</v>
      </c>
      <c r="O266" s="174">
        <f t="shared" si="33"/>
        <v>300</v>
      </c>
      <c r="P266" s="174">
        <f t="shared" si="33"/>
        <v>583</v>
      </c>
      <c r="Q266" s="174">
        <f t="shared" si="33"/>
        <v>60</v>
      </c>
      <c r="R266" s="174">
        <f t="shared" si="33"/>
        <v>0</v>
      </c>
      <c r="S266" s="174">
        <f t="shared" si="33"/>
        <v>5819632874</v>
      </c>
      <c r="T266" s="174">
        <f t="shared" si="33"/>
        <v>5819635767</v>
      </c>
      <c r="U266" s="174">
        <f t="shared" si="33"/>
        <v>0</v>
      </c>
      <c r="V266" s="174">
        <f t="shared" si="33"/>
        <v>88500</v>
      </c>
      <c r="W266" s="174">
        <f t="shared" si="33"/>
        <v>5977321767</v>
      </c>
      <c r="X266" s="174">
        <f t="shared" si="33"/>
        <v>14732411345</v>
      </c>
      <c r="Y266" s="175">
        <f t="shared" si="33"/>
        <v>-8755089578</v>
      </c>
      <c r="AA266" s="184">
        <f>SUM(AA5:AA265)</f>
        <v>5132</v>
      </c>
      <c r="AB266" s="185">
        <f>SUM(AB5:AB265)</f>
        <v>-8755094710</v>
      </c>
      <c r="AC266" s="186">
        <f>AC265</f>
        <v>5132</v>
      </c>
      <c r="AD266" s="185">
        <f>AD265</f>
        <v>-8755094710</v>
      </c>
      <c r="AE266" s="175">
        <f>AE265</f>
        <v>-8755089578</v>
      </c>
    </row>
  </sheetData>
  <sheetProtection password="8BDA" sheet="1" formatCells="0" formatColumns="0" formatRows="0"/>
  <mergeCells count="12">
    <mergeCell ref="AA3:AE3"/>
    <mergeCell ref="A1:Z1"/>
    <mergeCell ref="U3:V3"/>
    <mergeCell ref="A3:D3"/>
    <mergeCell ref="K3:T3"/>
    <mergeCell ref="Y3"/>
    <mergeCell ref="A2:Z2"/>
    <mergeCell ref="A266:D266"/>
    <mergeCell ref="E3:J3"/>
    <mergeCell ref="W3"/>
    <mergeCell ref="X3"/>
    <mergeCell ref="Z3"/>
  </mergeCells>
  <conditionalFormatting sqref="Y5:Y265">
    <cfRule type="expression" dxfId="3" priority="1">
      <formula>$Y5&gt;0</formula>
    </cfRule>
    <cfRule type="expression" dxfId="2" priority="2">
      <formula>$Y5&lt;0</formula>
    </cfRule>
  </conditionalFormatting>
  <conditionalFormatting sqref="AE5:AE265">
    <cfRule type="expression" dxfId="1" priority="3">
      <formula>$AE5&gt;0</formula>
    </cfRule>
    <cfRule type="expression" dxfId="0" priority="4">
      <formula>$AE5&lt;0</formula>
    </cfRule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ED7D31"/>
  </sheetPr>
  <dimension ref="A1:L265"/>
  <sheetViews>
    <sheetView showGridLines="0" workbookViewId="0">
      <pane xSplit="5" ySplit="3" topLeftCell="F102" activePane="bottomRight" state="frozen"/>
      <selection pane="topRight"/>
      <selection pane="bottomLeft"/>
      <selection pane="bottomRight" sqref="A1:K1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4" customWidth="1"/>
    <col min="5" max="5" width="7" customWidth="1"/>
    <col min="6" max="6" width="14" customWidth="1"/>
    <col min="7" max="9" width="13" customWidth="1"/>
    <col min="10" max="11" width="14" customWidth="1"/>
    <col min="12" max="12" width="22" customWidth="1"/>
  </cols>
  <sheetData>
    <row r="1" spans="1:12" ht="27.95" customHeight="1" x14ac:dyDescent="0.25">
      <c r="A1" s="338" t="s">
        <v>246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</row>
    <row r="2" spans="1:12" ht="20.100000000000001" customHeight="1" x14ac:dyDescent="0.25">
      <c r="A2" s="337" t="s">
        <v>247</v>
      </c>
      <c r="B2" s="237"/>
      <c r="C2" s="237"/>
      <c r="D2" s="237"/>
      <c r="E2" s="237"/>
      <c r="F2" s="237"/>
      <c r="G2" s="237"/>
      <c r="H2" s="237"/>
      <c r="I2" s="237"/>
      <c r="J2" s="237"/>
      <c r="K2" s="237"/>
    </row>
    <row r="3" spans="1:12" ht="36" customHeight="1" x14ac:dyDescent="0.25">
      <c r="A3" s="83" t="s">
        <v>186</v>
      </c>
      <c r="B3" s="83" t="s">
        <v>187</v>
      </c>
      <c r="C3" s="83" t="s">
        <v>188</v>
      </c>
      <c r="D3" s="83" t="s">
        <v>145</v>
      </c>
      <c r="E3" s="83" t="s">
        <v>189</v>
      </c>
      <c r="F3" s="83" t="s">
        <v>190</v>
      </c>
      <c r="G3" s="199" t="s">
        <v>248</v>
      </c>
      <c r="H3" s="199" t="s">
        <v>249</v>
      </c>
      <c r="I3" s="83" t="s">
        <v>250</v>
      </c>
      <c r="J3" s="83" t="s">
        <v>197</v>
      </c>
      <c r="K3" s="83" t="s">
        <v>251</v>
      </c>
      <c r="L3" s="83" t="s">
        <v>252</v>
      </c>
    </row>
    <row r="4" spans="1:12" ht="15.95" customHeight="1" x14ac:dyDescent="0.25">
      <c r="A4" s="43">
        <v>1</v>
      </c>
      <c r="B4" s="44">
        <v>46023</v>
      </c>
      <c r="C4" s="45" t="s">
        <v>204</v>
      </c>
      <c r="D4" s="43">
        <v>1</v>
      </c>
      <c r="E4" s="46">
        <v>1</v>
      </c>
      <c r="F4" s="9">
        <f>PARAMETRES!C12</f>
        <v>4254897</v>
      </c>
      <c r="G4" s="200">
        <f>'SUIVI 2026'!K4</f>
        <v>0</v>
      </c>
      <c r="H4" s="201">
        <f>'SUIVI 2026'!L4</f>
        <v>0</v>
      </c>
      <c r="I4" s="202">
        <v>0</v>
      </c>
      <c r="J4" s="203">
        <f t="shared" ref="J4:J67" si="0">F4+G4-H4-I4</f>
        <v>4254897</v>
      </c>
      <c r="K4" s="197">
        <v>0</v>
      </c>
      <c r="L4" s="52"/>
    </row>
    <row r="5" spans="1:12" ht="15.95" customHeight="1" x14ac:dyDescent="0.25">
      <c r="A5" s="43">
        <v>2</v>
      </c>
      <c r="B5" s="44">
        <v>46024</v>
      </c>
      <c r="C5" s="45" t="s">
        <v>205</v>
      </c>
      <c r="D5" s="43">
        <v>1</v>
      </c>
      <c r="E5" s="46">
        <v>1</v>
      </c>
      <c r="F5" s="204">
        <f t="shared" ref="F5:F68" si="1">J4</f>
        <v>4254897</v>
      </c>
      <c r="G5" s="200">
        <f>'SUIVI 2026'!K5</f>
        <v>0</v>
      </c>
      <c r="H5" s="201">
        <f>'SUIVI 2026'!L5</f>
        <v>0</v>
      </c>
      <c r="I5" s="202">
        <v>0</v>
      </c>
      <c r="J5" s="203">
        <f t="shared" si="0"/>
        <v>4254897</v>
      </c>
      <c r="K5" s="197">
        <v>0</v>
      </c>
      <c r="L5" s="52"/>
    </row>
    <row r="6" spans="1:12" ht="15.95" customHeight="1" x14ac:dyDescent="0.25">
      <c r="A6" s="43">
        <v>3</v>
      </c>
      <c r="B6" s="44">
        <v>46027</v>
      </c>
      <c r="C6" s="45" t="s">
        <v>206</v>
      </c>
      <c r="D6" s="43">
        <v>1</v>
      </c>
      <c r="E6" s="46">
        <v>1</v>
      </c>
      <c r="F6" s="204">
        <f t="shared" si="1"/>
        <v>4254897</v>
      </c>
      <c r="G6" s="200">
        <f>'SUIVI 2026'!K6</f>
        <v>0</v>
      </c>
      <c r="H6" s="201">
        <f>'SUIVI 2026'!L6</f>
        <v>0</v>
      </c>
      <c r="I6" s="202">
        <v>0</v>
      </c>
      <c r="J6" s="203">
        <f t="shared" si="0"/>
        <v>4254897</v>
      </c>
      <c r="K6" s="197">
        <v>0</v>
      </c>
      <c r="L6" s="52"/>
    </row>
    <row r="7" spans="1:12" ht="15.95" customHeight="1" x14ac:dyDescent="0.25">
      <c r="A7" s="43">
        <v>4</v>
      </c>
      <c r="B7" s="44">
        <v>46028</v>
      </c>
      <c r="C7" s="45" t="s">
        <v>207</v>
      </c>
      <c r="D7" s="43">
        <v>1</v>
      </c>
      <c r="E7" s="46">
        <v>1</v>
      </c>
      <c r="F7" s="204">
        <f t="shared" si="1"/>
        <v>4254897</v>
      </c>
      <c r="G7" s="200">
        <f>'SUIVI 2026'!K7</f>
        <v>0</v>
      </c>
      <c r="H7" s="201">
        <f>'SUIVI 2026'!L7</f>
        <v>0</v>
      </c>
      <c r="I7" s="202">
        <v>0</v>
      </c>
      <c r="J7" s="203">
        <f t="shared" si="0"/>
        <v>4254897</v>
      </c>
      <c r="K7" s="197">
        <v>0</v>
      </c>
      <c r="L7" s="52"/>
    </row>
    <row r="8" spans="1:12" ht="15.95" customHeight="1" x14ac:dyDescent="0.25">
      <c r="A8" s="43">
        <v>5</v>
      </c>
      <c r="B8" s="44">
        <v>46029</v>
      </c>
      <c r="C8" s="45" t="s">
        <v>208</v>
      </c>
      <c r="D8" s="43">
        <v>1</v>
      </c>
      <c r="E8" s="46">
        <v>1</v>
      </c>
      <c r="F8" s="204">
        <f t="shared" si="1"/>
        <v>4254897</v>
      </c>
      <c r="G8" s="200">
        <f>'SUIVI 2026'!K8</f>
        <v>0</v>
      </c>
      <c r="H8" s="201">
        <f>'SUIVI 2026'!L8</f>
        <v>0</v>
      </c>
      <c r="I8" s="202">
        <v>0</v>
      </c>
      <c r="J8" s="203">
        <f t="shared" si="0"/>
        <v>4254897</v>
      </c>
      <c r="K8" s="197">
        <v>0</v>
      </c>
      <c r="L8" s="52"/>
    </row>
    <row r="9" spans="1:12" ht="15.95" customHeight="1" x14ac:dyDescent="0.25">
      <c r="A9" s="43">
        <v>6</v>
      </c>
      <c r="B9" s="44">
        <v>46030</v>
      </c>
      <c r="C9" s="45" t="s">
        <v>204</v>
      </c>
      <c r="D9" s="43">
        <v>1</v>
      </c>
      <c r="E9" s="46">
        <v>1</v>
      </c>
      <c r="F9" s="204">
        <f t="shared" si="1"/>
        <v>4254897</v>
      </c>
      <c r="G9" s="200">
        <f>'SUIVI 2026'!K9</f>
        <v>0</v>
      </c>
      <c r="H9" s="201">
        <f>'SUIVI 2026'!L9</f>
        <v>0</v>
      </c>
      <c r="I9" s="202">
        <v>0</v>
      </c>
      <c r="J9" s="203">
        <f t="shared" si="0"/>
        <v>4254897</v>
      </c>
      <c r="K9" s="197">
        <v>0</v>
      </c>
      <c r="L9" s="52"/>
    </row>
    <row r="10" spans="1:12" ht="15.95" customHeight="1" x14ac:dyDescent="0.25">
      <c r="A10" s="43">
        <v>7</v>
      </c>
      <c r="B10" s="44">
        <v>46031</v>
      </c>
      <c r="C10" s="45" t="s">
        <v>205</v>
      </c>
      <c r="D10" s="43">
        <v>1</v>
      </c>
      <c r="E10" s="46">
        <v>1</v>
      </c>
      <c r="F10" s="204">
        <f t="shared" si="1"/>
        <v>4254897</v>
      </c>
      <c r="G10" s="200">
        <f>'SUIVI 2026'!K10</f>
        <v>0</v>
      </c>
      <c r="H10" s="201">
        <f>'SUIVI 2026'!L10</f>
        <v>0</v>
      </c>
      <c r="I10" s="202">
        <v>0</v>
      </c>
      <c r="J10" s="203">
        <f t="shared" si="0"/>
        <v>4254897</v>
      </c>
      <c r="K10" s="197">
        <v>0</v>
      </c>
      <c r="L10" s="52"/>
    </row>
    <row r="11" spans="1:12" ht="15.95" customHeight="1" x14ac:dyDescent="0.25">
      <c r="A11" s="43">
        <v>8</v>
      </c>
      <c r="B11" s="44">
        <v>46034</v>
      </c>
      <c r="C11" s="45" t="s">
        <v>206</v>
      </c>
      <c r="D11" s="43">
        <v>1</v>
      </c>
      <c r="E11" s="46">
        <v>2</v>
      </c>
      <c r="F11" s="204">
        <f t="shared" si="1"/>
        <v>4254897</v>
      </c>
      <c r="G11" s="200">
        <f>'SUIVI 2026'!K11</f>
        <v>0</v>
      </c>
      <c r="H11" s="201">
        <f>'SUIVI 2026'!L11</f>
        <v>0</v>
      </c>
      <c r="I11" s="202">
        <v>0</v>
      </c>
      <c r="J11" s="203">
        <f t="shared" si="0"/>
        <v>4254897</v>
      </c>
      <c r="K11" s="197">
        <v>0</v>
      </c>
      <c r="L11" s="52"/>
    </row>
    <row r="12" spans="1:12" ht="15.95" customHeight="1" x14ac:dyDescent="0.25">
      <c r="A12" s="43">
        <v>9</v>
      </c>
      <c r="B12" s="44">
        <v>46035</v>
      </c>
      <c r="C12" s="45" t="s">
        <v>207</v>
      </c>
      <c r="D12" s="43">
        <v>1</v>
      </c>
      <c r="E12" s="46">
        <v>2</v>
      </c>
      <c r="F12" s="204">
        <f t="shared" si="1"/>
        <v>4254897</v>
      </c>
      <c r="G12" s="200">
        <f>'SUIVI 2026'!K12</f>
        <v>0</v>
      </c>
      <c r="H12" s="201">
        <f>'SUIVI 2026'!L12</f>
        <v>0</v>
      </c>
      <c r="I12" s="202">
        <v>0</v>
      </c>
      <c r="J12" s="203">
        <f t="shared" si="0"/>
        <v>4254897</v>
      </c>
      <c r="K12" s="197">
        <v>0</v>
      </c>
      <c r="L12" s="52"/>
    </row>
    <row r="13" spans="1:12" ht="15.95" customHeight="1" x14ac:dyDescent="0.25">
      <c r="A13" s="43">
        <v>10</v>
      </c>
      <c r="B13" s="44">
        <v>46036</v>
      </c>
      <c r="C13" s="45" t="s">
        <v>208</v>
      </c>
      <c r="D13" s="43">
        <v>1</v>
      </c>
      <c r="E13" s="46">
        <v>2</v>
      </c>
      <c r="F13" s="204">
        <f t="shared" si="1"/>
        <v>4254897</v>
      </c>
      <c r="G13" s="200">
        <f>'SUIVI 2026'!K13</f>
        <v>0</v>
      </c>
      <c r="H13" s="201">
        <f>'SUIVI 2026'!L13</f>
        <v>0</v>
      </c>
      <c r="I13" s="202">
        <v>0</v>
      </c>
      <c r="J13" s="203">
        <f t="shared" si="0"/>
        <v>4254897</v>
      </c>
      <c r="K13" s="197">
        <v>0</v>
      </c>
      <c r="L13" s="52"/>
    </row>
    <row r="14" spans="1:12" ht="15.95" customHeight="1" x14ac:dyDescent="0.25">
      <c r="A14" s="43">
        <v>11</v>
      </c>
      <c r="B14" s="44">
        <v>46037</v>
      </c>
      <c r="C14" s="45" t="s">
        <v>204</v>
      </c>
      <c r="D14" s="43">
        <v>1</v>
      </c>
      <c r="E14" s="46">
        <v>2</v>
      </c>
      <c r="F14" s="204">
        <f t="shared" si="1"/>
        <v>4254897</v>
      </c>
      <c r="G14" s="200">
        <f>'SUIVI 2026'!K14</f>
        <v>0</v>
      </c>
      <c r="H14" s="201">
        <f>'SUIVI 2026'!L14</f>
        <v>0</v>
      </c>
      <c r="I14" s="202">
        <v>0</v>
      </c>
      <c r="J14" s="203">
        <f t="shared" si="0"/>
        <v>4254897</v>
      </c>
      <c r="K14" s="197">
        <v>0</v>
      </c>
      <c r="L14" s="52"/>
    </row>
    <row r="15" spans="1:12" ht="15.95" customHeight="1" x14ac:dyDescent="0.25">
      <c r="A15" s="43">
        <v>12</v>
      </c>
      <c r="B15" s="44">
        <v>46038</v>
      </c>
      <c r="C15" s="45" t="s">
        <v>205</v>
      </c>
      <c r="D15" s="43">
        <v>1</v>
      </c>
      <c r="E15" s="46">
        <v>2</v>
      </c>
      <c r="F15" s="204">
        <f t="shared" si="1"/>
        <v>4254897</v>
      </c>
      <c r="G15" s="200">
        <f>'SUIVI 2026'!K15</f>
        <v>0</v>
      </c>
      <c r="H15" s="201">
        <f>'SUIVI 2026'!L15</f>
        <v>0</v>
      </c>
      <c r="I15" s="202">
        <v>0</v>
      </c>
      <c r="J15" s="203">
        <f t="shared" si="0"/>
        <v>4254897</v>
      </c>
      <c r="K15" s="197">
        <v>0</v>
      </c>
      <c r="L15" s="52"/>
    </row>
    <row r="16" spans="1:12" ht="15.95" customHeight="1" x14ac:dyDescent="0.25">
      <c r="A16" s="43">
        <v>13</v>
      </c>
      <c r="B16" s="44">
        <v>46041</v>
      </c>
      <c r="C16" s="45" t="s">
        <v>206</v>
      </c>
      <c r="D16" s="43">
        <v>1</v>
      </c>
      <c r="E16" s="46">
        <v>2</v>
      </c>
      <c r="F16" s="204">
        <f t="shared" si="1"/>
        <v>4254897</v>
      </c>
      <c r="G16" s="200">
        <f>'SUIVI 2026'!K16</f>
        <v>0</v>
      </c>
      <c r="H16" s="201">
        <f>'SUIVI 2026'!L16</f>
        <v>0</v>
      </c>
      <c r="I16" s="202">
        <v>0</v>
      </c>
      <c r="J16" s="203">
        <f t="shared" si="0"/>
        <v>4254897</v>
      </c>
      <c r="K16" s="197">
        <v>0</v>
      </c>
      <c r="L16" s="52"/>
    </row>
    <row r="17" spans="1:12" ht="15.95" customHeight="1" x14ac:dyDescent="0.25">
      <c r="A17" s="43">
        <v>14</v>
      </c>
      <c r="B17" s="44">
        <v>46042</v>
      </c>
      <c r="C17" s="45" t="s">
        <v>207</v>
      </c>
      <c r="D17" s="43">
        <v>1</v>
      </c>
      <c r="E17" s="46">
        <v>2</v>
      </c>
      <c r="F17" s="204">
        <f t="shared" si="1"/>
        <v>4254897</v>
      </c>
      <c r="G17" s="200">
        <f>'SUIVI 2026'!K17</f>
        <v>0</v>
      </c>
      <c r="H17" s="201">
        <f>'SUIVI 2026'!L17</f>
        <v>0</v>
      </c>
      <c r="I17" s="202">
        <v>0</v>
      </c>
      <c r="J17" s="203">
        <f t="shared" si="0"/>
        <v>4254897</v>
      </c>
      <c r="K17" s="197">
        <v>0</v>
      </c>
      <c r="L17" s="52"/>
    </row>
    <row r="18" spans="1:12" ht="15.95" customHeight="1" x14ac:dyDescent="0.25">
      <c r="A18" s="43">
        <v>15</v>
      </c>
      <c r="B18" s="44">
        <v>46043</v>
      </c>
      <c r="C18" s="45" t="s">
        <v>208</v>
      </c>
      <c r="D18" s="43">
        <v>1</v>
      </c>
      <c r="E18" s="46">
        <v>3</v>
      </c>
      <c r="F18" s="204">
        <f t="shared" si="1"/>
        <v>4254897</v>
      </c>
      <c r="G18" s="200">
        <f>'SUIVI 2026'!K18</f>
        <v>0</v>
      </c>
      <c r="H18" s="201">
        <f>'SUIVI 2026'!L18</f>
        <v>0</v>
      </c>
      <c r="I18" s="202">
        <v>0</v>
      </c>
      <c r="J18" s="203">
        <f t="shared" si="0"/>
        <v>4254897</v>
      </c>
      <c r="K18" s="197">
        <v>0</v>
      </c>
      <c r="L18" s="52"/>
    </row>
    <row r="19" spans="1:12" ht="15.95" customHeight="1" x14ac:dyDescent="0.25">
      <c r="A19" s="43">
        <v>16</v>
      </c>
      <c r="B19" s="44">
        <v>46044</v>
      </c>
      <c r="C19" s="45" t="s">
        <v>204</v>
      </c>
      <c r="D19" s="43">
        <v>1</v>
      </c>
      <c r="E19" s="46">
        <v>3</v>
      </c>
      <c r="F19" s="204">
        <f t="shared" si="1"/>
        <v>4254897</v>
      </c>
      <c r="G19" s="200">
        <f>'SUIVI 2026'!K19</f>
        <v>0</v>
      </c>
      <c r="H19" s="201">
        <f>'SUIVI 2026'!L19</f>
        <v>0</v>
      </c>
      <c r="I19" s="202">
        <v>0</v>
      </c>
      <c r="J19" s="203">
        <f t="shared" si="0"/>
        <v>4254897</v>
      </c>
      <c r="K19" s="197">
        <v>0</v>
      </c>
      <c r="L19" s="52"/>
    </row>
    <row r="20" spans="1:12" ht="15.95" customHeight="1" x14ac:dyDescent="0.25">
      <c r="A20" s="43">
        <v>17</v>
      </c>
      <c r="B20" s="44">
        <v>46045</v>
      </c>
      <c r="C20" s="45" t="s">
        <v>205</v>
      </c>
      <c r="D20" s="43">
        <v>1</v>
      </c>
      <c r="E20" s="46">
        <v>3</v>
      </c>
      <c r="F20" s="204">
        <f t="shared" si="1"/>
        <v>4254897</v>
      </c>
      <c r="G20" s="200">
        <f>'SUIVI 2026'!K20</f>
        <v>0</v>
      </c>
      <c r="H20" s="201">
        <f>'SUIVI 2026'!L20</f>
        <v>0</v>
      </c>
      <c r="I20" s="202">
        <v>0</v>
      </c>
      <c r="J20" s="203">
        <f t="shared" si="0"/>
        <v>4254897</v>
      </c>
      <c r="K20" s="197">
        <v>0</v>
      </c>
      <c r="L20" s="52"/>
    </row>
    <row r="21" spans="1:12" ht="15.95" customHeight="1" x14ac:dyDescent="0.25">
      <c r="A21" s="43">
        <v>18</v>
      </c>
      <c r="B21" s="44">
        <v>46048</v>
      </c>
      <c r="C21" s="45" t="s">
        <v>206</v>
      </c>
      <c r="D21" s="43">
        <v>1</v>
      </c>
      <c r="E21" s="46">
        <v>3</v>
      </c>
      <c r="F21" s="204">
        <f t="shared" si="1"/>
        <v>4254897</v>
      </c>
      <c r="G21" s="200">
        <f>'SUIVI 2026'!K21</f>
        <v>0</v>
      </c>
      <c r="H21" s="201">
        <f>'SUIVI 2026'!L21</f>
        <v>0</v>
      </c>
      <c r="I21" s="202">
        <v>0</v>
      </c>
      <c r="J21" s="203">
        <f t="shared" si="0"/>
        <v>4254897</v>
      </c>
      <c r="K21" s="197">
        <v>0</v>
      </c>
      <c r="L21" s="52"/>
    </row>
    <row r="22" spans="1:12" ht="15.95" customHeight="1" x14ac:dyDescent="0.25">
      <c r="A22" s="43">
        <v>19</v>
      </c>
      <c r="B22" s="44">
        <v>46049</v>
      </c>
      <c r="C22" s="45" t="s">
        <v>207</v>
      </c>
      <c r="D22" s="43">
        <v>1</v>
      </c>
      <c r="E22" s="46">
        <v>3</v>
      </c>
      <c r="F22" s="204">
        <f t="shared" si="1"/>
        <v>4254897</v>
      </c>
      <c r="G22" s="200">
        <f>'SUIVI 2026'!K22</f>
        <v>0</v>
      </c>
      <c r="H22" s="201">
        <f>'SUIVI 2026'!L22</f>
        <v>0</v>
      </c>
      <c r="I22" s="202">
        <v>0</v>
      </c>
      <c r="J22" s="203">
        <f t="shared" si="0"/>
        <v>4254897</v>
      </c>
      <c r="K22" s="197">
        <v>0</v>
      </c>
      <c r="L22" s="52"/>
    </row>
    <row r="23" spans="1:12" ht="15.95" customHeight="1" x14ac:dyDescent="0.25">
      <c r="A23" s="43">
        <v>20</v>
      </c>
      <c r="B23" s="44">
        <v>46050</v>
      </c>
      <c r="C23" s="45" t="s">
        <v>208</v>
      </c>
      <c r="D23" s="43">
        <v>1</v>
      </c>
      <c r="E23" s="46">
        <v>3</v>
      </c>
      <c r="F23" s="204">
        <f t="shared" si="1"/>
        <v>4254897</v>
      </c>
      <c r="G23" s="200">
        <f>'SUIVI 2026'!K23</f>
        <v>0</v>
      </c>
      <c r="H23" s="201">
        <f>'SUIVI 2026'!L23</f>
        <v>0</v>
      </c>
      <c r="I23" s="202">
        <v>0</v>
      </c>
      <c r="J23" s="203">
        <f t="shared" si="0"/>
        <v>4254897</v>
      </c>
      <c r="K23" s="197">
        <v>0</v>
      </c>
      <c r="L23" s="52"/>
    </row>
    <row r="24" spans="1:12" ht="15.95" customHeight="1" x14ac:dyDescent="0.25">
      <c r="A24" s="43">
        <v>21</v>
      </c>
      <c r="B24" s="44">
        <v>46051</v>
      </c>
      <c r="C24" s="45" t="s">
        <v>204</v>
      </c>
      <c r="D24" s="43">
        <v>1</v>
      </c>
      <c r="E24" s="46">
        <v>3</v>
      </c>
      <c r="F24" s="204">
        <f t="shared" si="1"/>
        <v>4254897</v>
      </c>
      <c r="G24" s="200">
        <f>'SUIVI 2026'!K24</f>
        <v>0</v>
      </c>
      <c r="H24" s="201">
        <f>'SUIVI 2026'!L24</f>
        <v>0</v>
      </c>
      <c r="I24" s="202">
        <v>0</v>
      </c>
      <c r="J24" s="203">
        <f t="shared" si="0"/>
        <v>4254897</v>
      </c>
      <c r="K24" s="197">
        <v>0</v>
      </c>
      <c r="L24" s="52"/>
    </row>
    <row r="25" spans="1:12" ht="15.95" customHeight="1" x14ac:dyDescent="0.25">
      <c r="A25" s="43">
        <v>22</v>
      </c>
      <c r="B25" s="44">
        <v>46052</v>
      </c>
      <c r="C25" s="45" t="s">
        <v>205</v>
      </c>
      <c r="D25" s="43">
        <v>1</v>
      </c>
      <c r="E25" s="46">
        <v>3</v>
      </c>
      <c r="F25" s="204">
        <f t="shared" si="1"/>
        <v>4254897</v>
      </c>
      <c r="G25" s="200">
        <f>'SUIVI 2026'!K25</f>
        <v>0</v>
      </c>
      <c r="H25" s="201">
        <f>'SUIVI 2026'!L25</f>
        <v>0</v>
      </c>
      <c r="I25" s="202">
        <v>0</v>
      </c>
      <c r="J25" s="203">
        <f t="shared" si="0"/>
        <v>4254897</v>
      </c>
      <c r="K25" s="197">
        <v>0</v>
      </c>
      <c r="L25" s="52"/>
    </row>
    <row r="26" spans="1:12" ht="15.95" customHeight="1" x14ac:dyDescent="0.25">
      <c r="A26" s="53">
        <v>23</v>
      </c>
      <c r="B26" s="54">
        <v>46055</v>
      </c>
      <c r="C26" s="55" t="s">
        <v>206</v>
      </c>
      <c r="D26" s="53">
        <v>2</v>
      </c>
      <c r="E26" s="56">
        <v>4</v>
      </c>
      <c r="F26" s="205">
        <f t="shared" si="1"/>
        <v>4254897</v>
      </c>
      <c r="G26" s="200">
        <f>'SUIVI 2026'!K26</f>
        <v>0</v>
      </c>
      <c r="H26" s="201">
        <f>'SUIVI 2026'!L26</f>
        <v>0</v>
      </c>
      <c r="I26" s="202">
        <v>0</v>
      </c>
      <c r="J26" s="203">
        <f t="shared" si="0"/>
        <v>4254897</v>
      </c>
      <c r="K26" s="197">
        <v>0</v>
      </c>
      <c r="L26" s="57"/>
    </row>
    <row r="27" spans="1:12" ht="15.95" customHeight="1" x14ac:dyDescent="0.25">
      <c r="A27" s="53">
        <v>24</v>
      </c>
      <c r="B27" s="54">
        <v>46056</v>
      </c>
      <c r="C27" s="55" t="s">
        <v>207</v>
      </c>
      <c r="D27" s="53">
        <v>2</v>
      </c>
      <c r="E27" s="56">
        <v>4</v>
      </c>
      <c r="F27" s="205">
        <f t="shared" si="1"/>
        <v>4254897</v>
      </c>
      <c r="G27" s="200">
        <f>'SUIVI 2026'!K27</f>
        <v>0</v>
      </c>
      <c r="H27" s="201">
        <f>'SUIVI 2026'!L27</f>
        <v>0</v>
      </c>
      <c r="I27" s="202">
        <v>0</v>
      </c>
      <c r="J27" s="203">
        <f t="shared" si="0"/>
        <v>4254897</v>
      </c>
      <c r="K27" s="197">
        <v>0</v>
      </c>
      <c r="L27" s="57"/>
    </row>
    <row r="28" spans="1:12" ht="15.95" customHeight="1" x14ac:dyDescent="0.25">
      <c r="A28" s="53">
        <v>25</v>
      </c>
      <c r="B28" s="54">
        <v>46057</v>
      </c>
      <c r="C28" s="55" t="s">
        <v>208</v>
      </c>
      <c r="D28" s="53">
        <v>2</v>
      </c>
      <c r="E28" s="56">
        <v>4</v>
      </c>
      <c r="F28" s="205">
        <f t="shared" si="1"/>
        <v>4254897</v>
      </c>
      <c r="G28" s="200">
        <f>'SUIVI 2026'!K28</f>
        <v>0</v>
      </c>
      <c r="H28" s="201">
        <f>'SUIVI 2026'!L28</f>
        <v>0</v>
      </c>
      <c r="I28" s="202">
        <v>0</v>
      </c>
      <c r="J28" s="203">
        <f t="shared" si="0"/>
        <v>4254897</v>
      </c>
      <c r="K28" s="197">
        <v>0</v>
      </c>
      <c r="L28" s="57"/>
    </row>
    <row r="29" spans="1:12" ht="15.95" customHeight="1" x14ac:dyDescent="0.25">
      <c r="A29" s="53">
        <v>26</v>
      </c>
      <c r="B29" s="54">
        <v>46058</v>
      </c>
      <c r="C29" s="55" t="s">
        <v>204</v>
      </c>
      <c r="D29" s="53">
        <v>2</v>
      </c>
      <c r="E29" s="56">
        <v>4</v>
      </c>
      <c r="F29" s="205">
        <f t="shared" si="1"/>
        <v>4254897</v>
      </c>
      <c r="G29" s="200">
        <f>'SUIVI 2026'!K29</f>
        <v>0</v>
      </c>
      <c r="H29" s="201">
        <f>'SUIVI 2026'!L29</f>
        <v>0</v>
      </c>
      <c r="I29" s="202">
        <v>0</v>
      </c>
      <c r="J29" s="203">
        <f t="shared" si="0"/>
        <v>4254897</v>
      </c>
      <c r="K29" s="197">
        <v>0</v>
      </c>
      <c r="L29" s="57"/>
    </row>
    <row r="30" spans="1:12" ht="15.95" customHeight="1" x14ac:dyDescent="0.25">
      <c r="A30" s="53">
        <v>27</v>
      </c>
      <c r="B30" s="54">
        <v>46059</v>
      </c>
      <c r="C30" s="55" t="s">
        <v>205</v>
      </c>
      <c r="D30" s="53">
        <v>2</v>
      </c>
      <c r="E30" s="56">
        <v>4</v>
      </c>
      <c r="F30" s="205">
        <f t="shared" si="1"/>
        <v>4254897</v>
      </c>
      <c r="G30" s="200">
        <f>'SUIVI 2026'!K30</f>
        <v>0</v>
      </c>
      <c r="H30" s="201">
        <f>'SUIVI 2026'!L30</f>
        <v>0</v>
      </c>
      <c r="I30" s="202">
        <v>0</v>
      </c>
      <c r="J30" s="203">
        <f t="shared" si="0"/>
        <v>4254897</v>
      </c>
      <c r="K30" s="197">
        <v>0</v>
      </c>
      <c r="L30" s="57"/>
    </row>
    <row r="31" spans="1:12" ht="15.95" customHeight="1" x14ac:dyDescent="0.25">
      <c r="A31" s="53">
        <v>28</v>
      </c>
      <c r="B31" s="54">
        <v>46062</v>
      </c>
      <c r="C31" s="55" t="s">
        <v>206</v>
      </c>
      <c r="D31" s="53">
        <v>2</v>
      </c>
      <c r="E31" s="56">
        <v>4</v>
      </c>
      <c r="F31" s="205">
        <f t="shared" si="1"/>
        <v>4254897</v>
      </c>
      <c r="G31" s="200">
        <f>'SUIVI 2026'!K31</f>
        <v>0</v>
      </c>
      <c r="H31" s="201">
        <f>'SUIVI 2026'!L31</f>
        <v>0</v>
      </c>
      <c r="I31" s="202">
        <v>0</v>
      </c>
      <c r="J31" s="203">
        <f t="shared" si="0"/>
        <v>4254897</v>
      </c>
      <c r="K31" s="197">
        <v>0</v>
      </c>
      <c r="L31" s="57"/>
    </row>
    <row r="32" spans="1:12" ht="15.95" customHeight="1" x14ac:dyDescent="0.25">
      <c r="A32" s="53">
        <v>29</v>
      </c>
      <c r="B32" s="54">
        <v>46063</v>
      </c>
      <c r="C32" s="55" t="s">
        <v>207</v>
      </c>
      <c r="D32" s="53">
        <v>2</v>
      </c>
      <c r="E32" s="56">
        <v>4</v>
      </c>
      <c r="F32" s="205">
        <f t="shared" si="1"/>
        <v>4254897</v>
      </c>
      <c r="G32" s="200">
        <f>'SUIVI 2026'!K32</f>
        <v>0</v>
      </c>
      <c r="H32" s="201">
        <f>'SUIVI 2026'!L32</f>
        <v>0</v>
      </c>
      <c r="I32" s="202">
        <v>0</v>
      </c>
      <c r="J32" s="203">
        <f t="shared" si="0"/>
        <v>4254897</v>
      </c>
      <c r="K32" s="197">
        <v>0</v>
      </c>
      <c r="L32" s="57"/>
    </row>
    <row r="33" spans="1:12" ht="15.95" customHeight="1" x14ac:dyDescent="0.25">
      <c r="A33" s="53">
        <v>30</v>
      </c>
      <c r="B33" s="54">
        <v>46064</v>
      </c>
      <c r="C33" s="55" t="s">
        <v>208</v>
      </c>
      <c r="D33" s="53">
        <v>2</v>
      </c>
      <c r="E33" s="56">
        <v>5</v>
      </c>
      <c r="F33" s="205">
        <f t="shared" si="1"/>
        <v>4254897</v>
      </c>
      <c r="G33" s="200">
        <f>'SUIVI 2026'!K33</f>
        <v>0</v>
      </c>
      <c r="H33" s="201">
        <f>'SUIVI 2026'!L33</f>
        <v>0</v>
      </c>
      <c r="I33" s="202">
        <v>0</v>
      </c>
      <c r="J33" s="203">
        <f t="shared" si="0"/>
        <v>4254897</v>
      </c>
      <c r="K33" s="197">
        <v>0</v>
      </c>
      <c r="L33" s="57"/>
    </row>
    <row r="34" spans="1:12" ht="15.95" customHeight="1" x14ac:dyDescent="0.25">
      <c r="A34" s="53">
        <v>31</v>
      </c>
      <c r="B34" s="54">
        <v>46065</v>
      </c>
      <c r="C34" s="55" t="s">
        <v>204</v>
      </c>
      <c r="D34" s="53">
        <v>2</v>
      </c>
      <c r="E34" s="56">
        <v>5</v>
      </c>
      <c r="F34" s="205">
        <f t="shared" si="1"/>
        <v>4254897</v>
      </c>
      <c r="G34" s="200">
        <f>'SUIVI 2026'!K34</f>
        <v>0</v>
      </c>
      <c r="H34" s="201">
        <f>'SUIVI 2026'!L34</f>
        <v>0</v>
      </c>
      <c r="I34" s="202">
        <v>0</v>
      </c>
      <c r="J34" s="203">
        <f t="shared" si="0"/>
        <v>4254897</v>
      </c>
      <c r="K34" s="197">
        <v>0</v>
      </c>
      <c r="L34" s="57"/>
    </row>
    <row r="35" spans="1:12" ht="15.95" customHeight="1" x14ac:dyDescent="0.25">
      <c r="A35" s="53">
        <v>32</v>
      </c>
      <c r="B35" s="54">
        <v>46066</v>
      </c>
      <c r="C35" s="55" t="s">
        <v>205</v>
      </c>
      <c r="D35" s="53">
        <v>2</v>
      </c>
      <c r="E35" s="56">
        <v>5</v>
      </c>
      <c r="F35" s="205">
        <f t="shared" si="1"/>
        <v>4254897</v>
      </c>
      <c r="G35" s="200">
        <f>'SUIVI 2026'!K35</f>
        <v>0</v>
      </c>
      <c r="H35" s="201">
        <f>'SUIVI 2026'!L35</f>
        <v>0</v>
      </c>
      <c r="I35" s="202">
        <v>0</v>
      </c>
      <c r="J35" s="203">
        <f t="shared" si="0"/>
        <v>4254897</v>
      </c>
      <c r="K35" s="197">
        <v>0</v>
      </c>
      <c r="L35" s="57"/>
    </row>
    <row r="36" spans="1:12" ht="15.95" customHeight="1" x14ac:dyDescent="0.25">
      <c r="A36" s="53">
        <v>33</v>
      </c>
      <c r="B36" s="54">
        <v>46069</v>
      </c>
      <c r="C36" s="55" t="s">
        <v>206</v>
      </c>
      <c r="D36" s="53">
        <v>2</v>
      </c>
      <c r="E36" s="56">
        <v>5</v>
      </c>
      <c r="F36" s="205">
        <f t="shared" si="1"/>
        <v>4254897</v>
      </c>
      <c r="G36" s="200">
        <f>'SUIVI 2026'!K36</f>
        <v>0</v>
      </c>
      <c r="H36" s="201">
        <f>'SUIVI 2026'!L36</f>
        <v>0</v>
      </c>
      <c r="I36" s="202">
        <v>0</v>
      </c>
      <c r="J36" s="203">
        <f t="shared" si="0"/>
        <v>4254897</v>
      </c>
      <c r="K36" s="197">
        <v>0</v>
      </c>
      <c r="L36" s="57"/>
    </row>
    <row r="37" spans="1:12" ht="15.95" customHeight="1" x14ac:dyDescent="0.25">
      <c r="A37" s="53">
        <v>34</v>
      </c>
      <c r="B37" s="54">
        <v>46070</v>
      </c>
      <c r="C37" s="55" t="s">
        <v>207</v>
      </c>
      <c r="D37" s="53">
        <v>2</v>
      </c>
      <c r="E37" s="56">
        <v>5</v>
      </c>
      <c r="F37" s="205">
        <f t="shared" si="1"/>
        <v>4254897</v>
      </c>
      <c r="G37" s="200">
        <f>'SUIVI 2026'!K37</f>
        <v>0</v>
      </c>
      <c r="H37" s="201">
        <f>'SUIVI 2026'!L37</f>
        <v>0</v>
      </c>
      <c r="I37" s="202">
        <v>0</v>
      </c>
      <c r="J37" s="203">
        <f t="shared" si="0"/>
        <v>4254897</v>
      </c>
      <c r="K37" s="197">
        <v>0</v>
      </c>
      <c r="L37" s="57"/>
    </row>
    <row r="38" spans="1:12" ht="15.95" customHeight="1" x14ac:dyDescent="0.25">
      <c r="A38" s="53">
        <v>35</v>
      </c>
      <c r="B38" s="54">
        <v>46071</v>
      </c>
      <c r="C38" s="55" t="s">
        <v>208</v>
      </c>
      <c r="D38" s="53">
        <v>2</v>
      </c>
      <c r="E38" s="56">
        <v>5</v>
      </c>
      <c r="F38" s="205">
        <f t="shared" si="1"/>
        <v>4254897</v>
      </c>
      <c r="G38" s="200">
        <f>'SUIVI 2026'!K38</f>
        <v>0</v>
      </c>
      <c r="H38" s="201">
        <f>'SUIVI 2026'!L38</f>
        <v>0</v>
      </c>
      <c r="I38" s="202">
        <v>0</v>
      </c>
      <c r="J38" s="203">
        <f t="shared" si="0"/>
        <v>4254897</v>
      </c>
      <c r="K38" s="197">
        <v>0</v>
      </c>
      <c r="L38" s="57"/>
    </row>
    <row r="39" spans="1:12" ht="15.95" customHeight="1" x14ac:dyDescent="0.25">
      <c r="A39" s="53">
        <v>36</v>
      </c>
      <c r="B39" s="54">
        <v>46072</v>
      </c>
      <c r="C39" s="55" t="s">
        <v>204</v>
      </c>
      <c r="D39" s="53">
        <v>2</v>
      </c>
      <c r="E39" s="56">
        <v>5</v>
      </c>
      <c r="F39" s="205">
        <f t="shared" si="1"/>
        <v>4254897</v>
      </c>
      <c r="G39" s="200">
        <f>'SUIVI 2026'!K39</f>
        <v>0</v>
      </c>
      <c r="H39" s="201">
        <f>'SUIVI 2026'!L39</f>
        <v>0</v>
      </c>
      <c r="I39" s="202">
        <v>0</v>
      </c>
      <c r="J39" s="203">
        <f t="shared" si="0"/>
        <v>4254897</v>
      </c>
      <c r="K39" s="197">
        <v>0</v>
      </c>
      <c r="L39" s="57"/>
    </row>
    <row r="40" spans="1:12" ht="15.95" customHeight="1" x14ac:dyDescent="0.25">
      <c r="A40" s="53">
        <v>37</v>
      </c>
      <c r="B40" s="54">
        <v>46073</v>
      </c>
      <c r="C40" s="55" t="s">
        <v>205</v>
      </c>
      <c r="D40" s="53">
        <v>2</v>
      </c>
      <c r="E40" s="56">
        <v>5</v>
      </c>
      <c r="F40" s="205">
        <f t="shared" si="1"/>
        <v>4254897</v>
      </c>
      <c r="G40" s="200">
        <f>'SUIVI 2026'!K40</f>
        <v>0</v>
      </c>
      <c r="H40" s="201">
        <f>'SUIVI 2026'!L40</f>
        <v>0</v>
      </c>
      <c r="I40" s="202">
        <v>0</v>
      </c>
      <c r="J40" s="203">
        <f t="shared" si="0"/>
        <v>4254897</v>
      </c>
      <c r="K40" s="197">
        <v>0</v>
      </c>
      <c r="L40" s="57"/>
    </row>
    <row r="41" spans="1:12" ht="15.95" customHeight="1" x14ac:dyDescent="0.25">
      <c r="A41" s="53">
        <v>38</v>
      </c>
      <c r="B41" s="54">
        <v>46076</v>
      </c>
      <c r="C41" s="55" t="s">
        <v>206</v>
      </c>
      <c r="D41" s="53">
        <v>2</v>
      </c>
      <c r="E41" s="56">
        <v>6</v>
      </c>
      <c r="F41" s="205">
        <f t="shared" si="1"/>
        <v>4254897</v>
      </c>
      <c r="G41" s="200">
        <f>'SUIVI 2026'!K41</f>
        <v>0</v>
      </c>
      <c r="H41" s="201">
        <f>'SUIVI 2026'!L41</f>
        <v>0</v>
      </c>
      <c r="I41" s="202">
        <v>0</v>
      </c>
      <c r="J41" s="203">
        <f t="shared" si="0"/>
        <v>4254897</v>
      </c>
      <c r="K41" s="197">
        <v>0</v>
      </c>
      <c r="L41" s="57"/>
    </row>
    <row r="42" spans="1:12" ht="15.95" customHeight="1" x14ac:dyDescent="0.25">
      <c r="A42" s="53">
        <v>39</v>
      </c>
      <c r="B42" s="54">
        <v>46077</v>
      </c>
      <c r="C42" s="55" t="s">
        <v>207</v>
      </c>
      <c r="D42" s="53">
        <v>2</v>
      </c>
      <c r="E42" s="56">
        <v>6</v>
      </c>
      <c r="F42" s="205">
        <f t="shared" si="1"/>
        <v>4254897</v>
      </c>
      <c r="G42" s="200">
        <f>'SUIVI 2026'!K42</f>
        <v>0</v>
      </c>
      <c r="H42" s="201">
        <f>'SUIVI 2026'!L42</f>
        <v>0</v>
      </c>
      <c r="I42" s="202">
        <v>0</v>
      </c>
      <c r="J42" s="203">
        <f t="shared" si="0"/>
        <v>4254897</v>
      </c>
      <c r="K42" s="197">
        <v>0</v>
      </c>
      <c r="L42" s="57"/>
    </row>
    <row r="43" spans="1:12" ht="15.95" customHeight="1" x14ac:dyDescent="0.25">
      <c r="A43" s="53">
        <v>40</v>
      </c>
      <c r="B43" s="54">
        <v>46078</v>
      </c>
      <c r="C43" s="55" t="s">
        <v>208</v>
      </c>
      <c r="D43" s="53">
        <v>2</v>
      </c>
      <c r="E43" s="56">
        <v>6</v>
      </c>
      <c r="F43" s="205">
        <f t="shared" si="1"/>
        <v>4254897</v>
      </c>
      <c r="G43" s="200">
        <f>'SUIVI 2026'!K43</f>
        <v>0</v>
      </c>
      <c r="H43" s="201">
        <f>'SUIVI 2026'!L43</f>
        <v>0</v>
      </c>
      <c r="I43" s="202">
        <v>0</v>
      </c>
      <c r="J43" s="203">
        <f t="shared" si="0"/>
        <v>4254897</v>
      </c>
      <c r="K43" s="197">
        <v>0</v>
      </c>
      <c r="L43" s="57"/>
    </row>
    <row r="44" spans="1:12" ht="15.95" customHeight="1" x14ac:dyDescent="0.25">
      <c r="A44" s="53">
        <v>41</v>
      </c>
      <c r="B44" s="54">
        <v>46079</v>
      </c>
      <c r="C44" s="55" t="s">
        <v>204</v>
      </c>
      <c r="D44" s="53">
        <v>2</v>
      </c>
      <c r="E44" s="56">
        <v>6</v>
      </c>
      <c r="F44" s="205">
        <f t="shared" si="1"/>
        <v>4254897</v>
      </c>
      <c r="G44" s="200">
        <f>'SUIVI 2026'!K44</f>
        <v>0</v>
      </c>
      <c r="H44" s="201">
        <f>'SUIVI 2026'!L44</f>
        <v>0</v>
      </c>
      <c r="I44" s="202">
        <v>0</v>
      </c>
      <c r="J44" s="203">
        <f t="shared" si="0"/>
        <v>4254897</v>
      </c>
      <c r="K44" s="197">
        <v>0</v>
      </c>
      <c r="L44" s="57"/>
    </row>
    <row r="45" spans="1:12" ht="15.95" customHeight="1" x14ac:dyDescent="0.25">
      <c r="A45" s="53">
        <v>42</v>
      </c>
      <c r="B45" s="54">
        <v>46080</v>
      </c>
      <c r="C45" s="55" t="s">
        <v>205</v>
      </c>
      <c r="D45" s="53">
        <v>2</v>
      </c>
      <c r="E45" s="56">
        <v>6</v>
      </c>
      <c r="F45" s="205">
        <f t="shared" si="1"/>
        <v>4254897</v>
      </c>
      <c r="G45" s="200">
        <f>'SUIVI 2026'!K45</f>
        <v>0</v>
      </c>
      <c r="H45" s="201">
        <f>'SUIVI 2026'!L45</f>
        <v>0</v>
      </c>
      <c r="I45" s="202">
        <v>0</v>
      </c>
      <c r="J45" s="203">
        <f t="shared" si="0"/>
        <v>4254897</v>
      </c>
      <c r="K45" s="197">
        <v>0</v>
      </c>
      <c r="L45" s="57"/>
    </row>
    <row r="46" spans="1:12" ht="15.95" customHeight="1" x14ac:dyDescent="0.25">
      <c r="A46" s="58">
        <v>43</v>
      </c>
      <c r="B46" s="59">
        <v>46083</v>
      </c>
      <c r="C46" s="60" t="s">
        <v>206</v>
      </c>
      <c r="D46" s="58">
        <v>3</v>
      </c>
      <c r="E46" s="61">
        <v>7</v>
      </c>
      <c r="F46" s="206">
        <f t="shared" si="1"/>
        <v>4254897</v>
      </c>
      <c r="G46" s="200">
        <f>'SUIVI 2026'!K46</f>
        <v>0</v>
      </c>
      <c r="H46" s="201">
        <f>'SUIVI 2026'!L46</f>
        <v>0</v>
      </c>
      <c r="I46" s="202">
        <v>0</v>
      </c>
      <c r="J46" s="203">
        <f t="shared" si="0"/>
        <v>4254897</v>
      </c>
      <c r="K46" s="197">
        <v>0</v>
      </c>
      <c r="L46" s="62"/>
    </row>
    <row r="47" spans="1:12" ht="15.95" customHeight="1" x14ac:dyDescent="0.25">
      <c r="A47" s="58">
        <v>44</v>
      </c>
      <c r="B47" s="59">
        <v>46084</v>
      </c>
      <c r="C47" s="60" t="s">
        <v>207</v>
      </c>
      <c r="D47" s="58">
        <v>3</v>
      </c>
      <c r="E47" s="61">
        <v>7</v>
      </c>
      <c r="F47" s="206">
        <f t="shared" si="1"/>
        <v>4254897</v>
      </c>
      <c r="G47" s="200">
        <f>'SUIVI 2026'!K47</f>
        <v>0</v>
      </c>
      <c r="H47" s="201">
        <f>'SUIVI 2026'!L47</f>
        <v>0</v>
      </c>
      <c r="I47" s="202">
        <v>0</v>
      </c>
      <c r="J47" s="203">
        <f t="shared" si="0"/>
        <v>4254897</v>
      </c>
      <c r="K47" s="197">
        <v>0</v>
      </c>
      <c r="L47" s="62"/>
    </row>
    <row r="48" spans="1:12" ht="15.95" customHeight="1" x14ac:dyDescent="0.25">
      <c r="A48" s="58">
        <v>45</v>
      </c>
      <c r="B48" s="59">
        <v>46085</v>
      </c>
      <c r="C48" s="60" t="s">
        <v>208</v>
      </c>
      <c r="D48" s="58">
        <v>3</v>
      </c>
      <c r="E48" s="61">
        <v>7</v>
      </c>
      <c r="F48" s="206">
        <f t="shared" si="1"/>
        <v>4254897</v>
      </c>
      <c r="G48" s="200">
        <f>'SUIVI 2026'!K48</f>
        <v>0</v>
      </c>
      <c r="H48" s="201">
        <f>'SUIVI 2026'!L48</f>
        <v>0</v>
      </c>
      <c r="I48" s="202">
        <v>0</v>
      </c>
      <c r="J48" s="203">
        <f t="shared" si="0"/>
        <v>4254897</v>
      </c>
      <c r="K48" s="197">
        <v>0</v>
      </c>
      <c r="L48" s="62"/>
    </row>
    <row r="49" spans="1:12" ht="15.95" customHeight="1" x14ac:dyDescent="0.25">
      <c r="A49" s="58">
        <v>46</v>
      </c>
      <c r="B49" s="59">
        <v>46086</v>
      </c>
      <c r="C49" s="60" t="s">
        <v>204</v>
      </c>
      <c r="D49" s="58">
        <v>3</v>
      </c>
      <c r="E49" s="61">
        <v>7</v>
      </c>
      <c r="F49" s="206">
        <f t="shared" si="1"/>
        <v>4254897</v>
      </c>
      <c r="G49" s="200">
        <f>'SUIVI 2026'!K49</f>
        <v>0</v>
      </c>
      <c r="H49" s="201">
        <f>'SUIVI 2026'!L49</f>
        <v>0</v>
      </c>
      <c r="I49" s="202">
        <v>0</v>
      </c>
      <c r="J49" s="203">
        <f t="shared" si="0"/>
        <v>4254897</v>
      </c>
      <c r="K49" s="197">
        <v>0</v>
      </c>
      <c r="L49" s="62"/>
    </row>
    <row r="50" spans="1:12" ht="15.95" customHeight="1" x14ac:dyDescent="0.25">
      <c r="A50" s="58">
        <v>47</v>
      </c>
      <c r="B50" s="59">
        <v>46087</v>
      </c>
      <c r="C50" s="60" t="s">
        <v>205</v>
      </c>
      <c r="D50" s="58">
        <v>3</v>
      </c>
      <c r="E50" s="61">
        <v>7</v>
      </c>
      <c r="F50" s="206">
        <f t="shared" si="1"/>
        <v>4254897</v>
      </c>
      <c r="G50" s="200">
        <f>'SUIVI 2026'!K50</f>
        <v>0</v>
      </c>
      <c r="H50" s="201">
        <f>'SUIVI 2026'!L50</f>
        <v>0</v>
      </c>
      <c r="I50" s="202">
        <v>0</v>
      </c>
      <c r="J50" s="203">
        <f t="shared" si="0"/>
        <v>4254897</v>
      </c>
      <c r="K50" s="197">
        <v>0</v>
      </c>
      <c r="L50" s="62"/>
    </row>
    <row r="51" spans="1:12" ht="15.95" customHeight="1" x14ac:dyDescent="0.25">
      <c r="A51" s="58">
        <v>48</v>
      </c>
      <c r="B51" s="59">
        <v>46090</v>
      </c>
      <c r="C51" s="60" t="s">
        <v>206</v>
      </c>
      <c r="D51" s="58">
        <v>3</v>
      </c>
      <c r="E51" s="61">
        <v>7</v>
      </c>
      <c r="F51" s="206">
        <f t="shared" si="1"/>
        <v>4254897</v>
      </c>
      <c r="G51" s="200">
        <f>'SUIVI 2026'!K51</f>
        <v>0</v>
      </c>
      <c r="H51" s="201">
        <f>'SUIVI 2026'!L51</f>
        <v>0</v>
      </c>
      <c r="I51" s="202">
        <v>0</v>
      </c>
      <c r="J51" s="203">
        <f t="shared" si="0"/>
        <v>4254897</v>
      </c>
      <c r="K51" s="197">
        <v>0</v>
      </c>
      <c r="L51" s="62"/>
    </row>
    <row r="52" spans="1:12" ht="15.95" customHeight="1" x14ac:dyDescent="0.25">
      <c r="A52" s="58">
        <v>49</v>
      </c>
      <c r="B52" s="59">
        <v>46091</v>
      </c>
      <c r="C52" s="60" t="s">
        <v>207</v>
      </c>
      <c r="D52" s="58">
        <v>3</v>
      </c>
      <c r="E52" s="61">
        <v>7</v>
      </c>
      <c r="F52" s="206">
        <f t="shared" si="1"/>
        <v>4254897</v>
      </c>
      <c r="G52" s="200">
        <f>'SUIVI 2026'!K52</f>
        <v>0</v>
      </c>
      <c r="H52" s="201">
        <f>'SUIVI 2026'!L52</f>
        <v>0</v>
      </c>
      <c r="I52" s="202">
        <v>0</v>
      </c>
      <c r="J52" s="203">
        <f t="shared" si="0"/>
        <v>4254897</v>
      </c>
      <c r="K52" s="197">
        <v>0</v>
      </c>
      <c r="L52" s="62"/>
    </row>
    <row r="53" spans="1:12" ht="15.95" customHeight="1" x14ac:dyDescent="0.25">
      <c r="A53" s="58">
        <v>50</v>
      </c>
      <c r="B53" s="59">
        <v>46092</v>
      </c>
      <c r="C53" s="60" t="s">
        <v>208</v>
      </c>
      <c r="D53" s="58">
        <v>3</v>
      </c>
      <c r="E53" s="61">
        <v>8</v>
      </c>
      <c r="F53" s="206">
        <f t="shared" si="1"/>
        <v>4254897</v>
      </c>
      <c r="G53" s="200">
        <f>'SUIVI 2026'!K53</f>
        <v>0</v>
      </c>
      <c r="H53" s="201">
        <f>'SUIVI 2026'!L53</f>
        <v>0</v>
      </c>
      <c r="I53" s="202">
        <v>0</v>
      </c>
      <c r="J53" s="203">
        <f t="shared" si="0"/>
        <v>4254897</v>
      </c>
      <c r="K53" s="197">
        <v>0</v>
      </c>
      <c r="L53" s="62"/>
    </row>
    <row r="54" spans="1:12" ht="15.95" customHeight="1" x14ac:dyDescent="0.25">
      <c r="A54" s="58">
        <v>51</v>
      </c>
      <c r="B54" s="59">
        <v>46093</v>
      </c>
      <c r="C54" s="60" t="s">
        <v>204</v>
      </c>
      <c r="D54" s="58">
        <v>3</v>
      </c>
      <c r="E54" s="61">
        <v>8</v>
      </c>
      <c r="F54" s="206">
        <f t="shared" si="1"/>
        <v>4254897</v>
      </c>
      <c r="G54" s="200">
        <f>'SUIVI 2026'!K54</f>
        <v>0</v>
      </c>
      <c r="H54" s="201">
        <f>'SUIVI 2026'!L54</f>
        <v>0</v>
      </c>
      <c r="I54" s="202">
        <v>0</v>
      </c>
      <c r="J54" s="203">
        <f t="shared" si="0"/>
        <v>4254897</v>
      </c>
      <c r="K54" s="197">
        <v>0</v>
      </c>
      <c r="L54" s="62"/>
    </row>
    <row r="55" spans="1:12" ht="15.95" customHeight="1" x14ac:dyDescent="0.25">
      <c r="A55" s="58">
        <v>52</v>
      </c>
      <c r="B55" s="59">
        <v>46094</v>
      </c>
      <c r="C55" s="60" t="s">
        <v>205</v>
      </c>
      <c r="D55" s="58">
        <v>3</v>
      </c>
      <c r="E55" s="61">
        <v>8</v>
      </c>
      <c r="F55" s="206">
        <f t="shared" si="1"/>
        <v>4254897</v>
      </c>
      <c r="G55" s="200">
        <f>'SUIVI 2026'!K55</f>
        <v>0</v>
      </c>
      <c r="H55" s="201">
        <f>'SUIVI 2026'!L55</f>
        <v>0</v>
      </c>
      <c r="I55" s="202">
        <v>0</v>
      </c>
      <c r="J55" s="203">
        <f t="shared" si="0"/>
        <v>4254897</v>
      </c>
      <c r="K55" s="197">
        <v>0</v>
      </c>
      <c r="L55" s="62"/>
    </row>
    <row r="56" spans="1:12" ht="15.95" customHeight="1" x14ac:dyDescent="0.25">
      <c r="A56" s="58">
        <v>53</v>
      </c>
      <c r="B56" s="59">
        <v>46097</v>
      </c>
      <c r="C56" s="60" t="s">
        <v>206</v>
      </c>
      <c r="D56" s="58">
        <v>3</v>
      </c>
      <c r="E56" s="61">
        <v>8</v>
      </c>
      <c r="F56" s="206">
        <f t="shared" si="1"/>
        <v>4254897</v>
      </c>
      <c r="G56" s="200">
        <f>'SUIVI 2026'!K56</f>
        <v>0</v>
      </c>
      <c r="H56" s="201">
        <f>'SUIVI 2026'!L56</f>
        <v>0</v>
      </c>
      <c r="I56" s="202">
        <v>0</v>
      </c>
      <c r="J56" s="203">
        <f t="shared" si="0"/>
        <v>4254897</v>
      </c>
      <c r="K56" s="197">
        <v>0</v>
      </c>
      <c r="L56" s="62"/>
    </row>
    <row r="57" spans="1:12" ht="15.95" customHeight="1" x14ac:dyDescent="0.25">
      <c r="A57" s="58">
        <v>54</v>
      </c>
      <c r="B57" s="59">
        <v>46098</v>
      </c>
      <c r="C57" s="60" t="s">
        <v>207</v>
      </c>
      <c r="D57" s="58">
        <v>3</v>
      </c>
      <c r="E57" s="61">
        <v>8</v>
      </c>
      <c r="F57" s="206">
        <f t="shared" si="1"/>
        <v>4254897</v>
      </c>
      <c r="G57" s="200">
        <f>'SUIVI 2026'!K57</f>
        <v>0</v>
      </c>
      <c r="H57" s="201">
        <f>'SUIVI 2026'!L57</f>
        <v>0</v>
      </c>
      <c r="I57" s="202">
        <v>0</v>
      </c>
      <c r="J57" s="203">
        <f t="shared" si="0"/>
        <v>4254897</v>
      </c>
      <c r="K57" s="197">
        <v>0</v>
      </c>
      <c r="L57" s="62"/>
    </row>
    <row r="58" spans="1:12" ht="15.95" customHeight="1" x14ac:dyDescent="0.25">
      <c r="A58" s="58">
        <v>55</v>
      </c>
      <c r="B58" s="59">
        <v>46099</v>
      </c>
      <c r="C58" s="60" t="s">
        <v>208</v>
      </c>
      <c r="D58" s="58">
        <v>3</v>
      </c>
      <c r="E58" s="61">
        <v>8</v>
      </c>
      <c r="F58" s="206">
        <f t="shared" si="1"/>
        <v>4254897</v>
      </c>
      <c r="G58" s="200">
        <f>'SUIVI 2026'!K58</f>
        <v>0</v>
      </c>
      <c r="H58" s="201">
        <f>'SUIVI 2026'!L58</f>
        <v>0</v>
      </c>
      <c r="I58" s="202">
        <v>0</v>
      </c>
      <c r="J58" s="203">
        <f t="shared" si="0"/>
        <v>4254897</v>
      </c>
      <c r="K58" s="197">
        <v>0</v>
      </c>
      <c r="L58" s="62"/>
    </row>
    <row r="59" spans="1:12" ht="15.95" customHeight="1" x14ac:dyDescent="0.25">
      <c r="A59" s="58">
        <v>56</v>
      </c>
      <c r="B59" s="59">
        <v>46100</v>
      </c>
      <c r="C59" s="60" t="s">
        <v>204</v>
      </c>
      <c r="D59" s="58">
        <v>3</v>
      </c>
      <c r="E59" s="61">
        <v>8</v>
      </c>
      <c r="F59" s="206">
        <f t="shared" si="1"/>
        <v>4254897</v>
      </c>
      <c r="G59" s="200">
        <f>'SUIVI 2026'!K59</f>
        <v>0</v>
      </c>
      <c r="H59" s="201">
        <f>'SUIVI 2026'!L59</f>
        <v>0</v>
      </c>
      <c r="I59" s="202">
        <v>0</v>
      </c>
      <c r="J59" s="203">
        <f t="shared" si="0"/>
        <v>4254897</v>
      </c>
      <c r="K59" s="197">
        <v>0</v>
      </c>
      <c r="L59" s="62"/>
    </row>
    <row r="60" spans="1:12" ht="15.95" customHeight="1" x14ac:dyDescent="0.25">
      <c r="A60" s="58">
        <v>57</v>
      </c>
      <c r="B60" s="59">
        <v>46101</v>
      </c>
      <c r="C60" s="60" t="s">
        <v>205</v>
      </c>
      <c r="D60" s="58">
        <v>3</v>
      </c>
      <c r="E60" s="61">
        <v>8</v>
      </c>
      <c r="F60" s="206">
        <f t="shared" si="1"/>
        <v>4254897</v>
      </c>
      <c r="G60" s="200">
        <f>'SUIVI 2026'!K60</f>
        <v>0</v>
      </c>
      <c r="H60" s="201">
        <f>'SUIVI 2026'!L60</f>
        <v>0</v>
      </c>
      <c r="I60" s="202">
        <v>0</v>
      </c>
      <c r="J60" s="203">
        <f t="shared" si="0"/>
        <v>4254897</v>
      </c>
      <c r="K60" s="197">
        <v>0</v>
      </c>
      <c r="L60" s="62"/>
    </row>
    <row r="61" spans="1:12" ht="15.95" customHeight="1" x14ac:dyDescent="0.25">
      <c r="A61" s="58">
        <v>58</v>
      </c>
      <c r="B61" s="59">
        <v>46104</v>
      </c>
      <c r="C61" s="60" t="s">
        <v>206</v>
      </c>
      <c r="D61" s="58">
        <v>3</v>
      </c>
      <c r="E61" s="61">
        <v>9</v>
      </c>
      <c r="F61" s="206">
        <f t="shared" si="1"/>
        <v>4254897</v>
      </c>
      <c r="G61" s="200">
        <f>'SUIVI 2026'!K61</f>
        <v>0</v>
      </c>
      <c r="H61" s="201">
        <f>'SUIVI 2026'!L61</f>
        <v>0</v>
      </c>
      <c r="I61" s="202">
        <v>0</v>
      </c>
      <c r="J61" s="203">
        <f t="shared" si="0"/>
        <v>4254897</v>
      </c>
      <c r="K61" s="197">
        <v>0</v>
      </c>
      <c r="L61" s="62"/>
    </row>
    <row r="62" spans="1:12" ht="15.95" customHeight="1" x14ac:dyDescent="0.25">
      <c r="A62" s="58">
        <v>59</v>
      </c>
      <c r="B62" s="59">
        <v>46105</v>
      </c>
      <c r="C62" s="60" t="s">
        <v>207</v>
      </c>
      <c r="D62" s="58">
        <v>3</v>
      </c>
      <c r="E62" s="61">
        <v>9</v>
      </c>
      <c r="F62" s="206">
        <f t="shared" si="1"/>
        <v>4254897</v>
      </c>
      <c r="G62" s="200">
        <f>'SUIVI 2026'!K62</f>
        <v>0</v>
      </c>
      <c r="H62" s="201">
        <f>'SUIVI 2026'!L62</f>
        <v>0</v>
      </c>
      <c r="I62" s="202">
        <v>0</v>
      </c>
      <c r="J62" s="203">
        <f t="shared" si="0"/>
        <v>4254897</v>
      </c>
      <c r="K62" s="197">
        <v>0</v>
      </c>
      <c r="L62" s="62"/>
    </row>
    <row r="63" spans="1:12" ht="15.95" customHeight="1" x14ac:dyDescent="0.25">
      <c r="A63" s="58">
        <v>60</v>
      </c>
      <c r="B63" s="59">
        <v>46106</v>
      </c>
      <c r="C63" s="60" t="s">
        <v>208</v>
      </c>
      <c r="D63" s="58">
        <v>3</v>
      </c>
      <c r="E63" s="61">
        <v>9</v>
      </c>
      <c r="F63" s="206">
        <f t="shared" si="1"/>
        <v>4254897</v>
      </c>
      <c r="G63" s="200">
        <f>'SUIVI 2026'!K63</f>
        <v>0</v>
      </c>
      <c r="H63" s="201">
        <f>'SUIVI 2026'!L63</f>
        <v>0</v>
      </c>
      <c r="I63" s="202">
        <v>0</v>
      </c>
      <c r="J63" s="203">
        <f t="shared" si="0"/>
        <v>4254897</v>
      </c>
      <c r="K63" s="197">
        <v>0</v>
      </c>
      <c r="L63" s="62"/>
    </row>
    <row r="64" spans="1:12" ht="15.95" customHeight="1" x14ac:dyDescent="0.25">
      <c r="A64" s="58">
        <v>61</v>
      </c>
      <c r="B64" s="59">
        <v>46107</v>
      </c>
      <c r="C64" s="60" t="s">
        <v>204</v>
      </c>
      <c r="D64" s="58">
        <v>3</v>
      </c>
      <c r="E64" s="61">
        <v>9</v>
      </c>
      <c r="F64" s="206">
        <f t="shared" si="1"/>
        <v>4254897</v>
      </c>
      <c r="G64" s="200">
        <f>'SUIVI 2026'!K64</f>
        <v>0</v>
      </c>
      <c r="H64" s="201">
        <f>'SUIVI 2026'!L64</f>
        <v>0</v>
      </c>
      <c r="I64" s="202">
        <v>0</v>
      </c>
      <c r="J64" s="203">
        <f t="shared" si="0"/>
        <v>4254897</v>
      </c>
      <c r="K64" s="197">
        <v>0</v>
      </c>
      <c r="L64" s="62"/>
    </row>
    <row r="65" spans="1:12" ht="15.95" customHeight="1" x14ac:dyDescent="0.25">
      <c r="A65" s="58">
        <v>62</v>
      </c>
      <c r="B65" s="59">
        <v>46108</v>
      </c>
      <c r="C65" s="60" t="s">
        <v>205</v>
      </c>
      <c r="D65" s="58">
        <v>3</v>
      </c>
      <c r="E65" s="61">
        <v>9</v>
      </c>
      <c r="F65" s="206">
        <f t="shared" si="1"/>
        <v>4254897</v>
      </c>
      <c r="G65" s="200">
        <f>'SUIVI 2026'!K65</f>
        <v>0</v>
      </c>
      <c r="H65" s="201">
        <f>'SUIVI 2026'!L65</f>
        <v>0</v>
      </c>
      <c r="I65" s="202">
        <v>0</v>
      </c>
      <c r="J65" s="203">
        <f t="shared" si="0"/>
        <v>4254897</v>
      </c>
      <c r="K65" s="197">
        <v>0</v>
      </c>
      <c r="L65" s="62"/>
    </row>
    <row r="66" spans="1:12" ht="15.95" customHeight="1" x14ac:dyDescent="0.25">
      <c r="A66" s="58">
        <v>63</v>
      </c>
      <c r="B66" s="59">
        <v>46111</v>
      </c>
      <c r="C66" s="60" t="s">
        <v>206</v>
      </c>
      <c r="D66" s="58">
        <v>3</v>
      </c>
      <c r="E66" s="61">
        <v>9</v>
      </c>
      <c r="F66" s="206">
        <f t="shared" si="1"/>
        <v>4254897</v>
      </c>
      <c r="G66" s="200">
        <f>'SUIVI 2026'!K66</f>
        <v>0</v>
      </c>
      <c r="H66" s="201">
        <f>'SUIVI 2026'!L66</f>
        <v>0</v>
      </c>
      <c r="I66" s="202">
        <v>0</v>
      </c>
      <c r="J66" s="203">
        <f t="shared" si="0"/>
        <v>4254897</v>
      </c>
      <c r="K66" s="197">
        <v>0</v>
      </c>
      <c r="L66" s="62"/>
    </row>
    <row r="67" spans="1:12" ht="15.95" customHeight="1" x14ac:dyDescent="0.25">
      <c r="A67" s="58">
        <v>64</v>
      </c>
      <c r="B67" s="59">
        <v>46112</v>
      </c>
      <c r="C67" s="60" t="s">
        <v>207</v>
      </c>
      <c r="D67" s="58">
        <v>3</v>
      </c>
      <c r="E67" s="61">
        <v>9</v>
      </c>
      <c r="F67" s="206">
        <f t="shared" si="1"/>
        <v>4254897</v>
      </c>
      <c r="G67" s="200">
        <f>'SUIVI 2026'!K67</f>
        <v>0</v>
      </c>
      <c r="H67" s="201">
        <f>'SUIVI 2026'!L67</f>
        <v>0</v>
      </c>
      <c r="I67" s="202">
        <v>0</v>
      </c>
      <c r="J67" s="203">
        <f t="shared" si="0"/>
        <v>4254897</v>
      </c>
      <c r="K67" s="197">
        <v>0</v>
      </c>
      <c r="L67" s="62"/>
    </row>
    <row r="68" spans="1:12" ht="15.95" customHeight="1" x14ac:dyDescent="0.25">
      <c r="A68" s="63">
        <v>65</v>
      </c>
      <c r="B68" s="64">
        <v>46113</v>
      </c>
      <c r="C68" s="65" t="s">
        <v>208</v>
      </c>
      <c r="D68" s="63">
        <v>4</v>
      </c>
      <c r="E68" s="66">
        <v>10</v>
      </c>
      <c r="F68" s="207">
        <f t="shared" si="1"/>
        <v>4254897</v>
      </c>
      <c r="G68" s="200">
        <f>'SUIVI 2026'!K68</f>
        <v>0</v>
      </c>
      <c r="H68" s="201">
        <f>'SUIVI 2026'!L68</f>
        <v>0</v>
      </c>
      <c r="I68" s="202">
        <v>0</v>
      </c>
      <c r="J68" s="203">
        <f t="shared" ref="J68:J131" si="2">F68+G68-H68-I68</f>
        <v>4254897</v>
      </c>
      <c r="K68" s="197">
        <v>0</v>
      </c>
      <c r="L68" s="67"/>
    </row>
    <row r="69" spans="1:12" ht="15.95" customHeight="1" x14ac:dyDescent="0.25">
      <c r="A69" s="63">
        <v>66</v>
      </c>
      <c r="B69" s="64">
        <v>46114</v>
      </c>
      <c r="C69" s="65" t="s">
        <v>204</v>
      </c>
      <c r="D69" s="63">
        <v>4</v>
      </c>
      <c r="E69" s="66">
        <v>10</v>
      </c>
      <c r="F69" s="207">
        <f t="shared" ref="F69:F132" si="3">J68</f>
        <v>4254897</v>
      </c>
      <c r="G69" s="200">
        <f>'SUIVI 2026'!K69</f>
        <v>0</v>
      </c>
      <c r="H69" s="201">
        <f>'SUIVI 2026'!L69</f>
        <v>0</v>
      </c>
      <c r="I69" s="202">
        <v>0</v>
      </c>
      <c r="J69" s="203">
        <f t="shared" si="2"/>
        <v>4254897</v>
      </c>
      <c r="K69" s="197">
        <v>0</v>
      </c>
      <c r="L69" s="67"/>
    </row>
    <row r="70" spans="1:12" ht="15.95" customHeight="1" x14ac:dyDescent="0.25">
      <c r="A70" s="63">
        <v>67</v>
      </c>
      <c r="B70" s="64">
        <v>46115</v>
      </c>
      <c r="C70" s="65" t="s">
        <v>205</v>
      </c>
      <c r="D70" s="63">
        <v>4</v>
      </c>
      <c r="E70" s="66">
        <v>10</v>
      </c>
      <c r="F70" s="207">
        <f t="shared" si="3"/>
        <v>4254897</v>
      </c>
      <c r="G70" s="200">
        <f>'SUIVI 2026'!K70</f>
        <v>0</v>
      </c>
      <c r="H70" s="201">
        <f>'SUIVI 2026'!L70</f>
        <v>0</v>
      </c>
      <c r="I70" s="202">
        <v>0</v>
      </c>
      <c r="J70" s="203">
        <f t="shared" si="2"/>
        <v>4254897</v>
      </c>
      <c r="K70" s="197">
        <v>0</v>
      </c>
      <c r="L70" s="67"/>
    </row>
    <row r="71" spans="1:12" ht="15.95" customHeight="1" x14ac:dyDescent="0.25">
      <c r="A71" s="63">
        <v>68</v>
      </c>
      <c r="B71" s="64">
        <v>46118</v>
      </c>
      <c r="C71" s="65" t="s">
        <v>206</v>
      </c>
      <c r="D71" s="63">
        <v>4</v>
      </c>
      <c r="E71" s="66">
        <v>10</v>
      </c>
      <c r="F71" s="207">
        <f t="shared" si="3"/>
        <v>4254897</v>
      </c>
      <c r="G71" s="200">
        <f>'SUIVI 2026'!K71</f>
        <v>0</v>
      </c>
      <c r="H71" s="201">
        <f>'SUIVI 2026'!L71</f>
        <v>0</v>
      </c>
      <c r="I71" s="202">
        <v>0</v>
      </c>
      <c r="J71" s="203">
        <f t="shared" si="2"/>
        <v>4254897</v>
      </c>
      <c r="K71" s="197">
        <v>0</v>
      </c>
      <c r="L71" s="67"/>
    </row>
    <row r="72" spans="1:12" ht="15.95" customHeight="1" x14ac:dyDescent="0.25">
      <c r="A72" s="63">
        <v>69</v>
      </c>
      <c r="B72" s="64">
        <v>46119</v>
      </c>
      <c r="C72" s="65" t="s">
        <v>207</v>
      </c>
      <c r="D72" s="63">
        <v>4</v>
      </c>
      <c r="E72" s="66">
        <v>10</v>
      </c>
      <c r="F72" s="207">
        <f t="shared" si="3"/>
        <v>4254897</v>
      </c>
      <c r="G72" s="200">
        <f>'SUIVI 2026'!K72</f>
        <v>0</v>
      </c>
      <c r="H72" s="201">
        <f>'SUIVI 2026'!L72</f>
        <v>0</v>
      </c>
      <c r="I72" s="202">
        <v>0</v>
      </c>
      <c r="J72" s="203">
        <f t="shared" si="2"/>
        <v>4254897</v>
      </c>
      <c r="K72" s="197">
        <v>0</v>
      </c>
      <c r="L72" s="67"/>
    </row>
    <row r="73" spans="1:12" ht="15.95" customHeight="1" x14ac:dyDescent="0.25">
      <c r="A73" s="63">
        <v>70</v>
      </c>
      <c r="B73" s="64">
        <v>46120</v>
      </c>
      <c r="C73" s="65" t="s">
        <v>208</v>
      </c>
      <c r="D73" s="63">
        <v>4</v>
      </c>
      <c r="E73" s="66">
        <v>10</v>
      </c>
      <c r="F73" s="207">
        <f t="shared" si="3"/>
        <v>4254897</v>
      </c>
      <c r="G73" s="200">
        <f>'SUIVI 2026'!K73</f>
        <v>0</v>
      </c>
      <c r="H73" s="201">
        <f>'SUIVI 2026'!L73</f>
        <v>0</v>
      </c>
      <c r="I73" s="202">
        <v>0</v>
      </c>
      <c r="J73" s="203">
        <f t="shared" si="2"/>
        <v>4254897</v>
      </c>
      <c r="K73" s="197">
        <v>0</v>
      </c>
      <c r="L73" s="67"/>
    </row>
    <row r="74" spans="1:12" ht="15.95" customHeight="1" x14ac:dyDescent="0.25">
      <c r="A74" s="63">
        <v>71</v>
      </c>
      <c r="B74" s="64">
        <v>46121</v>
      </c>
      <c r="C74" s="65" t="s">
        <v>204</v>
      </c>
      <c r="D74" s="63">
        <v>4</v>
      </c>
      <c r="E74" s="66">
        <v>10</v>
      </c>
      <c r="F74" s="207">
        <f t="shared" si="3"/>
        <v>4254897</v>
      </c>
      <c r="G74" s="200">
        <f>'SUIVI 2026'!K74</f>
        <v>0</v>
      </c>
      <c r="H74" s="201">
        <f>'SUIVI 2026'!L74</f>
        <v>0</v>
      </c>
      <c r="I74" s="202">
        <v>0</v>
      </c>
      <c r="J74" s="203">
        <f t="shared" si="2"/>
        <v>4254897</v>
      </c>
      <c r="K74" s="197">
        <v>0</v>
      </c>
      <c r="L74" s="67"/>
    </row>
    <row r="75" spans="1:12" ht="15.95" customHeight="1" x14ac:dyDescent="0.25">
      <c r="A75" s="63">
        <v>72</v>
      </c>
      <c r="B75" s="64">
        <v>46122</v>
      </c>
      <c r="C75" s="65" t="s">
        <v>205</v>
      </c>
      <c r="D75" s="63">
        <v>4</v>
      </c>
      <c r="E75" s="66">
        <v>10</v>
      </c>
      <c r="F75" s="207">
        <f t="shared" si="3"/>
        <v>4254897</v>
      </c>
      <c r="G75" s="200">
        <f>'SUIVI 2026'!K75</f>
        <v>0</v>
      </c>
      <c r="H75" s="201">
        <f>'SUIVI 2026'!L75</f>
        <v>0</v>
      </c>
      <c r="I75" s="202">
        <v>0</v>
      </c>
      <c r="J75" s="203">
        <f t="shared" si="2"/>
        <v>4254897</v>
      </c>
      <c r="K75" s="197">
        <v>0</v>
      </c>
      <c r="L75" s="67"/>
    </row>
    <row r="76" spans="1:12" ht="15.95" customHeight="1" x14ac:dyDescent="0.25">
      <c r="A76" s="63">
        <v>73</v>
      </c>
      <c r="B76" s="64">
        <v>46125</v>
      </c>
      <c r="C76" s="65" t="s">
        <v>206</v>
      </c>
      <c r="D76" s="63">
        <v>4</v>
      </c>
      <c r="E76" s="66">
        <v>11</v>
      </c>
      <c r="F76" s="207">
        <f t="shared" si="3"/>
        <v>4254897</v>
      </c>
      <c r="G76" s="200">
        <f>'SUIVI 2026'!K76</f>
        <v>0</v>
      </c>
      <c r="H76" s="201">
        <f>'SUIVI 2026'!L76</f>
        <v>0</v>
      </c>
      <c r="I76" s="202">
        <v>0</v>
      </c>
      <c r="J76" s="203">
        <f t="shared" si="2"/>
        <v>4254897</v>
      </c>
      <c r="K76" s="197">
        <v>0</v>
      </c>
      <c r="L76" s="67"/>
    </row>
    <row r="77" spans="1:12" ht="15.95" customHeight="1" x14ac:dyDescent="0.25">
      <c r="A77" s="63">
        <v>74</v>
      </c>
      <c r="B77" s="64">
        <v>46126</v>
      </c>
      <c r="C77" s="65" t="s">
        <v>207</v>
      </c>
      <c r="D77" s="63">
        <v>4</v>
      </c>
      <c r="E77" s="66">
        <v>11</v>
      </c>
      <c r="F77" s="207">
        <f t="shared" si="3"/>
        <v>4254897</v>
      </c>
      <c r="G77" s="200">
        <f>'SUIVI 2026'!K77</f>
        <v>0</v>
      </c>
      <c r="H77" s="201">
        <f>'SUIVI 2026'!L77</f>
        <v>0</v>
      </c>
      <c r="I77" s="202">
        <v>0</v>
      </c>
      <c r="J77" s="203">
        <f t="shared" si="2"/>
        <v>4254897</v>
      </c>
      <c r="K77" s="197">
        <v>0</v>
      </c>
      <c r="L77" s="67"/>
    </row>
    <row r="78" spans="1:12" ht="15.95" customHeight="1" x14ac:dyDescent="0.25">
      <c r="A78" s="63">
        <v>75</v>
      </c>
      <c r="B78" s="64">
        <v>46127</v>
      </c>
      <c r="C78" s="65" t="s">
        <v>208</v>
      </c>
      <c r="D78" s="63">
        <v>4</v>
      </c>
      <c r="E78" s="66">
        <v>11</v>
      </c>
      <c r="F78" s="207">
        <f t="shared" si="3"/>
        <v>4254897</v>
      </c>
      <c r="G78" s="200">
        <f>'SUIVI 2026'!K78</f>
        <v>0</v>
      </c>
      <c r="H78" s="201">
        <f>'SUIVI 2026'!L78</f>
        <v>0</v>
      </c>
      <c r="I78" s="202">
        <v>0</v>
      </c>
      <c r="J78" s="203">
        <f t="shared" si="2"/>
        <v>4254897</v>
      </c>
      <c r="K78" s="197">
        <v>0</v>
      </c>
      <c r="L78" s="67"/>
    </row>
    <row r="79" spans="1:12" ht="15.95" customHeight="1" x14ac:dyDescent="0.25">
      <c r="A79" s="63">
        <v>76</v>
      </c>
      <c r="B79" s="64">
        <v>46128</v>
      </c>
      <c r="C79" s="65" t="s">
        <v>204</v>
      </c>
      <c r="D79" s="63">
        <v>4</v>
      </c>
      <c r="E79" s="66">
        <v>11</v>
      </c>
      <c r="F79" s="207">
        <f t="shared" si="3"/>
        <v>4254897</v>
      </c>
      <c r="G79" s="200">
        <f>'SUIVI 2026'!K79</f>
        <v>0</v>
      </c>
      <c r="H79" s="201">
        <f>'SUIVI 2026'!L79</f>
        <v>0</v>
      </c>
      <c r="I79" s="202">
        <v>0</v>
      </c>
      <c r="J79" s="203">
        <f t="shared" si="2"/>
        <v>4254897</v>
      </c>
      <c r="K79" s="197">
        <v>0</v>
      </c>
      <c r="L79" s="67"/>
    </row>
    <row r="80" spans="1:12" ht="15.95" customHeight="1" x14ac:dyDescent="0.25">
      <c r="A80" s="63">
        <v>77</v>
      </c>
      <c r="B80" s="64">
        <v>46129</v>
      </c>
      <c r="C80" s="65" t="s">
        <v>205</v>
      </c>
      <c r="D80" s="63">
        <v>4</v>
      </c>
      <c r="E80" s="66">
        <v>11</v>
      </c>
      <c r="F80" s="207">
        <f t="shared" si="3"/>
        <v>4254897</v>
      </c>
      <c r="G80" s="200">
        <f>'SUIVI 2026'!K80</f>
        <v>0</v>
      </c>
      <c r="H80" s="201">
        <f>'SUIVI 2026'!L80</f>
        <v>0</v>
      </c>
      <c r="I80" s="202">
        <v>0</v>
      </c>
      <c r="J80" s="203">
        <f t="shared" si="2"/>
        <v>4254897</v>
      </c>
      <c r="K80" s="197">
        <v>0</v>
      </c>
      <c r="L80" s="67"/>
    </row>
    <row r="81" spans="1:12" ht="15.95" customHeight="1" x14ac:dyDescent="0.25">
      <c r="A81" s="63">
        <v>78</v>
      </c>
      <c r="B81" s="64">
        <v>46132</v>
      </c>
      <c r="C81" s="65" t="s">
        <v>206</v>
      </c>
      <c r="D81" s="63">
        <v>4</v>
      </c>
      <c r="E81" s="66">
        <v>11</v>
      </c>
      <c r="F81" s="207">
        <f t="shared" si="3"/>
        <v>4254897</v>
      </c>
      <c r="G81" s="200">
        <f>'SUIVI 2026'!K81</f>
        <v>0</v>
      </c>
      <c r="H81" s="201">
        <f>'SUIVI 2026'!L81</f>
        <v>0</v>
      </c>
      <c r="I81" s="202">
        <v>0</v>
      </c>
      <c r="J81" s="203">
        <f t="shared" si="2"/>
        <v>4254897</v>
      </c>
      <c r="K81" s="197">
        <v>0</v>
      </c>
      <c r="L81" s="67"/>
    </row>
    <row r="82" spans="1:12" ht="15.95" customHeight="1" x14ac:dyDescent="0.25">
      <c r="A82" s="63">
        <v>79</v>
      </c>
      <c r="B82" s="64">
        <v>46133</v>
      </c>
      <c r="C82" s="65" t="s">
        <v>207</v>
      </c>
      <c r="D82" s="63">
        <v>4</v>
      </c>
      <c r="E82" s="66">
        <v>12</v>
      </c>
      <c r="F82" s="207">
        <f t="shared" si="3"/>
        <v>4254897</v>
      </c>
      <c r="G82" s="200">
        <f>'SUIVI 2026'!K82</f>
        <v>0</v>
      </c>
      <c r="H82" s="201">
        <f>'SUIVI 2026'!L82</f>
        <v>0</v>
      </c>
      <c r="I82" s="202">
        <v>0</v>
      </c>
      <c r="J82" s="203">
        <f t="shared" si="2"/>
        <v>4254897</v>
      </c>
      <c r="K82" s="197">
        <v>0</v>
      </c>
      <c r="L82" s="67"/>
    </row>
    <row r="83" spans="1:12" ht="15.95" customHeight="1" x14ac:dyDescent="0.25">
      <c r="A83" s="63">
        <v>80</v>
      </c>
      <c r="B83" s="64">
        <v>46134</v>
      </c>
      <c r="C83" s="65" t="s">
        <v>208</v>
      </c>
      <c r="D83" s="63">
        <v>4</v>
      </c>
      <c r="E83" s="66">
        <v>12</v>
      </c>
      <c r="F83" s="207">
        <f t="shared" si="3"/>
        <v>4254897</v>
      </c>
      <c r="G83" s="200">
        <f>'SUIVI 2026'!K83</f>
        <v>0</v>
      </c>
      <c r="H83" s="201">
        <f>'SUIVI 2026'!L83</f>
        <v>0</v>
      </c>
      <c r="I83" s="202">
        <v>0</v>
      </c>
      <c r="J83" s="203">
        <f t="shared" si="2"/>
        <v>4254897</v>
      </c>
      <c r="K83" s="197">
        <v>0</v>
      </c>
      <c r="L83" s="67"/>
    </row>
    <row r="84" spans="1:12" ht="15.95" customHeight="1" x14ac:dyDescent="0.25">
      <c r="A84" s="63">
        <v>81</v>
      </c>
      <c r="B84" s="64">
        <v>46135</v>
      </c>
      <c r="C84" s="65" t="s">
        <v>204</v>
      </c>
      <c r="D84" s="63">
        <v>4</v>
      </c>
      <c r="E84" s="66">
        <v>12</v>
      </c>
      <c r="F84" s="207">
        <f t="shared" si="3"/>
        <v>4254897</v>
      </c>
      <c r="G84" s="200">
        <f>'SUIVI 2026'!K84</f>
        <v>0</v>
      </c>
      <c r="H84" s="201">
        <f>'SUIVI 2026'!L84</f>
        <v>0</v>
      </c>
      <c r="I84" s="202">
        <v>0</v>
      </c>
      <c r="J84" s="203">
        <f t="shared" si="2"/>
        <v>4254897</v>
      </c>
      <c r="K84" s="197">
        <v>0</v>
      </c>
      <c r="L84" s="67"/>
    </row>
    <row r="85" spans="1:12" ht="15.95" customHeight="1" x14ac:dyDescent="0.25">
      <c r="A85" s="63">
        <v>82</v>
      </c>
      <c r="B85" s="64">
        <v>46136</v>
      </c>
      <c r="C85" s="65" t="s">
        <v>205</v>
      </c>
      <c r="D85" s="63">
        <v>4</v>
      </c>
      <c r="E85" s="66">
        <v>12</v>
      </c>
      <c r="F85" s="207">
        <f t="shared" si="3"/>
        <v>4254897</v>
      </c>
      <c r="G85" s="200">
        <f>'SUIVI 2026'!K85</f>
        <v>0</v>
      </c>
      <c r="H85" s="201">
        <f>'SUIVI 2026'!L85</f>
        <v>0</v>
      </c>
      <c r="I85" s="202">
        <v>0</v>
      </c>
      <c r="J85" s="203">
        <f t="shared" si="2"/>
        <v>4254897</v>
      </c>
      <c r="K85" s="197">
        <v>0</v>
      </c>
      <c r="L85" s="67"/>
    </row>
    <row r="86" spans="1:12" ht="15.95" customHeight="1" x14ac:dyDescent="0.25">
      <c r="A86" s="63">
        <v>83</v>
      </c>
      <c r="B86" s="64">
        <v>46139</v>
      </c>
      <c r="C86" s="65" t="s">
        <v>206</v>
      </c>
      <c r="D86" s="63">
        <v>4</v>
      </c>
      <c r="E86" s="66">
        <v>12</v>
      </c>
      <c r="F86" s="207">
        <f t="shared" si="3"/>
        <v>4254897</v>
      </c>
      <c r="G86" s="200">
        <f>'SUIVI 2026'!K86</f>
        <v>0</v>
      </c>
      <c r="H86" s="201">
        <f>'SUIVI 2026'!L86</f>
        <v>0</v>
      </c>
      <c r="I86" s="202">
        <v>0</v>
      </c>
      <c r="J86" s="203">
        <f t="shared" si="2"/>
        <v>4254897</v>
      </c>
      <c r="K86" s="197">
        <v>0</v>
      </c>
      <c r="L86" s="67"/>
    </row>
    <row r="87" spans="1:12" ht="15.95" customHeight="1" x14ac:dyDescent="0.25">
      <c r="A87" s="63">
        <v>84</v>
      </c>
      <c r="B87" s="64">
        <v>46140</v>
      </c>
      <c r="C87" s="65" t="s">
        <v>207</v>
      </c>
      <c r="D87" s="63">
        <v>4</v>
      </c>
      <c r="E87" s="66">
        <v>12</v>
      </c>
      <c r="F87" s="207">
        <f t="shared" si="3"/>
        <v>4254897</v>
      </c>
      <c r="G87" s="200">
        <f>'SUIVI 2026'!K87</f>
        <v>0</v>
      </c>
      <c r="H87" s="201">
        <f>'SUIVI 2026'!L87</f>
        <v>0</v>
      </c>
      <c r="I87" s="202">
        <v>0</v>
      </c>
      <c r="J87" s="203">
        <f t="shared" si="2"/>
        <v>4254897</v>
      </c>
      <c r="K87" s="197">
        <v>0</v>
      </c>
      <c r="L87" s="67"/>
    </row>
    <row r="88" spans="1:12" ht="15.95" customHeight="1" x14ac:dyDescent="0.25">
      <c r="A88" s="63">
        <v>85</v>
      </c>
      <c r="B88" s="64">
        <v>46141</v>
      </c>
      <c r="C88" s="65" t="s">
        <v>208</v>
      </c>
      <c r="D88" s="63">
        <v>4</v>
      </c>
      <c r="E88" s="66">
        <v>12</v>
      </c>
      <c r="F88" s="207">
        <f t="shared" si="3"/>
        <v>4254897</v>
      </c>
      <c r="G88" s="200">
        <f>'SUIVI 2026'!K88</f>
        <v>0</v>
      </c>
      <c r="H88" s="201">
        <f>'SUIVI 2026'!L88</f>
        <v>0</v>
      </c>
      <c r="I88" s="202">
        <v>0</v>
      </c>
      <c r="J88" s="203">
        <f t="shared" si="2"/>
        <v>4254897</v>
      </c>
      <c r="K88" s="197">
        <v>0</v>
      </c>
      <c r="L88" s="67"/>
    </row>
    <row r="89" spans="1:12" ht="15.95" customHeight="1" x14ac:dyDescent="0.25">
      <c r="A89" s="63">
        <v>86</v>
      </c>
      <c r="B89" s="64">
        <v>46142</v>
      </c>
      <c r="C89" s="65" t="s">
        <v>204</v>
      </c>
      <c r="D89" s="63">
        <v>4</v>
      </c>
      <c r="E89" s="66">
        <v>12</v>
      </c>
      <c r="F89" s="207">
        <f t="shared" si="3"/>
        <v>4254897</v>
      </c>
      <c r="G89" s="200">
        <f>'SUIVI 2026'!K89</f>
        <v>0</v>
      </c>
      <c r="H89" s="201">
        <f>'SUIVI 2026'!L89</f>
        <v>0</v>
      </c>
      <c r="I89" s="202">
        <v>0</v>
      </c>
      <c r="J89" s="203">
        <f t="shared" si="2"/>
        <v>4254897</v>
      </c>
      <c r="K89" s="197">
        <v>0</v>
      </c>
      <c r="L89" s="67"/>
    </row>
    <row r="90" spans="1:12" ht="15.95" customHeight="1" x14ac:dyDescent="0.25">
      <c r="A90" s="68">
        <v>87</v>
      </c>
      <c r="B90" s="69">
        <v>46143</v>
      </c>
      <c r="C90" s="70" t="s">
        <v>205</v>
      </c>
      <c r="D90" s="68">
        <v>5</v>
      </c>
      <c r="E90" s="71">
        <v>13</v>
      </c>
      <c r="F90" s="208">
        <f t="shared" si="3"/>
        <v>4254897</v>
      </c>
      <c r="G90" s="200">
        <f>'SUIVI 2026'!K90</f>
        <v>0</v>
      </c>
      <c r="H90" s="201">
        <f>'SUIVI 2026'!L90</f>
        <v>0</v>
      </c>
      <c r="I90" s="202">
        <v>0</v>
      </c>
      <c r="J90" s="203">
        <f t="shared" si="2"/>
        <v>4254897</v>
      </c>
      <c r="K90" s="197">
        <v>0</v>
      </c>
      <c r="L90" s="72"/>
    </row>
    <row r="91" spans="1:12" ht="15.95" customHeight="1" x14ac:dyDescent="0.25">
      <c r="A91" s="68">
        <v>88</v>
      </c>
      <c r="B91" s="69">
        <v>46146</v>
      </c>
      <c r="C91" s="70" t="s">
        <v>206</v>
      </c>
      <c r="D91" s="68">
        <v>5</v>
      </c>
      <c r="E91" s="71">
        <v>13</v>
      </c>
      <c r="F91" s="208">
        <f t="shared" si="3"/>
        <v>4254897</v>
      </c>
      <c r="G91" s="200">
        <f>'SUIVI 2026'!K91</f>
        <v>0</v>
      </c>
      <c r="H91" s="201">
        <f>'SUIVI 2026'!L91</f>
        <v>0</v>
      </c>
      <c r="I91" s="202">
        <v>0</v>
      </c>
      <c r="J91" s="203">
        <f t="shared" si="2"/>
        <v>4254897</v>
      </c>
      <c r="K91" s="197">
        <v>0</v>
      </c>
      <c r="L91" s="72"/>
    </row>
    <row r="92" spans="1:12" ht="15.95" customHeight="1" x14ac:dyDescent="0.25">
      <c r="A92" s="68">
        <v>89</v>
      </c>
      <c r="B92" s="69">
        <v>46147</v>
      </c>
      <c r="C92" s="70" t="s">
        <v>207</v>
      </c>
      <c r="D92" s="68">
        <v>5</v>
      </c>
      <c r="E92" s="71">
        <v>13</v>
      </c>
      <c r="F92" s="208">
        <f t="shared" si="3"/>
        <v>4254897</v>
      </c>
      <c r="G92" s="200">
        <f>'SUIVI 2026'!K92</f>
        <v>0</v>
      </c>
      <c r="H92" s="201">
        <f>'SUIVI 2026'!L92</f>
        <v>0</v>
      </c>
      <c r="I92" s="202">
        <v>0</v>
      </c>
      <c r="J92" s="203">
        <f t="shared" si="2"/>
        <v>4254897</v>
      </c>
      <c r="K92" s="197">
        <v>0</v>
      </c>
      <c r="L92" s="72"/>
    </row>
    <row r="93" spans="1:12" ht="15.95" customHeight="1" x14ac:dyDescent="0.25">
      <c r="A93" s="68">
        <v>90</v>
      </c>
      <c r="B93" s="69">
        <v>46148</v>
      </c>
      <c r="C93" s="70" t="s">
        <v>208</v>
      </c>
      <c r="D93" s="68">
        <v>5</v>
      </c>
      <c r="E93" s="71">
        <v>13</v>
      </c>
      <c r="F93" s="208">
        <f t="shared" si="3"/>
        <v>4254897</v>
      </c>
      <c r="G93" s="200">
        <f>'SUIVI 2026'!K93</f>
        <v>0</v>
      </c>
      <c r="H93" s="201">
        <f>'SUIVI 2026'!L93</f>
        <v>0</v>
      </c>
      <c r="I93" s="202">
        <v>0</v>
      </c>
      <c r="J93" s="203">
        <f t="shared" si="2"/>
        <v>4254897</v>
      </c>
      <c r="K93" s="197">
        <v>0</v>
      </c>
      <c r="L93" s="72"/>
    </row>
    <row r="94" spans="1:12" ht="15.95" customHeight="1" x14ac:dyDescent="0.25">
      <c r="A94" s="68">
        <v>91</v>
      </c>
      <c r="B94" s="69">
        <v>46149</v>
      </c>
      <c r="C94" s="70" t="s">
        <v>204</v>
      </c>
      <c r="D94" s="68">
        <v>5</v>
      </c>
      <c r="E94" s="71">
        <v>13</v>
      </c>
      <c r="F94" s="208">
        <f t="shared" si="3"/>
        <v>4254897</v>
      </c>
      <c r="G94" s="200">
        <f>'SUIVI 2026'!K94</f>
        <v>0</v>
      </c>
      <c r="H94" s="201">
        <f>'SUIVI 2026'!L94</f>
        <v>0</v>
      </c>
      <c r="I94" s="202">
        <v>0</v>
      </c>
      <c r="J94" s="203">
        <f t="shared" si="2"/>
        <v>4254897</v>
      </c>
      <c r="K94" s="197">
        <v>0</v>
      </c>
      <c r="L94" s="72"/>
    </row>
    <row r="95" spans="1:12" ht="15.95" customHeight="1" x14ac:dyDescent="0.25">
      <c r="A95" s="68">
        <v>92</v>
      </c>
      <c r="B95" s="69">
        <v>46150</v>
      </c>
      <c r="C95" s="70" t="s">
        <v>205</v>
      </c>
      <c r="D95" s="68">
        <v>5</v>
      </c>
      <c r="E95" s="71">
        <v>13</v>
      </c>
      <c r="F95" s="208">
        <f t="shared" si="3"/>
        <v>4254897</v>
      </c>
      <c r="G95" s="200">
        <f>'SUIVI 2026'!K95</f>
        <v>0</v>
      </c>
      <c r="H95" s="201">
        <f>'SUIVI 2026'!L95</f>
        <v>0</v>
      </c>
      <c r="I95" s="202">
        <v>0</v>
      </c>
      <c r="J95" s="203">
        <f t="shared" si="2"/>
        <v>4254897</v>
      </c>
      <c r="K95" s="197">
        <v>0</v>
      </c>
      <c r="L95" s="72"/>
    </row>
    <row r="96" spans="1:12" ht="15.95" customHeight="1" x14ac:dyDescent="0.25">
      <c r="A96" s="68">
        <v>93</v>
      </c>
      <c r="B96" s="69">
        <v>46153</v>
      </c>
      <c r="C96" s="70" t="s">
        <v>206</v>
      </c>
      <c r="D96" s="68">
        <v>5</v>
      </c>
      <c r="E96" s="71">
        <v>14</v>
      </c>
      <c r="F96" s="208">
        <f t="shared" si="3"/>
        <v>4254897</v>
      </c>
      <c r="G96" s="200">
        <f>'SUIVI 2026'!K96</f>
        <v>0</v>
      </c>
      <c r="H96" s="201">
        <f>'SUIVI 2026'!L96</f>
        <v>0</v>
      </c>
      <c r="I96" s="202">
        <v>0</v>
      </c>
      <c r="J96" s="203">
        <f t="shared" si="2"/>
        <v>4254897</v>
      </c>
      <c r="K96" s="197">
        <v>0</v>
      </c>
      <c r="L96" s="72"/>
    </row>
    <row r="97" spans="1:12" ht="15.95" customHeight="1" x14ac:dyDescent="0.25">
      <c r="A97" s="68">
        <v>94</v>
      </c>
      <c r="B97" s="69">
        <v>46154</v>
      </c>
      <c r="C97" s="70" t="s">
        <v>207</v>
      </c>
      <c r="D97" s="68">
        <v>5</v>
      </c>
      <c r="E97" s="71">
        <v>14</v>
      </c>
      <c r="F97" s="208">
        <f t="shared" si="3"/>
        <v>4254897</v>
      </c>
      <c r="G97" s="200">
        <f>'SUIVI 2026'!K97</f>
        <v>0</v>
      </c>
      <c r="H97" s="201">
        <f>'SUIVI 2026'!L97</f>
        <v>0</v>
      </c>
      <c r="I97" s="202">
        <v>0</v>
      </c>
      <c r="J97" s="203">
        <f t="shared" si="2"/>
        <v>4254897</v>
      </c>
      <c r="K97" s="197">
        <v>0</v>
      </c>
      <c r="L97" s="72"/>
    </row>
    <row r="98" spans="1:12" ht="15.95" customHeight="1" x14ac:dyDescent="0.25">
      <c r="A98" s="68">
        <v>95</v>
      </c>
      <c r="B98" s="69">
        <v>46155</v>
      </c>
      <c r="C98" s="70" t="s">
        <v>208</v>
      </c>
      <c r="D98" s="68">
        <v>5</v>
      </c>
      <c r="E98" s="71">
        <v>14</v>
      </c>
      <c r="F98" s="208">
        <f t="shared" si="3"/>
        <v>4254897</v>
      </c>
      <c r="G98" s="200">
        <f>'SUIVI 2026'!K98</f>
        <v>0</v>
      </c>
      <c r="H98" s="201">
        <f>'SUIVI 2026'!L98</f>
        <v>0</v>
      </c>
      <c r="I98" s="202">
        <v>0</v>
      </c>
      <c r="J98" s="203">
        <f t="shared" si="2"/>
        <v>4254897</v>
      </c>
      <c r="K98" s="197">
        <v>0</v>
      </c>
      <c r="L98" s="72"/>
    </row>
    <row r="99" spans="1:12" ht="15.95" customHeight="1" x14ac:dyDescent="0.25">
      <c r="A99" s="68">
        <v>96</v>
      </c>
      <c r="B99" s="69">
        <v>46156</v>
      </c>
      <c r="C99" s="70" t="s">
        <v>204</v>
      </c>
      <c r="D99" s="68">
        <v>5</v>
      </c>
      <c r="E99" s="71">
        <v>14</v>
      </c>
      <c r="F99" s="208">
        <f t="shared" si="3"/>
        <v>4254897</v>
      </c>
      <c r="G99" s="200">
        <f>'SUIVI 2026'!K99</f>
        <v>0</v>
      </c>
      <c r="H99" s="201">
        <f>'SUIVI 2026'!L99</f>
        <v>0</v>
      </c>
      <c r="I99" s="202">
        <v>0</v>
      </c>
      <c r="J99" s="203">
        <f t="shared" si="2"/>
        <v>4254897</v>
      </c>
      <c r="K99" s="197">
        <v>0</v>
      </c>
      <c r="L99" s="72"/>
    </row>
    <row r="100" spans="1:12" ht="15.95" customHeight="1" x14ac:dyDescent="0.25">
      <c r="A100" s="68">
        <v>97</v>
      </c>
      <c r="B100" s="69">
        <v>46157</v>
      </c>
      <c r="C100" s="70" t="s">
        <v>205</v>
      </c>
      <c r="D100" s="68">
        <v>5</v>
      </c>
      <c r="E100" s="71">
        <v>14</v>
      </c>
      <c r="F100" s="208">
        <f t="shared" si="3"/>
        <v>4254897</v>
      </c>
      <c r="G100" s="200">
        <f>'SUIVI 2026'!K100</f>
        <v>0</v>
      </c>
      <c r="H100" s="201">
        <f>'SUIVI 2026'!L100</f>
        <v>0</v>
      </c>
      <c r="I100" s="202">
        <v>0</v>
      </c>
      <c r="J100" s="203">
        <f t="shared" si="2"/>
        <v>4254897</v>
      </c>
      <c r="K100" s="197">
        <v>0</v>
      </c>
      <c r="L100" s="72"/>
    </row>
    <row r="101" spans="1:12" ht="15.95" customHeight="1" x14ac:dyDescent="0.25">
      <c r="A101" s="68">
        <v>98</v>
      </c>
      <c r="B101" s="69">
        <v>46160</v>
      </c>
      <c r="C101" s="70" t="s">
        <v>206</v>
      </c>
      <c r="D101" s="68">
        <v>5</v>
      </c>
      <c r="E101" s="71">
        <v>14</v>
      </c>
      <c r="F101" s="208">
        <f t="shared" si="3"/>
        <v>4254897</v>
      </c>
      <c r="G101" s="200">
        <f>'SUIVI 2026'!K101</f>
        <v>0</v>
      </c>
      <c r="H101" s="201">
        <f>'SUIVI 2026'!L101</f>
        <v>0</v>
      </c>
      <c r="I101" s="202">
        <v>0</v>
      </c>
      <c r="J101" s="203">
        <f t="shared" si="2"/>
        <v>4254897</v>
      </c>
      <c r="K101" s="197">
        <v>0</v>
      </c>
      <c r="L101" s="72"/>
    </row>
    <row r="102" spans="1:12" ht="15.95" customHeight="1" x14ac:dyDescent="0.25">
      <c r="A102" s="68">
        <v>99</v>
      </c>
      <c r="B102" s="69">
        <v>46161</v>
      </c>
      <c r="C102" s="70" t="s">
        <v>207</v>
      </c>
      <c r="D102" s="68">
        <v>5</v>
      </c>
      <c r="E102" s="71">
        <v>14</v>
      </c>
      <c r="F102" s="208">
        <f t="shared" si="3"/>
        <v>4254897</v>
      </c>
      <c r="G102" s="200">
        <f>'SUIVI 2026'!K102</f>
        <v>0</v>
      </c>
      <c r="H102" s="201">
        <f>'SUIVI 2026'!L102</f>
        <v>0</v>
      </c>
      <c r="I102" s="202">
        <v>0</v>
      </c>
      <c r="J102" s="203">
        <f t="shared" si="2"/>
        <v>4254897</v>
      </c>
      <c r="K102" s="197">
        <v>0</v>
      </c>
      <c r="L102" s="72"/>
    </row>
    <row r="103" spans="1:12" ht="15.95" customHeight="1" x14ac:dyDescent="0.25">
      <c r="A103" s="68">
        <v>100</v>
      </c>
      <c r="B103" s="69">
        <v>46162</v>
      </c>
      <c r="C103" s="70" t="s">
        <v>208</v>
      </c>
      <c r="D103" s="68">
        <v>5</v>
      </c>
      <c r="E103" s="71">
        <v>14</v>
      </c>
      <c r="F103" s="208">
        <f t="shared" si="3"/>
        <v>4254897</v>
      </c>
      <c r="G103" s="200">
        <f>'SUIVI 2026'!K103</f>
        <v>0</v>
      </c>
      <c r="H103" s="201">
        <f>'SUIVI 2026'!L103</f>
        <v>0</v>
      </c>
      <c r="I103" s="202">
        <v>0</v>
      </c>
      <c r="J103" s="203">
        <f t="shared" si="2"/>
        <v>4254897</v>
      </c>
      <c r="K103" s="197">
        <v>0</v>
      </c>
      <c r="L103" s="72"/>
    </row>
    <row r="104" spans="1:12" ht="15.95" customHeight="1" x14ac:dyDescent="0.25">
      <c r="A104" s="68">
        <v>101</v>
      </c>
      <c r="B104" s="69">
        <v>46163</v>
      </c>
      <c r="C104" s="70" t="s">
        <v>204</v>
      </c>
      <c r="D104" s="68">
        <v>5</v>
      </c>
      <c r="E104" s="71">
        <v>15</v>
      </c>
      <c r="F104" s="208">
        <f t="shared" si="3"/>
        <v>4254897</v>
      </c>
      <c r="G104" s="200">
        <f>'SUIVI 2026'!K104</f>
        <v>0</v>
      </c>
      <c r="H104" s="201">
        <f>'SUIVI 2026'!L104</f>
        <v>0</v>
      </c>
      <c r="I104" s="202">
        <v>0</v>
      </c>
      <c r="J104" s="203">
        <f t="shared" si="2"/>
        <v>4254897</v>
      </c>
      <c r="K104" s="197">
        <v>0</v>
      </c>
      <c r="L104" s="72"/>
    </row>
    <row r="105" spans="1:12" ht="15.95" customHeight="1" x14ac:dyDescent="0.25">
      <c r="A105" s="68">
        <v>102</v>
      </c>
      <c r="B105" s="69">
        <v>46164</v>
      </c>
      <c r="C105" s="70" t="s">
        <v>205</v>
      </c>
      <c r="D105" s="68">
        <v>5</v>
      </c>
      <c r="E105" s="71">
        <v>15</v>
      </c>
      <c r="F105" s="208">
        <f t="shared" si="3"/>
        <v>4254897</v>
      </c>
      <c r="G105" s="200">
        <f>'SUIVI 2026'!K105</f>
        <v>0</v>
      </c>
      <c r="H105" s="201">
        <f>'SUIVI 2026'!L105</f>
        <v>0</v>
      </c>
      <c r="I105" s="202">
        <v>0</v>
      </c>
      <c r="J105" s="203">
        <f t="shared" si="2"/>
        <v>4254897</v>
      </c>
      <c r="K105" s="197">
        <v>0</v>
      </c>
      <c r="L105" s="72"/>
    </row>
    <row r="106" spans="1:12" ht="15.95" customHeight="1" x14ac:dyDescent="0.25">
      <c r="A106" s="68">
        <v>103</v>
      </c>
      <c r="B106" s="69">
        <v>46167</v>
      </c>
      <c r="C106" s="70" t="s">
        <v>206</v>
      </c>
      <c r="D106" s="68">
        <v>5</v>
      </c>
      <c r="E106" s="71">
        <v>15</v>
      </c>
      <c r="F106" s="208">
        <f t="shared" si="3"/>
        <v>4254897</v>
      </c>
      <c r="G106" s="200">
        <f>'SUIVI 2026'!K106</f>
        <v>0</v>
      </c>
      <c r="H106" s="201">
        <f>'SUIVI 2026'!L106</f>
        <v>0</v>
      </c>
      <c r="I106" s="202">
        <v>0</v>
      </c>
      <c r="J106" s="203">
        <f t="shared" si="2"/>
        <v>4254897</v>
      </c>
      <c r="K106" s="197">
        <v>0</v>
      </c>
      <c r="L106" s="72"/>
    </row>
    <row r="107" spans="1:12" ht="15.95" customHeight="1" x14ac:dyDescent="0.25">
      <c r="A107" s="68">
        <v>104</v>
      </c>
      <c r="B107" s="69">
        <v>46168</v>
      </c>
      <c r="C107" s="70" t="s">
        <v>207</v>
      </c>
      <c r="D107" s="68">
        <v>5</v>
      </c>
      <c r="E107" s="71">
        <v>15</v>
      </c>
      <c r="F107" s="208">
        <f t="shared" si="3"/>
        <v>4254897</v>
      </c>
      <c r="G107" s="200">
        <f>'SUIVI 2026'!K107</f>
        <v>0</v>
      </c>
      <c r="H107" s="201">
        <f>'SUIVI 2026'!L107</f>
        <v>0</v>
      </c>
      <c r="I107" s="202">
        <v>0</v>
      </c>
      <c r="J107" s="203">
        <f t="shared" si="2"/>
        <v>4254897</v>
      </c>
      <c r="K107" s="197">
        <v>0</v>
      </c>
      <c r="L107" s="72"/>
    </row>
    <row r="108" spans="1:12" ht="15.95" customHeight="1" x14ac:dyDescent="0.25">
      <c r="A108" s="68">
        <v>105</v>
      </c>
      <c r="B108" s="69">
        <v>46169</v>
      </c>
      <c r="C108" s="70" t="s">
        <v>208</v>
      </c>
      <c r="D108" s="68">
        <v>5</v>
      </c>
      <c r="E108" s="71">
        <v>15</v>
      </c>
      <c r="F108" s="208">
        <f t="shared" si="3"/>
        <v>4254897</v>
      </c>
      <c r="G108" s="200">
        <f>'SUIVI 2026'!K108</f>
        <v>0</v>
      </c>
      <c r="H108" s="201">
        <f>'SUIVI 2026'!L108</f>
        <v>0</v>
      </c>
      <c r="I108" s="202">
        <v>0</v>
      </c>
      <c r="J108" s="203">
        <f t="shared" si="2"/>
        <v>4254897</v>
      </c>
      <c r="K108" s="197">
        <v>0</v>
      </c>
      <c r="L108" s="72"/>
    </row>
    <row r="109" spans="1:12" ht="15.95" customHeight="1" x14ac:dyDescent="0.25">
      <c r="A109" s="68">
        <v>106</v>
      </c>
      <c r="B109" s="69">
        <v>46170</v>
      </c>
      <c r="C109" s="70" t="s">
        <v>204</v>
      </c>
      <c r="D109" s="68">
        <v>5</v>
      </c>
      <c r="E109" s="71">
        <v>15</v>
      </c>
      <c r="F109" s="208">
        <f t="shared" si="3"/>
        <v>4254897</v>
      </c>
      <c r="G109" s="200">
        <f>'SUIVI 2026'!K109</f>
        <v>0</v>
      </c>
      <c r="H109" s="201">
        <f>'SUIVI 2026'!L109</f>
        <v>0</v>
      </c>
      <c r="I109" s="202">
        <v>0</v>
      </c>
      <c r="J109" s="203">
        <f t="shared" si="2"/>
        <v>4254897</v>
      </c>
      <c r="K109" s="197">
        <v>0</v>
      </c>
      <c r="L109" s="72"/>
    </row>
    <row r="110" spans="1:12" ht="15.95" customHeight="1" x14ac:dyDescent="0.25">
      <c r="A110" s="68">
        <v>107</v>
      </c>
      <c r="B110" s="69">
        <v>46171</v>
      </c>
      <c r="C110" s="70" t="s">
        <v>205</v>
      </c>
      <c r="D110" s="68">
        <v>5</v>
      </c>
      <c r="E110" s="71">
        <v>15</v>
      </c>
      <c r="F110" s="208">
        <f t="shared" si="3"/>
        <v>4254897</v>
      </c>
      <c r="G110" s="200">
        <f>'SUIVI 2026'!K110</f>
        <v>0</v>
      </c>
      <c r="H110" s="201">
        <f>'SUIVI 2026'!L110</f>
        <v>0</v>
      </c>
      <c r="I110" s="202">
        <v>0</v>
      </c>
      <c r="J110" s="203">
        <f t="shared" si="2"/>
        <v>4254897</v>
      </c>
      <c r="K110" s="197">
        <v>0</v>
      </c>
      <c r="L110" s="72"/>
    </row>
    <row r="111" spans="1:12" ht="15.95" customHeight="1" x14ac:dyDescent="0.25">
      <c r="A111" s="73">
        <v>108</v>
      </c>
      <c r="B111" s="74">
        <v>46174</v>
      </c>
      <c r="C111" s="75" t="s">
        <v>206</v>
      </c>
      <c r="D111" s="73">
        <v>6</v>
      </c>
      <c r="E111" s="76">
        <v>16</v>
      </c>
      <c r="F111" s="209">
        <f t="shared" si="3"/>
        <v>4254897</v>
      </c>
      <c r="G111" s="200">
        <f>'SUIVI 2026'!K111</f>
        <v>0</v>
      </c>
      <c r="H111" s="201">
        <f>'SUIVI 2026'!L111</f>
        <v>0</v>
      </c>
      <c r="I111" s="202">
        <v>0</v>
      </c>
      <c r="J111" s="203">
        <f t="shared" si="2"/>
        <v>4254897</v>
      </c>
      <c r="K111" s="197">
        <v>0</v>
      </c>
      <c r="L111" s="77"/>
    </row>
    <row r="112" spans="1:12" ht="15.95" customHeight="1" x14ac:dyDescent="0.25">
      <c r="A112" s="73">
        <v>109</v>
      </c>
      <c r="B112" s="74">
        <v>46175</v>
      </c>
      <c r="C112" s="75" t="s">
        <v>207</v>
      </c>
      <c r="D112" s="73">
        <v>6</v>
      </c>
      <c r="E112" s="76">
        <v>16</v>
      </c>
      <c r="F112" s="209">
        <f t="shared" si="3"/>
        <v>4254897</v>
      </c>
      <c r="G112" s="200">
        <f>'SUIVI 2026'!K112</f>
        <v>0</v>
      </c>
      <c r="H112" s="201">
        <f>'SUIVI 2026'!L112</f>
        <v>0</v>
      </c>
      <c r="I112" s="202">
        <v>0</v>
      </c>
      <c r="J112" s="203">
        <f t="shared" si="2"/>
        <v>4254897</v>
      </c>
      <c r="K112" s="197">
        <v>0</v>
      </c>
      <c r="L112" s="77"/>
    </row>
    <row r="113" spans="1:12" ht="15.95" customHeight="1" x14ac:dyDescent="0.25">
      <c r="A113" s="73">
        <v>110</v>
      </c>
      <c r="B113" s="74">
        <v>46176</v>
      </c>
      <c r="C113" s="75" t="s">
        <v>208</v>
      </c>
      <c r="D113" s="73">
        <v>6</v>
      </c>
      <c r="E113" s="76">
        <v>16</v>
      </c>
      <c r="F113" s="209">
        <f t="shared" si="3"/>
        <v>4254897</v>
      </c>
      <c r="G113" s="200">
        <f>'SUIVI 2026'!K113</f>
        <v>0</v>
      </c>
      <c r="H113" s="201">
        <f>'SUIVI 2026'!L113</f>
        <v>0</v>
      </c>
      <c r="I113" s="202">
        <v>0</v>
      </c>
      <c r="J113" s="203">
        <f t="shared" si="2"/>
        <v>4254897</v>
      </c>
      <c r="K113" s="197">
        <v>0</v>
      </c>
      <c r="L113" s="77"/>
    </row>
    <row r="114" spans="1:12" ht="15.95" customHeight="1" x14ac:dyDescent="0.25">
      <c r="A114" s="73">
        <v>111</v>
      </c>
      <c r="B114" s="74">
        <v>46177</v>
      </c>
      <c r="C114" s="75" t="s">
        <v>204</v>
      </c>
      <c r="D114" s="73">
        <v>6</v>
      </c>
      <c r="E114" s="76">
        <v>16</v>
      </c>
      <c r="F114" s="209">
        <f t="shared" si="3"/>
        <v>4254897</v>
      </c>
      <c r="G114" s="200">
        <f>'SUIVI 2026'!K114</f>
        <v>0</v>
      </c>
      <c r="H114" s="201">
        <f>'SUIVI 2026'!L114</f>
        <v>0</v>
      </c>
      <c r="I114" s="202">
        <v>0</v>
      </c>
      <c r="J114" s="203">
        <f t="shared" si="2"/>
        <v>4254897</v>
      </c>
      <c r="K114" s="197">
        <v>0</v>
      </c>
      <c r="L114" s="77"/>
    </row>
    <row r="115" spans="1:12" ht="15.95" customHeight="1" x14ac:dyDescent="0.25">
      <c r="A115" s="73">
        <v>112</v>
      </c>
      <c r="B115" s="74">
        <v>46178</v>
      </c>
      <c r="C115" s="75" t="s">
        <v>205</v>
      </c>
      <c r="D115" s="73">
        <v>6</v>
      </c>
      <c r="E115" s="76">
        <v>16</v>
      </c>
      <c r="F115" s="209">
        <f t="shared" si="3"/>
        <v>4254897</v>
      </c>
      <c r="G115" s="200">
        <f>'SUIVI 2026'!K115</f>
        <v>0</v>
      </c>
      <c r="H115" s="201">
        <f>'SUIVI 2026'!L115</f>
        <v>0</v>
      </c>
      <c r="I115" s="202">
        <v>0</v>
      </c>
      <c r="J115" s="203">
        <f t="shared" si="2"/>
        <v>4254897</v>
      </c>
      <c r="K115" s="197">
        <v>0</v>
      </c>
      <c r="L115" s="77"/>
    </row>
    <row r="116" spans="1:12" ht="15.95" customHeight="1" x14ac:dyDescent="0.25">
      <c r="A116" s="73">
        <v>113</v>
      </c>
      <c r="B116" s="74">
        <v>46181</v>
      </c>
      <c r="C116" s="75" t="s">
        <v>206</v>
      </c>
      <c r="D116" s="73">
        <v>6</v>
      </c>
      <c r="E116" s="76">
        <v>16</v>
      </c>
      <c r="F116" s="209">
        <f t="shared" si="3"/>
        <v>4254897</v>
      </c>
      <c r="G116" s="200">
        <f>'SUIVI 2026'!K116</f>
        <v>0</v>
      </c>
      <c r="H116" s="201">
        <f>'SUIVI 2026'!L116</f>
        <v>0</v>
      </c>
      <c r="I116" s="202">
        <v>0</v>
      </c>
      <c r="J116" s="203">
        <f t="shared" si="2"/>
        <v>4254897</v>
      </c>
      <c r="K116" s="197">
        <v>0</v>
      </c>
      <c r="L116" s="77"/>
    </row>
    <row r="117" spans="1:12" ht="15.95" customHeight="1" x14ac:dyDescent="0.25">
      <c r="A117" s="73">
        <v>114</v>
      </c>
      <c r="B117" s="74">
        <v>46182</v>
      </c>
      <c r="C117" s="75" t="s">
        <v>207</v>
      </c>
      <c r="D117" s="73">
        <v>6</v>
      </c>
      <c r="E117" s="76">
        <v>16</v>
      </c>
      <c r="F117" s="209">
        <f t="shared" si="3"/>
        <v>4254897</v>
      </c>
      <c r="G117" s="200">
        <f>'SUIVI 2026'!K117</f>
        <v>0</v>
      </c>
      <c r="H117" s="201">
        <f>'SUIVI 2026'!L117</f>
        <v>0</v>
      </c>
      <c r="I117" s="202">
        <v>0</v>
      </c>
      <c r="J117" s="203">
        <f t="shared" si="2"/>
        <v>4254897</v>
      </c>
      <c r="K117" s="197">
        <v>0</v>
      </c>
      <c r="L117" s="77"/>
    </row>
    <row r="118" spans="1:12" ht="15.95" customHeight="1" x14ac:dyDescent="0.25">
      <c r="A118" s="73">
        <v>115</v>
      </c>
      <c r="B118" s="74">
        <v>46183</v>
      </c>
      <c r="C118" s="75" t="s">
        <v>208</v>
      </c>
      <c r="D118" s="73">
        <v>6</v>
      </c>
      <c r="E118" s="76">
        <v>16</v>
      </c>
      <c r="F118" s="209">
        <f t="shared" si="3"/>
        <v>4254897</v>
      </c>
      <c r="G118" s="200">
        <f>'SUIVI 2026'!K118</f>
        <v>0</v>
      </c>
      <c r="H118" s="201">
        <f>'SUIVI 2026'!L118</f>
        <v>0</v>
      </c>
      <c r="I118" s="202">
        <v>0</v>
      </c>
      <c r="J118" s="203">
        <f t="shared" si="2"/>
        <v>4254897</v>
      </c>
      <c r="K118" s="197">
        <v>0</v>
      </c>
      <c r="L118" s="77"/>
    </row>
    <row r="119" spans="1:12" ht="15.95" customHeight="1" x14ac:dyDescent="0.25">
      <c r="A119" s="73">
        <v>116</v>
      </c>
      <c r="B119" s="74">
        <v>46184</v>
      </c>
      <c r="C119" s="75" t="s">
        <v>204</v>
      </c>
      <c r="D119" s="73">
        <v>6</v>
      </c>
      <c r="E119" s="76">
        <v>17</v>
      </c>
      <c r="F119" s="209">
        <f t="shared" si="3"/>
        <v>4254897</v>
      </c>
      <c r="G119" s="200">
        <f>'SUIVI 2026'!K119</f>
        <v>0</v>
      </c>
      <c r="H119" s="201">
        <f>'SUIVI 2026'!L119</f>
        <v>0</v>
      </c>
      <c r="I119" s="202">
        <v>0</v>
      </c>
      <c r="J119" s="203">
        <f t="shared" si="2"/>
        <v>4254897</v>
      </c>
      <c r="K119" s="197">
        <v>0</v>
      </c>
      <c r="L119" s="77"/>
    </row>
    <row r="120" spans="1:12" ht="15.95" customHeight="1" x14ac:dyDescent="0.25">
      <c r="A120" s="73">
        <v>117</v>
      </c>
      <c r="B120" s="74">
        <v>46185</v>
      </c>
      <c r="C120" s="75" t="s">
        <v>205</v>
      </c>
      <c r="D120" s="73">
        <v>6</v>
      </c>
      <c r="E120" s="76">
        <v>17</v>
      </c>
      <c r="F120" s="209">
        <f t="shared" si="3"/>
        <v>4254897</v>
      </c>
      <c r="G120" s="200">
        <f>'SUIVI 2026'!K120</f>
        <v>0</v>
      </c>
      <c r="H120" s="201">
        <f>'SUIVI 2026'!L120</f>
        <v>0</v>
      </c>
      <c r="I120" s="202">
        <v>0</v>
      </c>
      <c r="J120" s="203">
        <f t="shared" si="2"/>
        <v>4254897</v>
      </c>
      <c r="K120" s="197">
        <v>0</v>
      </c>
      <c r="L120" s="77"/>
    </row>
    <row r="121" spans="1:12" ht="15.95" customHeight="1" x14ac:dyDescent="0.25">
      <c r="A121" s="73">
        <v>118</v>
      </c>
      <c r="B121" s="74">
        <v>46188</v>
      </c>
      <c r="C121" s="75" t="s">
        <v>206</v>
      </c>
      <c r="D121" s="73">
        <v>6</v>
      </c>
      <c r="E121" s="76">
        <v>17</v>
      </c>
      <c r="F121" s="209">
        <f t="shared" si="3"/>
        <v>4254897</v>
      </c>
      <c r="G121" s="200">
        <f>'SUIVI 2026'!K121</f>
        <v>0</v>
      </c>
      <c r="H121" s="201">
        <f>'SUIVI 2026'!L121</f>
        <v>0</v>
      </c>
      <c r="I121" s="202">
        <v>0</v>
      </c>
      <c r="J121" s="203">
        <f t="shared" si="2"/>
        <v>4254897</v>
      </c>
      <c r="K121" s="197">
        <v>0</v>
      </c>
      <c r="L121" s="77"/>
    </row>
    <row r="122" spans="1:12" ht="15.95" customHeight="1" x14ac:dyDescent="0.25">
      <c r="A122" s="73">
        <v>119</v>
      </c>
      <c r="B122" s="74">
        <v>46189</v>
      </c>
      <c r="C122" s="75" t="s">
        <v>207</v>
      </c>
      <c r="D122" s="73">
        <v>6</v>
      </c>
      <c r="E122" s="76">
        <v>17</v>
      </c>
      <c r="F122" s="209">
        <f t="shared" si="3"/>
        <v>4254897</v>
      </c>
      <c r="G122" s="200">
        <f>'SUIVI 2026'!K122</f>
        <v>0</v>
      </c>
      <c r="H122" s="201">
        <f>'SUIVI 2026'!L122</f>
        <v>0</v>
      </c>
      <c r="I122" s="202">
        <v>0</v>
      </c>
      <c r="J122" s="203">
        <f t="shared" si="2"/>
        <v>4254897</v>
      </c>
      <c r="K122" s="197">
        <v>0</v>
      </c>
      <c r="L122" s="77"/>
    </row>
    <row r="123" spans="1:12" ht="15.95" customHeight="1" x14ac:dyDescent="0.25">
      <c r="A123" s="73">
        <v>120</v>
      </c>
      <c r="B123" s="74">
        <v>46190</v>
      </c>
      <c r="C123" s="75" t="s">
        <v>208</v>
      </c>
      <c r="D123" s="73">
        <v>6</v>
      </c>
      <c r="E123" s="76">
        <v>17</v>
      </c>
      <c r="F123" s="209">
        <f t="shared" si="3"/>
        <v>4254897</v>
      </c>
      <c r="G123" s="200">
        <f>'SUIVI 2026'!K123</f>
        <v>0</v>
      </c>
      <c r="H123" s="201">
        <f>'SUIVI 2026'!L123</f>
        <v>0</v>
      </c>
      <c r="I123" s="202">
        <v>0</v>
      </c>
      <c r="J123" s="203">
        <f t="shared" si="2"/>
        <v>4254897</v>
      </c>
      <c r="K123" s="197">
        <v>0</v>
      </c>
      <c r="L123" s="77"/>
    </row>
    <row r="124" spans="1:12" ht="15.95" customHeight="1" x14ac:dyDescent="0.25">
      <c r="A124" s="73">
        <v>121</v>
      </c>
      <c r="B124" s="74">
        <v>46191</v>
      </c>
      <c r="C124" s="75" t="s">
        <v>204</v>
      </c>
      <c r="D124" s="73">
        <v>6</v>
      </c>
      <c r="E124" s="76">
        <v>17</v>
      </c>
      <c r="F124" s="209">
        <f t="shared" si="3"/>
        <v>4254897</v>
      </c>
      <c r="G124" s="200">
        <f>'SUIVI 2026'!K124</f>
        <v>0</v>
      </c>
      <c r="H124" s="201">
        <f>'SUIVI 2026'!L124</f>
        <v>0</v>
      </c>
      <c r="I124" s="202">
        <v>0</v>
      </c>
      <c r="J124" s="203">
        <f t="shared" si="2"/>
        <v>4254897</v>
      </c>
      <c r="K124" s="197">
        <v>0</v>
      </c>
      <c r="L124" s="77"/>
    </row>
    <row r="125" spans="1:12" ht="15.95" customHeight="1" x14ac:dyDescent="0.25">
      <c r="A125" s="73">
        <v>122</v>
      </c>
      <c r="B125" s="74">
        <v>46192</v>
      </c>
      <c r="C125" s="75" t="s">
        <v>205</v>
      </c>
      <c r="D125" s="73">
        <v>6</v>
      </c>
      <c r="E125" s="76">
        <v>17</v>
      </c>
      <c r="F125" s="209">
        <f t="shared" si="3"/>
        <v>4254897</v>
      </c>
      <c r="G125" s="200">
        <f>'SUIVI 2026'!K125</f>
        <v>0</v>
      </c>
      <c r="H125" s="201">
        <f>'SUIVI 2026'!L125</f>
        <v>0</v>
      </c>
      <c r="I125" s="202">
        <v>0</v>
      </c>
      <c r="J125" s="203">
        <f t="shared" si="2"/>
        <v>4254897</v>
      </c>
      <c r="K125" s="197">
        <v>0</v>
      </c>
      <c r="L125" s="77"/>
    </row>
    <row r="126" spans="1:12" ht="15.95" customHeight="1" x14ac:dyDescent="0.25">
      <c r="A126" s="73">
        <v>123</v>
      </c>
      <c r="B126" s="74">
        <v>46195</v>
      </c>
      <c r="C126" s="75" t="s">
        <v>206</v>
      </c>
      <c r="D126" s="73">
        <v>6</v>
      </c>
      <c r="E126" s="76">
        <v>18</v>
      </c>
      <c r="F126" s="209">
        <f t="shared" si="3"/>
        <v>4254897</v>
      </c>
      <c r="G126" s="200">
        <f>'SUIVI 2026'!K126</f>
        <v>0</v>
      </c>
      <c r="H126" s="201">
        <f>'SUIVI 2026'!L126</f>
        <v>0</v>
      </c>
      <c r="I126" s="202">
        <v>0</v>
      </c>
      <c r="J126" s="203">
        <f t="shared" si="2"/>
        <v>4254897</v>
      </c>
      <c r="K126" s="197">
        <v>0</v>
      </c>
      <c r="L126" s="77"/>
    </row>
    <row r="127" spans="1:12" ht="15.95" customHeight="1" x14ac:dyDescent="0.25">
      <c r="A127" s="73">
        <v>124</v>
      </c>
      <c r="B127" s="74">
        <v>46196</v>
      </c>
      <c r="C127" s="75" t="s">
        <v>207</v>
      </c>
      <c r="D127" s="73">
        <v>6</v>
      </c>
      <c r="E127" s="76">
        <v>18</v>
      </c>
      <c r="F127" s="209">
        <f t="shared" si="3"/>
        <v>4254897</v>
      </c>
      <c r="G127" s="200">
        <f>'SUIVI 2026'!K127</f>
        <v>0</v>
      </c>
      <c r="H127" s="201">
        <f>'SUIVI 2026'!L127</f>
        <v>0</v>
      </c>
      <c r="I127" s="202">
        <v>0</v>
      </c>
      <c r="J127" s="203">
        <f t="shared" si="2"/>
        <v>4254897</v>
      </c>
      <c r="K127" s="197">
        <v>0</v>
      </c>
      <c r="L127" s="77"/>
    </row>
    <row r="128" spans="1:12" ht="15.95" customHeight="1" x14ac:dyDescent="0.25">
      <c r="A128" s="73">
        <v>125</v>
      </c>
      <c r="B128" s="74">
        <v>46197</v>
      </c>
      <c r="C128" s="75" t="s">
        <v>208</v>
      </c>
      <c r="D128" s="73">
        <v>6</v>
      </c>
      <c r="E128" s="76">
        <v>18</v>
      </c>
      <c r="F128" s="209">
        <f t="shared" si="3"/>
        <v>4254897</v>
      </c>
      <c r="G128" s="200">
        <f>'SUIVI 2026'!K128</f>
        <v>0</v>
      </c>
      <c r="H128" s="201">
        <f>'SUIVI 2026'!L128</f>
        <v>0</v>
      </c>
      <c r="I128" s="202">
        <v>0</v>
      </c>
      <c r="J128" s="203">
        <f t="shared" si="2"/>
        <v>4254897</v>
      </c>
      <c r="K128" s="197">
        <v>0</v>
      </c>
      <c r="L128" s="77"/>
    </row>
    <row r="129" spans="1:12" ht="15.95" customHeight="1" x14ac:dyDescent="0.25">
      <c r="A129" s="73">
        <v>126</v>
      </c>
      <c r="B129" s="74">
        <v>46198</v>
      </c>
      <c r="C129" s="75" t="s">
        <v>204</v>
      </c>
      <c r="D129" s="73">
        <v>6</v>
      </c>
      <c r="E129" s="76">
        <v>18</v>
      </c>
      <c r="F129" s="209">
        <f t="shared" si="3"/>
        <v>4254897</v>
      </c>
      <c r="G129" s="200">
        <f>'SUIVI 2026'!K129</f>
        <v>0</v>
      </c>
      <c r="H129" s="201">
        <f>'SUIVI 2026'!L129</f>
        <v>0</v>
      </c>
      <c r="I129" s="202">
        <v>0</v>
      </c>
      <c r="J129" s="203">
        <f t="shared" si="2"/>
        <v>4254897</v>
      </c>
      <c r="K129" s="197">
        <v>0</v>
      </c>
      <c r="L129" s="77"/>
    </row>
    <row r="130" spans="1:12" ht="15.95" customHeight="1" x14ac:dyDescent="0.25">
      <c r="A130" s="73">
        <v>127</v>
      </c>
      <c r="B130" s="74">
        <v>46199</v>
      </c>
      <c r="C130" s="75" t="s">
        <v>205</v>
      </c>
      <c r="D130" s="73">
        <v>6</v>
      </c>
      <c r="E130" s="76">
        <v>18</v>
      </c>
      <c r="F130" s="209">
        <f t="shared" si="3"/>
        <v>4254897</v>
      </c>
      <c r="G130" s="200">
        <f>'SUIVI 2026'!K130</f>
        <v>0</v>
      </c>
      <c r="H130" s="201">
        <f>'SUIVI 2026'!L130</f>
        <v>0</v>
      </c>
      <c r="I130" s="202">
        <v>0</v>
      </c>
      <c r="J130" s="203">
        <f t="shared" si="2"/>
        <v>4254897</v>
      </c>
      <c r="K130" s="197">
        <v>0</v>
      </c>
      <c r="L130" s="77"/>
    </row>
    <row r="131" spans="1:12" ht="15.95" customHeight="1" x14ac:dyDescent="0.25">
      <c r="A131" s="73">
        <v>128</v>
      </c>
      <c r="B131" s="74">
        <v>46202</v>
      </c>
      <c r="C131" s="75" t="s">
        <v>206</v>
      </c>
      <c r="D131" s="73">
        <v>6</v>
      </c>
      <c r="E131" s="76">
        <v>18</v>
      </c>
      <c r="F131" s="209">
        <f t="shared" si="3"/>
        <v>4254897</v>
      </c>
      <c r="G131" s="200">
        <f>'SUIVI 2026'!K131</f>
        <v>0</v>
      </c>
      <c r="H131" s="201">
        <f>'SUIVI 2026'!L131</f>
        <v>0</v>
      </c>
      <c r="I131" s="202">
        <v>0</v>
      </c>
      <c r="J131" s="203">
        <f t="shared" si="2"/>
        <v>4254897</v>
      </c>
      <c r="K131" s="197">
        <v>0</v>
      </c>
      <c r="L131" s="77"/>
    </row>
    <row r="132" spans="1:12" ht="15.95" customHeight="1" x14ac:dyDescent="0.25">
      <c r="A132" s="73">
        <v>129</v>
      </c>
      <c r="B132" s="74">
        <v>46203</v>
      </c>
      <c r="C132" s="75" t="s">
        <v>207</v>
      </c>
      <c r="D132" s="73">
        <v>6</v>
      </c>
      <c r="E132" s="76">
        <v>18</v>
      </c>
      <c r="F132" s="209">
        <f t="shared" si="3"/>
        <v>4254897</v>
      </c>
      <c r="G132" s="200">
        <f>'SUIVI 2026'!K132</f>
        <v>0</v>
      </c>
      <c r="H132" s="201">
        <f>'SUIVI 2026'!L132</f>
        <v>0</v>
      </c>
      <c r="I132" s="202">
        <v>0</v>
      </c>
      <c r="J132" s="203">
        <f t="shared" ref="J132:J195" si="4">F132+G132-H132-I132</f>
        <v>4254897</v>
      </c>
      <c r="K132" s="197">
        <v>0</v>
      </c>
      <c r="L132" s="77"/>
    </row>
    <row r="133" spans="1:12" ht="15.95" customHeight="1" x14ac:dyDescent="0.25">
      <c r="A133" s="53">
        <v>130</v>
      </c>
      <c r="B133" s="54">
        <v>46204</v>
      </c>
      <c r="C133" s="55" t="s">
        <v>208</v>
      </c>
      <c r="D133" s="53">
        <v>7</v>
      </c>
      <c r="E133" s="56">
        <v>19</v>
      </c>
      <c r="F133" s="205">
        <f t="shared" ref="F133:F196" si="5">J132</f>
        <v>4254897</v>
      </c>
      <c r="G133" s="200">
        <f>'SUIVI 2026'!K133</f>
        <v>0</v>
      </c>
      <c r="H133" s="201">
        <f>'SUIVI 2026'!L133</f>
        <v>0</v>
      </c>
      <c r="I133" s="202">
        <v>0</v>
      </c>
      <c r="J133" s="203">
        <f t="shared" si="4"/>
        <v>4254897</v>
      </c>
      <c r="K133" s="197">
        <v>0</v>
      </c>
      <c r="L133" s="57"/>
    </row>
    <row r="134" spans="1:12" ht="15.95" customHeight="1" x14ac:dyDescent="0.25">
      <c r="A134" s="53">
        <v>131</v>
      </c>
      <c r="B134" s="54">
        <v>46205</v>
      </c>
      <c r="C134" s="55" t="s">
        <v>204</v>
      </c>
      <c r="D134" s="53">
        <v>7</v>
      </c>
      <c r="E134" s="56">
        <v>19</v>
      </c>
      <c r="F134" s="205">
        <f t="shared" si="5"/>
        <v>4254897</v>
      </c>
      <c r="G134" s="200">
        <f>'SUIVI 2026'!K134</f>
        <v>0</v>
      </c>
      <c r="H134" s="201">
        <f>'SUIVI 2026'!L134</f>
        <v>0</v>
      </c>
      <c r="I134" s="202">
        <v>0</v>
      </c>
      <c r="J134" s="203">
        <f t="shared" si="4"/>
        <v>4254897</v>
      </c>
      <c r="K134" s="197">
        <v>0</v>
      </c>
      <c r="L134" s="57"/>
    </row>
    <row r="135" spans="1:12" ht="15.95" customHeight="1" x14ac:dyDescent="0.25">
      <c r="A135" s="53">
        <v>132</v>
      </c>
      <c r="B135" s="54">
        <v>46206</v>
      </c>
      <c r="C135" s="55" t="s">
        <v>205</v>
      </c>
      <c r="D135" s="53">
        <v>7</v>
      </c>
      <c r="E135" s="56">
        <v>19</v>
      </c>
      <c r="F135" s="205">
        <f t="shared" si="5"/>
        <v>4254897</v>
      </c>
      <c r="G135" s="200">
        <f>'SUIVI 2026'!K135</f>
        <v>0</v>
      </c>
      <c r="H135" s="201">
        <f>'SUIVI 2026'!L135</f>
        <v>0</v>
      </c>
      <c r="I135" s="202">
        <v>0</v>
      </c>
      <c r="J135" s="203">
        <f t="shared" si="4"/>
        <v>4254897</v>
      </c>
      <c r="K135" s="197">
        <v>0</v>
      </c>
      <c r="L135" s="57"/>
    </row>
    <row r="136" spans="1:12" ht="15.95" customHeight="1" x14ac:dyDescent="0.25">
      <c r="A136" s="53">
        <v>133</v>
      </c>
      <c r="B136" s="54">
        <v>46209</v>
      </c>
      <c r="C136" s="55" t="s">
        <v>206</v>
      </c>
      <c r="D136" s="53">
        <v>7</v>
      </c>
      <c r="E136" s="56">
        <v>19</v>
      </c>
      <c r="F136" s="205">
        <f t="shared" si="5"/>
        <v>4254897</v>
      </c>
      <c r="G136" s="200">
        <f>'SUIVI 2026'!K136</f>
        <v>0</v>
      </c>
      <c r="H136" s="201">
        <f>'SUIVI 2026'!L136</f>
        <v>0</v>
      </c>
      <c r="I136" s="202">
        <v>0</v>
      </c>
      <c r="J136" s="203">
        <f t="shared" si="4"/>
        <v>4254897</v>
      </c>
      <c r="K136" s="197">
        <v>0</v>
      </c>
      <c r="L136" s="57"/>
    </row>
    <row r="137" spans="1:12" ht="15.95" customHeight="1" x14ac:dyDescent="0.25">
      <c r="A137" s="53">
        <v>134</v>
      </c>
      <c r="B137" s="54">
        <v>46210</v>
      </c>
      <c r="C137" s="55" t="s">
        <v>207</v>
      </c>
      <c r="D137" s="53">
        <v>7</v>
      </c>
      <c r="E137" s="56">
        <v>19</v>
      </c>
      <c r="F137" s="205">
        <f t="shared" si="5"/>
        <v>4254897</v>
      </c>
      <c r="G137" s="200">
        <f>'SUIVI 2026'!K137</f>
        <v>0</v>
      </c>
      <c r="H137" s="201">
        <f>'SUIVI 2026'!L137</f>
        <v>0</v>
      </c>
      <c r="I137" s="202">
        <v>0</v>
      </c>
      <c r="J137" s="203">
        <f t="shared" si="4"/>
        <v>4254897</v>
      </c>
      <c r="K137" s="197">
        <v>0</v>
      </c>
      <c r="L137" s="57"/>
    </row>
    <row r="138" spans="1:12" ht="15.95" customHeight="1" x14ac:dyDescent="0.25">
      <c r="A138" s="53">
        <v>135</v>
      </c>
      <c r="B138" s="54">
        <v>46211</v>
      </c>
      <c r="C138" s="55" t="s">
        <v>208</v>
      </c>
      <c r="D138" s="53">
        <v>7</v>
      </c>
      <c r="E138" s="56">
        <v>19</v>
      </c>
      <c r="F138" s="205">
        <f t="shared" si="5"/>
        <v>4254897</v>
      </c>
      <c r="G138" s="200">
        <f>'SUIVI 2026'!K138</f>
        <v>0</v>
      </c>
      <c r="H138" s="201">
        <f>'SUIVI 2026'!L138</f>
        <v>0</v>
      </c>
      <c r="I138" s="202">
        <v>0</v>
      </c>
      <c r="J138" s="203">
        <f t="shared" si="4"/>
        <v>4254897</v>
      </c>
      <c r="K138" s="197">
        <v>0</v>
      </c>
      <c r="L138" s="57"/>
    </row>
    <row r="139" spans="1:12" ht="15.95" customHeight="1" x14ac:dyDescent="0.25">
      <c r="A139" s="53">
        <v>136</v>
      </c>
      <c r="B139" s="54">
        <v>46212</v>
      </c>
      <c r="C139" s="55" t="s">
        <v>204</v>
      </c>
      <c r="D139" s="53">
        <v>7</v>
      </c>
      <c r="E139" s="56">
        <v>19</v>
      </c>
      <c r="F139" s="205">
        <f t="shared" si="5"/>
        <v>4254897</v>
      </c>
      <c r="G139" s="200">
        <f>'SUIVI 2026'!K139</f>
        <v>0</v>
      </c>
      <c r="H139" s="201">
        <f>'SUIVI 2026'!L139</f>
        <v>0</v>
      </c>
      <c r="I139" s="202">
        <v>0</v>
      </c>
      <c r="J139" s="203">
        <f t="shared" si="4"/>
        <v>4254897</v>
      </c>
      <c r="K139" s="197">
        <v>0</v>
      </c>
      <c r="L139" s="57"/>
    </row>
    <row r="140" spans="1:12" ht="15.95" customHeight="1" x14ac:dyDescent="0.25">
      <c r="A140" s="53">
        <v>137</v>
      </c>
      <c r="B140" s="54">
        <v>46213</v>
      </c>
      <c r="C140" s="55" t="s">
        <v>205</v>
      </c>
      <c r="D140" s="53">
        <v>7</v>
      </c>
      <c r="E140" s="56">
        <v>19</v>
      </c>
      <c r="F140" s="205">
        <f t="shared" si="5"/>
        <v>4254897</v>
      </c>
      <c r="G140" s="200">
        <f>'SUIVI 2026'!K140</f>
        <v>0</v>
      </c>
      <c r="H140" s="201">
        <f>'SUIVI 2026'!L140</f>
        <v>0</v>
      </c>
      <c r="I140" s="202">
        <v>0</v>
      </c>
      <c r="J140" s="203">
        <f t="shared" si="4"/>
        <v>4254897</v>
      </c>
      <c r="K140" s="197">
        <v>0</v>
      </c>
      <c r="L140" s="57"/>
    </row>
    <row r="141" spans="1:12" ht="15.95" customHeight="1" x14ac:dyDescent="0.25">
      <c r="A141" s="53">
        <v>138</v>
      </c>
      <c r="B141" s="54">
        <v>46216</v>
      </c>
      <c r="C141" s="55" t="s">
        <v>206</v>
      </c>
      <c r="D141" s="53">
        <v>7</v>
      </c>
      <c r="E141" s="56">
        <v>20</v>
      </c>
      <c r="F141" s="205">
        <f t="shared" si="5"/>
        <v>4254897</v>
      </c>
      <c r="G141" s="200">
        <f>'SUIVI 2026'!K141</f>
        <v>0</v>
      </c>
      <c r="H141" s="201">
        <f>'SUIVI 2026'!L141</f>
        <v>0</v>
      </c>
      <c r="I141" s="202">
        <v>0</v>
      </c>
      <c r="J141" s="203">
        <f t="shared" si="4"/>
        <v>4254897</v>
      </c>
      <c r="K141" s="197">
        <v>0</v>
      </c>
      <c r="L141" s="57"/>
    </row>
    <row r="142" spans="1:12" ht="15.95" customHeight="1" x14ac:dyDescent="0.25">
      <c r="A142" s="53">
        <v>139</v>
      </c>
      <c r="B142" s="54">
        <v>46217</v>
      </c>
      <c r="C142" s="55" t="s">
        <v>207</v>
      </c>
      <c r="D142" s="53">
        <v>7</v>
      </c>
      <c r="E142" s="56">
        <v>20</v>
      </c>
      <c r="F142" s="205">
        <f t="shared" si="5"/>
        <v>4254897</v>
      </c>
      <c r="G142" s="200">
        <f>'SUIVI 2026'!K142</f>
        <v>0</v>
      </c>
      <c r="H142" s="201">
        <f>'SUIVI 2026'!L142</f>
        <v>0</v>
      </c>
      <c r="I142" s="202">
        <v>0</v>
      </c>
      <c r="J142" s="203">
        <f t="shared" si="4"/>
        <v>4254897</v>
      </c>
      <c r="K142" s="197">
        <v>0</v>
      </c>
      <c r="L142" s="57"/>
    </row>
    <row r="143" spans="1:12" ht="15.95" customHeight="1" x14ac:dyDescent="0.25">
      <c r="A143" s="53">
        <v>140</v>
      </c>
      <c r="B143" s="54">
        <v>46218</v>
      </c>
      <c r="C143" s="55" t="s">
        <v>208</v>
      </c>
      <c r="D143" s="53">
        <v>7</v>
      </c>
      <c r="E143" s="56">
        <v>20</v>
      </c>
      <c r="F143" s="205">
        <f t="shared" si="5"/>
        <v>4254897</v>
      </c>
      <c r="G143" s="200">
        <f>'SUIVI 2026'!K143</f>
        <v>0</v>
      </c>
      <c r="H143" s="201">
        <f>'SUIVI 2026'!L143</f>
        <v>0</v>
      </c>
      <c r="I143" s="202">
        <v>0</v>
      </c>
      <c r="J143" s="203">
        <f t="shared" si="4"/>
        <v>4254897</v>
      </c>
      <c r="K143" s="197">
        <v>0</v>
      </c>
      <c r="L143" s="57"/>
    </row>
    <row r="144" spans="1:12" ht="15.95" customHeight="1" x14ac:dyDescent="0.25">
      <c r="A144" s="53">
        <v>141</v>
      </c>
      <c r="B144" s="54">
        <v>46219</v>
      </c>
      <c r="C144" s="55" t="s">
        <v>204</v>
      </c>
      <c r="D144" s="53">
        <v>7</v>
      </c>
      <c r="E144" s="56">
        <v>20</v>
      </c>
      <c r="F144" s="205">
        <f t="shared" si="5"/>
        <v>4254897</v>
      </c>
      <c r="G144" s="200">
        <f>'SUIVI 2026'!K144</f>
        <v>0</v>
      </c>
      <c r="H144" s="201">
        <f>'SUIVI 2026'!L144</f>
        <v>0</v>
      </c>
      <c r="I144" s="202">
        <v>0</v>
      </c>
      <c r="J144" s="203">
        <f t="shared" si="4"/>
        <v>4254897</v>
      </c>
      <c r="K144" s="197">
        <v>0</v>
      </c>
      <c r="L144" s="57"/>
    </row>
    <row r="145" spans="1:12" ht="15.95" customHeight="1" x14ac:dyDescent="0.25">
      <c r="A145" s="53">
        <v>142</v>
      </c>
      <c r="B145" s="54">
        <v>46220</v>
      </c>
      <c r="C145" s="55" t="s">
        <v>205</v>
      </c>
      <c r="D145" s="53">
        <v>7</v>
      </c>
      <c r="E145" s="56">
        <v>20</v>
      </c>
      <c r="F145" s="205">
        <f t="shared" si="5"/>
        <v>4254897</v>
      </c>
      <c r="G145" s="200">
        <f>'SUIVI 2026'!K145</f>
        <v>0</v>
      </c>
      <c r="H145" s="201">
        <f>'SUIVI 2026'!L145</f>
        <v>0</v>
      </c>
      <c r="I145" s="202">
        <v>0</v>
      </c>
      <c r="J145" s="203">
        <f t="shared" si="4"/>
        <v>4254897</v>
      </c>
      <c r="K145" s="197">
        <v>0</v>
      </c>
      <c r="L145" s="57"/>
    </row>
    <row r="146" spans="1:12" ht="15.95" customHeight="1" x14ac:dyDescent="0.25">
      <c r="A146" s="53">
        <v>143</v>
      </c>
      <c r="B146" s="54">
        <v>46223</v>
      </c>
      <c r="C146" s="55" t="s">
        <v>206</v>
      </c>
      <c r="D146" s="53">
        <v>7</v>
      </c>
      <c r="E146" s="56">
        <v>20</v>
      </c>
      <c r="F146" s="205">
        <f t="shared" si="5"/>
        <v>4254897</v>
      </c>
      <c r="G146" s="200">
        <f>'SUIVI 2026'!K146</f>
        <v>0</v>
      </c>
      <c r="H146" s="201">
        <f>'SUIVI 2026'!L146</f>
        <v>0</v>
      </c>
      <c r="I146" s="202">
        <v>0</v>
      </c>
      <c r="J146" s="203">
        <f t="shared" si="4"/>
        <v>4254897</v>
      </c>
      <c r="K146" s="197">
        <v>0</v>
      </c>
      <c r="L146" s="57"/>
    </row>
    <row r="147" spans="1:12" ht="15.95" customHeight="1" x14ac:dyDescent="0.25">
      <c r="A147" s="53">
        <v>144</v>
      </c>
      <c r="B147" s="54">
        <v>46224</v>
      </c>
      <c r="C147" s="55" t="s">
        <v>207</v>
      </c>
      <c r="D147" s="53">
        <v>7</v>
      </c>
      <c r="E147" s="56">
        <v>21</v>
      </c>
      <c r="F147" s="205">
        <f t="shared" si="5"/>
        <v>4254897</v>
      </c>
      <c r="G147" s="200">
        <f>'SUIVI 2026'!K147</f>
        <v>0</v>
      </c>
      <c r="H147" s="201">
        <f>'SUIVI 2026'!L147</f>
        <v>0</v>
      </c>
      <c r="I147" s="202">
        <v>0</v>
      </c>
      <c r="J147" s="203">
        <f t="shared" si="4"/>
        <v>4254897</v>
      </c>
      <c r="K147" s="197">
        <v>0</v>
      </c>
      <c r="L147" s="57"/>
    </row>
    <row r="148" spans="1:12" ht="15.95" customHeight="1" x14ac:dyDescent="0.25">
      <c r="A148" s="53">
        <v>145</v>
      </c>
      <c r="B148" s="54">
        <v>46225</v>
      </c>
      <c r="C148" s="55" t="s">
        <v>208</v>
      </c>
      <c r="D148" s="53">
        <v>7</v>
      </c>
      <c r="E148" s="56">
        <v>21</v>
      </c>
      <c r="F148" s="205">
        <f t="shared" si="5"/>
        <v>4254897</v>
      </c>
      <c r="G148" s="200">
        <f>'SUIVI 2026'!K148</f>
        <v>0</v>
      </c>
      <c r="H148" s="201">
        <f>'SUIVI 2026'!L148</f>
        <v>0</v>
      </c>
      <c r="I148" s="202">
        <v>0</v>
      </c>
      <c r="J148" s="203">
        <f t="shared" si="4"/>
        <v>4254897</v>
      </c>
      <c r="K148" s="197">
        <v>0</v>
      </c>
      <c r="L148" s="57"/>
    </row>
    <row r="149" spans="1:12" ht="15.95" customHeight="1" x14ac:dyDescent="0.25">
      <c r="A149" s="53">
        <v>146</v>
      </c>
      <c r="B149" s="54">
        <v>46226</v>
      </c>
      <c r="C149" s="55" t="s">
        <v>204</v>
      </c>
      <c r="D149" s="53">
        <v>7</v>
      </c>
      <c r="E149" s="56">
        <v>21</v>
      </c>
      <c r="F149" s="205">
        <f t="shared" si="5"/>
        <v>4254897</v>
      </c>
      <c r="G149" s="200">
        <f>'SUIVI 2026'!K149</f>
        <v>0</v>
      </c>
      <c r="H149" s="201">
        <f>'SUIVI 2026'!L149</f>
        <v>0</v>
      </c>
      <c r="I149" s="202">
        <v>0</v>
      </c>
      <c r="J149" s="203">
        <f t="shared" si="4"/>
        <v>4254897</v>
      </c>
      <c r="K149" s="197">
        <v>0</v>
      </c>
      <c r="L149" s="57"/>
    </row>
    <row r="150" spans="1:12" ht="15.95" customHeight="1" x14ac:dyDescent="0.25">
      <c r="A150" s="53">
        <v>147</v>
      </c>
      <c r="B150" s="54">
        <v>46227</v>
      </c>
      <c r="C150" s="55" t="s">
        <v>205</v>
      </c>
      <c r="D150" s="53">
        <v>7</v>
      </c>
      <c r="E150" s="56">
        <v>21</v>
      </c>
      <c r="F150" s="205">
        <f t="shared" si="5"/>
        <v>4254897</v>
      </c>
      <c r="G150" s="200">
        <f>'SUIVI 2026'!K150</f>
        <v>0</v>
      </c>
      <c r="H150" s="201">
        <f>'SUIVI 2026'!L150</f>
        <v>0</v>
      </c>
      <c r="I150" s="202">
        <v>0</v>
      </c>
      <c r="J150" s="203">
        <f t="shared" si="4"/>
        <v>4254897</v>
      </c>
      <c r="K150" s="197">
        <v>0</v>
      </c>
      <c r="L150" s="57"/>
    </row>
    <row r="151" spans="1:12" ht="15.95" customHeight="1" x14ac:dyDescent="0.25">
      <c r="A151" s="53">
        <v>148</v>
      </c>
      <c r="B151" s="54">
        <v>46230</v>
      </c>
      <c r="C151" s="55" t="s">
        <v>206</v>
      </c>
      <c r="D151" s="53">
        <v>7</v>
      </c>
      <c r="E151" s="56">
        <v>21</v>
      </c>
      <c r="F151" s="205">
        <f t="shared" si="5"/>
        <v>4254897</v>
      </c>
      <c r="G151" s="200">
        <f>'SUIVI 2026'!K151</f>
        <v>0</v>
      </c>
      <c r="H151" s="201">
        <f>'SUIVI 2026'!L151</f>
        <v>0</v>
      </c>
      <c r="I151" s="202">
        <v>0</v>
      </c>
      <c r="J151" s="203">
        <f t="shared" si="4"/>
        <v>4254897</v>
      </c>
      <c r="K151" s="197">
        <v>0</v>
      </c>
      <c r="L151" s="57"/>
    </row>
    <row r="152" spans="1:12" ht="15.95" customHeight="1" x14ac:dyDescent="0.25">
      <c r="A152" s="53">
        <v>149</v>
      </c>
      <c r="B152" s="54">
        <v>46231</v>
      </c>
      <c r="C152" s="55" t="s">
        <v>207</v>
      </c>
      <c r="D152" s="53">
        <v>7</v>
      </c>
      <c r="E152" s="56">
        <v>21</v>
      </c>
      <c r="F152" s="205">
        <f t="shared" si="5"/>
        <v>4254897</v>
      </c>
      <c r="G152" s="200">
        <f>'SUIVI 2026'!K152</f>
        <v>0</v>
      </c>
      <c r="H152" s="201">
        <f>'SUIVI 2026'!L152</f>
        <v>0</v>
      </c>
      <c r="I152" s="202">
        <v>0</v>
      </c>
      <c r="J152" s="203">
        <f t="shared" si="4"/>
        <v>4254897</v>
      </c>
      <c r="K152" s="197">
        <v>0</v>
      </c>
      <c r="L152" s="57"/>
    </row>
    <row r="153" spans="1:12" ht="15.95" customHeight="1" x14ac:dyDescent="0.25">
      <c r="A153" s="53">
        <v>150</v>
      </c>
      <c r="B153" s="54">
        <v>46232</v>
      </c>
      <c r="C153" s="55" t="s">
        <v>208</v>
      </c>
      <c r="D153" s="53">
        <v>7</v>
      </c>
      <c r="E153" s="56">
        <v>21</v>
      </c>
      <c r="F153" s="205">
        <f t="shared" si="5"/>
        <v>4254897</v>
      </c>
      <c r="G153" s="200">
        <f>'SUIVI 2026'!K153</f>
        <v>0</v>
      </c>
      <c r="H153" s="201">
        <f>'SUIVI 2026'!L153</f>
        <v>0</v>
      </c>
      <c r="I153" s="202">
        <v>0</v>
      </c>
      <c r="J153" s="203">
        <f t="shared" si="4"/>
        <v>4254897</v>
      </c>
      <c r="K153" s="197">
        <v>0</v>
      </c>
      <c r="L153" s="57"/>
    </row>
    <row r="154" spans="1:12" ht="15.95" customHeight="1" x14ac:dyDescent="0.25">
      <c r="A154" s="53">
        <v>151</v>
      </c>
      <c r="B154" s="54">
        <v>46233</v>
      </c>
      <c r="C154" s="55" t="s">
        <v>204</v>
      </c>
      <c r="D154" s="53">
        <v>7</v>
      </c>
      <c r="E154" s="56">
        <v>21</v>
      </c>
      <c r="F154" s="205">
        <f t="shared" si="5"/>
        <v>4254897</v>
      </c>
      <c r="G154" s="200">
        <f>'SUIVI 2026'!K154</f>
        <v>0</v>
      </c>
      <c r="H154" s="201">
        <f>'SUIVI 2026'!L154</f>
        <v>0</v>
      </c>
      <c r="I154" s="202">
        <v>0</v>
      </c>
      <c r="J154" s="203">
        <f t="shared" si="4"/>
        <v>4254897</v>
      </c>
      <c r="K154" s="197">
        <v>0</v>
      </c>
      <c r="L154" s="57"/>
    </row>
    <row r="155" spans="1:12" ht="15.95" customHeight="1" x14ac:dyDescent="0.25">
      <c r="A155" s="53">
        <v>152</v>
      </c>
      <c r="B155" s="54">
        <v>46234</v>
      </c>
      <c r="C155" s="55" t="s">
        <v>205</v>
      </c>
      <c r="D155" s="53">
        <v>7</v>
      </c>
      <c r="E155" s="56">
        <v>21</v>
      </c>
      <c r="F155" s="205">
        <f t="shared" si="5"/>
        <v>4254897</v>
      </c>
      <c r="G155" s="200">
        <f>'SUIVI 2026'!K155</f>
        <v>0</v>
      </c>
      <c r="H155" s="201">
        <f>'SUIVI 2026'!L155</f>
        <v>0</v>
      </c>
      <c r="I155" s="202">
        <v>0</v>
      </c>
      <c r="J155" s="203">
        <f t="shared" si="4"/>
        <v>4254897</v>
      </c>
      <c r="K155" s="197">
        <v>0</v>
      </c>
      <c r="L155" s="57"/>
    </row>
    <row r="156" spans="1:12" ht="15.95" customHeight="1" x14ac:dyDescent="0.25">
      <c r="A156" s="58">
        <v>153</v>
      </c>
      <c r="B156" s="59">
        <v>46237</v>
      </c>
      <c r="C156" s="60" t="s">
        <v>206</v>
      </c>
      <c r="D156" s="58">
        <v>8</v>
      </c>
      <c r="E156" s="61">
        <v>22</v>
      </c>
      <c r="F156" s="206">
        <f t="shared" si="5"/>
        <v>4254897</v>
      </c>
      <c r="G156" s="200">
        <f>'SUIVI 2026'!K156</f>
        <v>0</v>
      </c>
      <c r="H156" s="201">
        <f>'SUIVI 2026'!L156</f>
        <v>0</v>
      </c>
      <c r="I156" s="202">
        <v>0</v>
      </c>
      <c r="J156" s="203">
        <f t="shared" si="4"/>
        <v>4254897</v>
      </c>
      <c r="K156" s="197">
        <v>0</v>
      </c>
      <c r="L156" s="62"/>
    </row>
    <row r="157" spans="1:12" ht="15.95" customHeight="1" x14ac:dyDescent="0.25">
      <c r="A157" s="58">
        <v>154</v>
      </c>
      <c r="B157" s="59">
        <v>46238</v>
      </c>
      <c r="C157" s="60" t="s">
        <v>207</v>
      </c>
      <c r="D157" s="58">
        <v>8</v>
      </c>
      <c r="E157" s="61">
        <v>22</v>
      </c>
      <c r="F157" s="206">
        <f t="shared" si="5"/>
        <v>4254897</v>
      </c>
      <c r="G157" s="200">
        <f>'SUIVI 2026'!K157</f>
        <v>0</v>
      </c>
      <c r="H157" s="201">
        <f>'SUIVI 2026'!L157</f>
        <v>0</v>
      </c>
      <c r="I157" s="202">
        <v>0</v>
      </c>
      <c r="J157" s="203">
        <f t="shared" si="4"/>
        <v>4254897</v>
      </c>
      <c r="K157" s="197">
        <v>0</v>
      </c>
      <c r="L157" s="62"/>
    </row>
    <row r="158" spans="1:12" ht="15.95" customHeight="1" x14ac:dyDescent="0.25">
      <c r="A158" s="58">
        <v>155</v>
      </c>
      <c r="B158" s="59">
        <v>46239</v>
      </c>
      <c r="C158" s="60" t="s">
        <v>208</v>
      </c>
      <c r="D158" s="58">
        <v>8</v>
      </c>
      <c r="E158" s="61">
        <v>22</v>
      </c>
      <c r="F158" s="206">
        <f t="shared" si="5"/>
        <v>4254897</v>
      </c>
      <c r="G158" s="200">
        <f>'SUIVI 2026'!K158</f>
        <v>0</v>
      </c>
      <c r="H158" s="201">
        <f>'SUIVI 2026'!L158</f>
        <v>0</v>
      </c>
      <c r="I158" s="202">
        <v>0</v>
      </c>
      <c r="J158" s="203">
        <f t="shared" si="4"/>
        <v>4254897</v>
      </c>
      <c r="K158" s="197">
        <v>0</v>
      </c>
      <c r="L158" s="62"/>
    </row>
    <row r="159" spans="1:12" ht="15.95" customHeight="1" x14ac:dyDescent="0.25">
      <c r="A159" s="58">
        <v>156</v>
      </c>
      <c r="B159" s="59">
        <v>46240</v>
      </c>
      <c r="C159" s="60" t="s">
        <v>204</v>
      </c>
      <c r="D159" s="58">
        <v>8</v>
      </c>
      <c r="E159" s="61">
        <v>22</v>
      </c>
      <c r="F159" s="206">
        <f t="shared" si="5"/>
        <v>4254897</v>
      </c>
      <c r="G159" s="200">
        <f>'SUIVI 2026'!K159</f>
        <v>0</v>
      </c>
      <c r="H159" s="201">
        <f>'SUIVI 2026'!L159</f>
        <v>0</v>
      </c>
      <c r="I159" s="202">
        <v>0</v>
      </c>
      <c r="J159" s="203">
        <f t="shared" si="4"/>
        <v>4254897</v>
      </c>
      <c r="K159" s="197">
        <v>0</v>
      </c>
      <c r="L159" s="62"/>
    </row>
    <row r="160" spans="1:12" ht="15.95" customHeight="1" x14ac:dyDescent="0.25">
      <c r="A160" s="58">
        <v>157</v>
      </c>
      <c r="B160" s="59">
        <v>46241</v>
      </c>
      <c r="C160" s="60" t="s">
        <v>205</v>
      </c>
      <c r="D160" s="58">
        <v>8</v>
      </c>
      <c r="E160" s="61">
        <v>22</v>
      </c>
      <c r="F160" s="206">
        <f t="shared" si="5"/>
        <v>4254897</v>
      </c>
      <c r="G160" s="200">
        <f>'SUIVI 2026'!K160</f>
        <v>0</v>
      </c>
      <c r="H160" s="201">
        <f>'SUIVI 2026'!L160</f>
        <v>0</v>
      </c>
      <c r="I160" s="202">
        <v>0</v>
      </c>
      <c r="J160" s="203">
        <f t="shared" si="4"/>
        <v>4254897</v>
      </c>
      <c r="K160" s="197">
        <v>0</v>
      </c>
      <c r="L160" s="62"/>
    </row>
    <row r="161" spans="1:12" ht="15.95" customHeight="1" x14ac:dyDescent="0.25">
      <c r="A161" s="58">
        <v>158</v>
      </c>
      <c r="B161" s="59">
        <v>46244</v>
      </c>
      <c r="C161" s="60" t="s">
        <v>206</v>
      </c>
      <c r="D161" s="58">
        <v>8</v>
      </c>
      <c r="E161" s="61">
        <v>22</v>
      </c>
      <c r="F161" s="206">
        <f t="shared" si="5"/>
        <v>4254897</v>
      </c>
      <c r="G161" s="200">
        <f>'SUIVI 2026'!K161</f>
        <v>0</v>
      </c>
      <c r="H161" s="201">
        <f>'SUIVI 2026'!L161</f>
        <v>0</v>
      </c>
      <c r="I161" s="202">
        <v>0</v>
      </c>
      <c r="J161" s="203">
        <f t="shared" si="4"/>
        <v>4254897</v>
      </c>
      <c r="K161" s="197">
        <v>0</v>
      </c>
      <c r="L161" s="62"/>
    </row>
    <row r="162" spans="1:12" ht="15.95" customHeight="1" x14ac:dyDescent="0.25">
      <c r="A162" s="58">
        <v>159</v>
      </c>
      <c r="B162" s="59">
        <v>46245</v>
      </c>
      <c r="C162" s="60" t="s">
        <v>207</v>
      </c>
      <c r="D162" s="58">
        <v>8</v>
      </c>
      <c r="E162" s="61">
        <v>23</v>
      </c>
      <c r="F162" s="206">
        <f t="shared" si="5"/>
        <v>4254897</v>
      </c>
      <c r="G162" s="200">
        <f>'SUIVI 2026'!K162</f>
        <v>0</v>
      </c>
      <c r="H162" s="201">
        <f>'SUIVI 2026'!L162</f>
        <v>0</v>
      </c>
      <c r="I162" s="202">
        <v>0</v>
      </c>
      <c r="J162" s="203">
        <f t="shared" si="4"/>
        <v>4254897</v>
      </c>
      <c r="K162" s="197">
        <v>0</v>
      </c>
      <c r="L162" s="62"/>
    </row>
    <row r="163" spans="1:12" ht="15.95" customHeight="1" x14ac:dyDescent="0.25">
      <c r="A163" s="58">
        <v>160</v>
      </c>
      <c r="B163" s="59">
        <v>46246</v>
      </c>
      <c r="C163" s="60" t="s">
        <v>208</v>
      </c>
      <c r="D163" s="58">
        <v>8</v>
      </c>
      <c r="E163" s="61">
        <v>23</v>
      </c>
      <c r="F163" s="206">
        <f t="shared" si="5"/>
        <v>4254897</v>
      </c>
      <c r="G163" s="200">
        <f>'SUIVI 2026'!K163</f>
        <v>0</v>
      </c>
      <c r="H163" s="201">
        <f>'SUIVI 2026'!L163</f>
        <v>0</v>
      </c>
      <c r="I163" s="202">
        <v>0</v>
      </c>
      <c r="J163" s="203">
        <f t="shared" si="4"/>
        <v>4254897</v>
      </c>
      <c r="K163" s="197">
        <v>0</v>
      </c>
      <c r="L163" s="62"/>
    </row>
    <row r="164" spans="1:12" ht="15.95" customHeight="1" x14ac:dyDescent="0.25">
      <c r="A164" s="58">
        <v>161</v>
      </c>
      <c r="B164" s="59">
        <v>46247</v>
      </c>
      <c r="C164" s="60" t="s">
        <v>204</v>
      </c>
      <c r="D164" s="58">
        <v>8</v>
      </c>
      <c r="E164" s="61">
        <v>23</v>
      </c>
      <c r="F164" s="206">
        <f t="shared" si="5"/>
        <v>4254897</v>
      </c>
      <c r="G164" s="200">
        <f>'SUIVI 2026'!K164</f>
        <v>0</v>
      </c>
      <c r="H164" s="201">
        <f>'SUIVI 2026'!L164</f>
        <v>0</v>
      </c>
      <c r="I164" s="202">
        <v>0</v>
      </c>
      <c r="J164" s="203">
        <f t="shared" si="4"/>
        <v>4254897</v>
      </c>
      <c r="K164" s="197">
        <v>0</v>
      </c>
      <c r="L164" s="62"/>
    </row>
    <row r="165" spans="1:12" ht="15.95" customHeight="1" x14ac:dyDescent="0.25">
      <c r="A165" s="58">
        <v>162</v>
      </c>
      <c r="B165" s="59">
        <v>46248</v>
      </c>
      <c r="C165" s="60" t="s">
        <v>205</v>
      </c>
      <c r="D165" s="58">
        <v>8</v>
      </c>
      <c r="E165" s="61">
        <v>23</v>
      </c>
      <c r="F165" s="206">
        <f t="shared" si="5"/>
        <v>4254897</v>
      </c>
      <c r="G165" s="200">
        <f>'SUIVI 2026'!K165</f>
        <v>0</v>
      </c>
      <c r="H165" s="201">
        <f>'SUIVI 2026'!L165</f>
        <v>0</v>
      </c>
      <c r="I165" s="202">
        <v>0</v>
      </c>
      <c r="J165" s="203">
        <f t="shared" si="4"/>
        <v>4254897</v>
      </c>
      <c r="K165" s="197">
        <v>0</v>
      </c>
      <c r="L165" s="62"/>
    </row>
    <row r="166" spans="1:12" ht="15.95" customHeight="1" x14ac:dyDescent="0.25">
      <c r="A166" s="58">
        <v>163</v>
      </c>
      <c r="B166" s="59">
        <v>46251</v>
      </c>
      <c r="C166" s="60" t="s">
        <v>206</v>
      </c>
      <c r="D166" s="58">
        <v>8</v>
      </c>
      <c r="E166" s="61">
        <v>23</v>
      </c>
      <c r="F166" s="206">
        <f t="shared" si="5"/>
        <v>4254897</v>
      </c>
      <c r="G166" s="200">
        <f>'SUIVI 2026'!K166</f>
        <v>0</v>
      </c>
      <c r="H166" s="201">
        <f>'SUIVI 2026'!L166</f>
        <v>0</v>
      </c>
      <c r="I166" s="202">
        <v>0</v>
      </c>
      <c r="J166" s="203">
        <f t="shared" si="4"/>
        <v>4254897</v>
      </c>
      <c r="K166" s="197">
        <v>0</v>
      </c>
      <c r="L166" s="62"/>
    </row>
    <row r="167" spans="1:12" ht="15.95" customHeight="1" x14ac:dyDescent="0.25">
      <c r="A167" s="58">
        <v>164</v>
      </c>
      <c r="B167" s="59">
        <v>46252</v>
      </c>
      <c r="C167" s="60" t="s">
        <v>207</v>
      </c>
      <c r="D167" s="58">
        <v>8</v>
      </c>
      <c r="E167" s="61">
        <v>23</v>
      </c>
      <c r="F167" s="206">
        <f t="shared" si="5"/>
        <v>4254897</v>
      </c>
      <c r="G167" s="200">
        <f>'SUIVI 2026'!K167</f>
        <v>0</v>
      </c>
      <c r="H167" s="201">
        <f>'SUIVI 2026'!L167</f>
        <v>0</v>
      </c>
      <c r="I167" s="202">
        <v>0</v>
      </c>
      <c r="J167" s="203">
        <f t="shared" si="4"/>
        <v>4254897</v>
      </c>
      <c r="K167" s="197">
        <v>0</v>
      </c>
      <c r="L167" s="62"/>
    </row>
    <row r="168" spans="1:12" ht="15.95" customHeight="1" x14ac:dyDescent="0.25">
      <c r="A168" s="58">
        <v>165</v>
      </c>
      <c r="B168" s="59">
        <v>46253</v>
      </c>
      <c r="C168" s="60" t="s">
        <v>208</v>
      </c>
      <c r="D168" s="58">
        <v>8</v>
      </c>
      <c r="E168" s="61">
        <v>23</v>
      </c>
      <c r="F168" s="206">
        <f t="shared" si="5"/>
        <v>4254897</v>
      </c>
      <c r="G168" s="200">
        <f>'SUIVI 2026'!K168</f>
        <v>0</v>
      </c>
      <c r="H168" s="201">
        <f>'SUIVI 2026'!L168</f>
        <v>0</v>
      </c>
      <c r="I168" s="202">
        <v>0</v>
      </c>
      <c r="J168" s="203">
        <f t="shared" si="4"/>
        <v>4254897</v>
      </c>
      <c r="K168" s="197">
        <v>0</v>
      </c>
      <c r="L168" s="62"/>
    </row>
    <row r="169" spans="1:12" ht="15.95" customHeight="1" x14ac:dyDescent="0.25">
      <c r="A169" s="58">
        <v>166</v>
      </c>
      <c r="B169" s="59">
        <v>46254</v>
      </c>
      <c r="C169" s="60" t="s">
        <v>204</v>
      </c>
      <c r="D169" s="58">
        <v>8</v>
      </c>
      <c r="E169" s="61">
        <v>23</v>
      </c>
      <c r="F169" s="206">
        <f t="shared" si="5"/>
        <v>4254897</v>
      </c>
      <c r="G169" s="200">
        <f>'SUIVI 2026'!K169</f>
        <v>0</v>
      </c>
      <c r="H169" s="201">
        <f>'SUIVI 2026'!L169</f>
        <v>0</v>
      </c>
      <c r="I169" s="202">
        <v>0</v>
      </c>
      <c r="J169" s="203">
        <f t="shared" si="4"/>
        <v>4254897</v>
      </c>
      <c r="K169" s="197">
        <v>0</v>
      </c>
      <c r="L169" s="62"/>
    </row>
    <row r="170" spans="1:12" ht="15.95" customHeight="1" x14ac:dyDescent="0.25">
      <c r="A170" s="58">
        <v>167</v>
      </c>
      <c r="B170" s="59">
        <v>46255</v>
      </c>
      <c r="C170" s="60" t="s">
        <v>205</v>
      </c>
      <c r="D170" s="58">
        <v>8</v>
      </c>
      <c r="E170" s="61">
        <v>24</v>
      </c>
      <c r="F170" s="206">
        <f t="shared" si="5"/>
        <v>4254897</v>
      </c>
      <c r="G170" s="200">
        <f>'SUIVI 2026'!K170</f>
        <v>0</v>
      </c>
      <c r="H170" s="201">
        <f>'SUIVI 2026'!L170</f>
        <v>0</v>
      </c>
      <c r="I170" s="202">
        <v>0</v>
      </c>
      <c r="J170" s="203">
        <f t="shared" si="4"/>
        <v>4254897</v>
      </c>
      <c r="K170" s="197">
        <v>0</v>
      </c>
      <c r="L170" s="62"/>
    </row>
    <row r="171" spans="1:12" ht="15.95" customHeight="1" x14ac:dyDescent="0.25">
      <c r="A171" s="58">
        <v>168</v>
      </c>
      <c r="B171" s="59">
        <v>46258</v>
      </c>
      <c r="C171" s="60" t="s">
        <v>206</v>
      </c>
      <c r="D171" s="58">
        <v>8</v>
      </c>
      <c r="E171" s="61">
        <v>24</v>
      </c>
      <c r="F171" s="206">
        <f t="shared" si="5"/>
        <v>4254897</v>
      </c>
      <c r="G171" s="200">
        <f>'SUIVI 2026'!K171</f>
        <v>0</v>
      </c>
      <c r="H171" s="201">
        <f>'SUIVI 2026'!L171</f>
        <v>0</v>
      </c>
      <c r="I171" s="202">
        <v>0</v>
      </c>
      <c r="J171" s="203">
        <f t="shared" si="4"/>
        <v>4254897</v>
      </c>
      <c r="K171" s="197">
        <v>0</v>
      </c>
      <c r="L171" s="62"/>
    </row>
    <row r="172" spans="1:12" ht="15.95" customHeight="1" x14ac:dyDescent="0.25">
      <c r="A172" s="58">
        <v>169</v>
      </c>
      <c r="B172" s="59">
        <v>46259</v>
      </c>
      <c r="C172" s="60" t="s">
        <v>207</v>
      </c>
      <c r="D172" s="58">
        <v>8</v>
      </c>
      <c r="E172" s="61">
        <v>24</v>
      </c>
      <c r="F172" s="206">
        <f t="shared" si="5"/>
        <v>4254897</v>
      </c>
      <c r="G172" s="200">
        <f>'SUIVI 2026'!K172</f>
        <v>0</v>
      </c>
      <c r="H172" s="201">
        <f>'SUIVI 2026'!L172</f>
        <v>0</v>
      </c>
      <c r="I172" s="202">
        <v>0</v>
      </c>
      <c r="J172" s="203">
        <f t="shared" si="4"/>
        <v>4254897</v>
      </c>
      <c r="K172" s="197">
        <v>0</v>
      </c>
      <c r="L172" s="62"/>
    </row>
    <row r="173" spans="1:12" ht="15.95" customHeight="1" x14ac:dyDescent="0.25">
      <c r="A173" s="58">
        <v>170</v>
      </c>
      <c r="B173" s="59">
        <v>46260</v>
      </c>
      <c r="C173" s="60" t="s">
        <v>208</v>
      </c>
      <c r="D173" s="58">
        <v>8</v>
      </c>
      <c r="E173" s="61">
        <v>24</v>
      </c>
      <c r="F173" s="206">
        <f t="shared" si="5"/>
        <v>4254897</v>
      </c>
      <c r="G173" s="200">
        <f>'SUIVI 2026'!K173</f>
        <v>0</v>
      </c>
      <c r="H173" s="201">
        <f>'SUIVI 2026'!L173</f>
        <v>0</v>
      </c>
      <c r="I173" s="202">
        <v>0</v>
      </c>
      <c r="J173" s="203">
        <f t="shared" si="4"/>
        <v>4254897</v>
      </c>
      <c r="K173" s="197">
        <v>0</v>
      </c>
      <c r="L173" s="62"/>
    </row>
    <row r="174" spans="1:12" ht="15.95" customHeight="1" x14ac:dyDescent="0.25">
      <c r="A174" s="58">
        <v>171</v>
      </c>
      <c r="B174" s="59">
        <v>46261</v>
      </c>
      <c r="C174" s="60" t="s">
        <v>204</v>
      </c>
      <c r="D174" s="58">
        <v>8</v>
      </c>
      <c r="E174" s="61">
        <v>24</v>
      </c>
      <c r="F174" s="206">
        <f t="shared" si="5"/>
        <v>4254897</v>
      </c>
      <c r="G174" s="200">
        <f>'SUIVI 2026'!K174</f>
        <v>0</v>
      </c>
      <c r="H174" s="201">
        <f>'SUIVI 2026'!L174</f>
        <v>0</v>
      </c>
      <c r="I174" s="202">
        <v>0</v>
      </c>
      <c r="J174" s="203">
        <f t="shared" si="4"/>
        <v>4254897</v>
      </c>
      <c r="K174" s="197">
        <v>0</v>
      </c>
      <c r="L174" s="62"/>
    </row>
    <row r="175" spans="1:12" ht="15.95" customHeight="1" x14ac:dyDescent="0.25">
      <c r="A175" s="58">
        <v>172</v>
      </c>
      <c r="B175" s="59">
        <v>46262</v>
      </c>
      <c r="C175" s="60" t="s">
        <v>205</v>
      </c>
      <c r="D175" s="58">
        <v>8</v>
      </c>
      <c r="E175" s="61">
        <v>24</v>
      </c>
      <c r="F175" s="206">
        <f t="shared" si="5"/>
        <v>4254897</v>
      </c>
      <c r="G175" s="200">
        <f>'SUIVI 2026'!K175</f>
        <v>0</v>
      </c>
      <c r="H175" s="201">
        <f>'SUIVI 2026'!L175</f>
        <v>0</v>
      </c>
      <c r="I175" s="202">
        <v>0</v>
      </c>
      <c r="J175" s="203">
        <f t="shared" si="4"/>
        <v>4254897</v>
      </c>
      <c r="K175" s="197">
        <v>0</v>
      </c>
      <c r="L175" s="62"/>
    </row>
    <row r="176" spans="1:12" ht="15.95" customHeight="1" x14ac:dyDescent="0.25">
      <c r="A176" s="58">
        <v>173</v>
      </c>
      <c r="B176" s="59">
        <v>46265</v>
      </c>
      <c r="C176" s="60" t="s">
        <v>206</v>
      </c>
      <c r="D176" s="58">
        <v>8</v>
      </c>
      <c r="E176" s="61">
        <v>24</v>
      </c>
      <c r="F176" s="206">
        <f t="shared" si="5"/>
        <v>4254897</v>
      </c>
      <c r="G176" s="200">
        <f>'SUIVI 2026'!K176</f>
        <v>0</v>
      </c>
      <c r="H176" s="201">
        <f>'SUIVI 2026'!L176</f>
        <v>0</v>
      </c>
      <c r="I176" s="202">
        <v>0</v>
      </c>
      <c r="J176" s="203">
        <f t="shared" si="4"/>
        <v>4254897</v>
      </c>
      <c r="K176" s="197">
        <v>0</v>
      </c>
      <c r="L176" s="62"/>
    </row>
    <row r="177" spans="1:12" ht="15.95" customHeight="1" x14ac:dyDescent="0.25">
      <c r="A177" s="63">
        <v>174</v>
      </c>
      <c r="B177" s="64">
        <v>46266</v>
      </c>
      <c r="C177" s="65" t="s">
        <v>207</v>
      </c>
      <c r="D177" s="63">
        <v>9</v>
      </c>
      <c r="E177" s="66">
        <v>25</v>
      </c>
      <c r="F177" s="207">
        <f t="shared" si="5"/>
        <v>4254897</v>
      </c>
      <c r="G177" s="200">
        <f>'SUIVI 2026'!K177</f>
        <v>0</v>
      </c>
      <c r="H177" s="201">
        <f>'SUIVI 2026'!L177</f>
        <v>0</v>
      </c>
      <c r="I177" s="202">
        <v>0</v>
      </c>
      <c r="J177" s="203">
        <f t="shared" si="4"/>
        <v>4254897</v>
      </c>
      <c r="K177" s="197">
        <v>0</v>
      </c>
      <c r="L177" s="67"/>
    </row>
    <row r="178" spans="1:12" ht="15.95" customHeight="1" x14ac:dyDescent="0.25">
      <c r="A178" s="63">
        <v>175</v>
      </c>
      <c r="B178" s="64">
        <v>46267</v>
      </c>
      <c r="C178" s="65" t="s">
        <v>208</v>
      </c>
      <c r="D178" s="63">
        <v>9</v>
      </c>
      <c r="E178" s="66">
        <v>25</v>
      </c>
      <c r="F178" s="207">
        <f t="shared" si="5"/>
        <v>4254897</v>
      </c>
      <c r="G178" s="200">
        <f>'SUIVI 2026'!K178</f>
        <v>0</v>
      </c>
      <c r="H178" s="201">
        <f>'SUIVI 2026'!L178</f>
        <v>0</v>
      </c>
      <c r="I178" s="202">
        <v>0</v>
      </c>
      <c r="J178" s="203">
        <f t="shared" si="4"/>
        <v>4254897</v>
      </c>
      <c r="K178" s="197">
        <v>0</v>
      </c>
      <c r="L178" s="67"/>
    </row>
    <row r="179" spans="1:12" ht="15.95" customHeight="1" x14ac:dyDescent="0.25">
      <c r="A179" s="63">
        <v>176</v>
      </c>
      <c r="B179" s="64">
        <v>46268</v>
      </c>
      <c r="C179" s="65" t="s">
        <v>204</v>
      </c>
      <c r="D179" s="63">
        <v>9</v>
      </c>
      <c r="E179" s="66">
        <v>25</v>
      </c>
      <c r="F179" s="207">
        <f t="shared" si="5"/>
        <v>4254897</v>
      </c>
      <c r="G179" s="200">
        <f>'SUIVI 2026'!K179</f>
        <v>0</v>
      </c>
      <c r="H179" s="201">
        <f>'SUIVI 2026'!L179</f>
        <v>0</v>
      </c>
      <c r="I179" s="202">
        <v>0</v>
      </c>
      <c r="J179" s="203">
        <f t="shared" si="4"/>
        <v>4254897</v>
      </c>
      <c r="K179" s="197">
        <v>0</v>
      </c>
      <c r="L179" s="67"/>
    </row>
    <row r="180" spans="1:12" ht="15.95" customHeight="1" x14ac:dyDescent="0.25">
      <c r="A180" s="63">
        <v>177</v>
      </c>
      <c r="B180" s="64">
        <v>46269</v>
      </c>
      <c r="C180" s="65" t="s">
        <v>205</v>
      </c>
      <c r="D180" s="63">
        <v>9</v>
      </c>
      <c r="E180" s="66">
        <v>25</v>
      </c>
      <c r="F180" s="207">
        <f t="shared" si="5"/>
        <v>4254897</v>
      </c>
      <c r="G180" s="200">
        <f>'SUIVI 2026'!K180</f>
        <v>0</v>
      </c>
      <c r="H180" s="201">
        <f>'SUIVI 2026'!L180</f>
        <v>0</v>
      </c>
      <c r="I180" s="202">
        <v>0</v>
      </c>
      <c r="J180" s="203">
        <f t="shared" si="4"/>
        <v>4254897</v>
      </c>
      <c r="K180" s="197">
        <v>0</v>
      </c>
      <c r="L180" s="67"/>
    </row>
    <row r="181" spans="1:12" ht="15.95" customHeight="1" x14ac:dyDescent="0.25">
      <c r="A181" s="63">
        <v>178</v>
      </c>
      <c r="B181" s="64">
        <v>46272</v>
      </c>
      <c r="C181" s="65" t="s">
        <v>206</v>
      </c>
      <c r="D181" s="63">
        <v>9</v>
      </c>
      <c r="E181" s="66">
        <v>25</v>
      </c>
      <c r="F181" s="207">
        <f t="shared" si="5"/>
        <v>4254897</v>
      </c>
      <c r="G181" s="200">
        <f>'SUIVI 2026'!K181</f>
        <v>0</v>
      </c>
      <c r="H181" s="201">
        <f>'SUIVI 2026'!L181</f>
        <v>0</v>
      </c>
      <c r="I181" s="202">
        <v>0</v>
      </c>
      <c r="J181" s="203">
        <f t="shared" si="4"/>
        <v>4254897</v>
      </c>
      <c r="K181" s="197">
        <v>0</v>
      </c>
      <c r="L181" s="67"/>
    </row>
    <row r="182" spans="1:12" ht="15.95" customHeight="1" x14ac:dyDescent="0.25">
      <c r="A182" s="63">
        <v>179</v>
      </c>
      <c r="B182" s="64">
        <v>46273</v>
      </c>
      <c r="C182" s="65" t="s">
        <v>207</v>
      </c>
      <c r="D182" s="63">
        <v>9</v>
      </c>
      <c r="E182" s="66">
        <v>25</v>
      </c>
      <c r="F182" s="207">
        <f t="shared" si="5"/>
        <v>4254897</v>
      </c>
      <c r="G182" s="200">
        <f>'SUIVI 2026'!K182</f>
        <v>0</v>
      </c>
      <c r="H182" s="201">
        <f>'SUIVI 2026'!L182</f>
        <v>0</v>
      </c>
      <c r="I182" s="202">
        <v>0</v>
      </c>
      <c r="J182" s="203">
        <f t="shared" si="4"/>
        <v>4254897</v>
      </c>
      <c r="K182" s="197">
        <v>0</v>
      </c>
      <c r="L182" s="67"/>
    </row>
    <row r="183" spans="1:12" ht="15.95" customHeight="1" x14ac:dyDescent="0.25">
      <c r="A183" s="63">
        <v>180</v>
      </c>
      <c r="B183" s="64">
        <v>46274</v>
      </c>
      <c r="C183" s="65" t="s">
        <v>208</v>
      </c>
      <c r="D183" s="63">
        <v>9</v>
      </c>
      <c r="E183" s="66">
        <v>25</v>
      </c>
      <c r="F183" s="207">
        <f t="shared" si="5"/>
        <v>4254897</v>
      </c>
      <c r="G183" s="200">
        <f>'SUIVI 2026'!K183</f>
        <v>0</v>
      </c>
      <c r="H183" s="201">
        <f>'SUIVI 2026'!L183</f>
        <v>0</v>
      </c>
      <c r="I183" s="202">
        <v>0</v>
      </c>
      <c r="J183" s="203">
        <f t="shared" si="4"/>
        <v>4254897</v>
      </c>
      <c r="K183" s="197">
        <v>0</v>
      </c>
      <c r="L183" s="67"/>
    </row>
    <row r="184" spans="1:12" ht="15.95" customHeight="1" x14ac:dyDescent="0.25">
      <c r="A184" s="63">
        <v>181</v>
      </c>
      <c r="B184" s="64">
        <v>46275</v>
      </c>
      <c r="C184" s="65" t="s">
        <v>204</v>
      </c>
      <c r="D184" s="63">
        <v>9</v>
      </c>
      <c r="E184" s="66">
        <v>25</v>
      </c>
      <c r="F184" s="207">
        <f t="shared" si="5"/>
        <v>4254897</v>
      </c>
      <c r="G184" s="200">
        <f>'SUIVI 2026'!K184</f>
        <v>0</v>
      </c>
      <c r="H184" s="201">
        <f>'SUIVI 2026'!L184</f>
        <v>0</v>
      </c>
      <c r="I184" s="202">
        <v>0</v>
      </c>
      <c r="J184" s="203">
        <f t="shared" si="4"/>
        <v>4254897</v>
      </c>
      <c r="K184" s="197">
        <v>0</v>
      </c>
      <c r="L184" s="67"/>
    </row>
    <row r="185" spans="1:12" ht="15.95" customHeight="1" x14ac:dyDescent="0.25">
      <c r="A185" s="63">
        <v>182</v>
      </c>
      <c r="B185" s="64">
        <v>46276</v>
      </c>
      <c r="C185" s="65" t="s">
        <v>205</v>
      </c>
      <c r="D185" s="63">
        <v>9</v>
      </c>
      <c r="E185" s="66">
        <v>26</v>
      </c>
      <c r="F185" s="207">
        <f t="shared" si="5"/>
        <v>4254897</v>
      </c>
      <c r="G185" s="200">
        <f>'SUIVI 2026'!K185</f>
        <v>0</v>
      </c>
      <c r="H185" s="201">
        <f>'SUIVI 2026'!L185</f>
        <v>0</v>
      </c>
      <c r="I185" s="202">
        <v>0</v>
      </c>
      <c r="J185" s="203">
        <f t="shared" si="4"/>
        <v>4254897</v>
      </c>
      <c r="K185" s="197">
        <v>0</v>
      </c>
      <c r="L185" s="67"/>
    </row>
    <row r="186" spans="1:12" ht="15.95" customHeight="1" x14ac:dyDescent="0.25">
      <c r="A186" s="63">
        <v>183</v>
      </c>
      <c r="B186" s="64">
        <v>46279</v>
      </c>
      <c r="C186" s="65" t="s">
        <v>206</v>
      </c>
      <c r="D186" s="63">
        <v>9</v>
      </c>
      <c r="E186" s="66">
        <v>26</v>
      </c>
      <c r="F186" s="207">
        <f t="shared" si="5"/>
        <v>4254897</v>
      </c>
      <c r="G186" s="200">
        <f>'SUIVI 2026'!K186</f>
        <v>0</v>
      </c>
      <c r="H186" s="201">
        <f>'SUIVI 2026'!L186</f>
        <v>0</v>
      </c>
      <c r="I186" s="202">
        <v>0</v>
      </c>
      <c r="J186" s="203">
        <f t="shared" si="4"/>
        <v>4254897</v>
      </c>
      <c r="K186" s="197">
        <v>0</v>
      </c>
      <c r="L186" s="67"/>
    </row>
    <row r="187" spans="1:12" ht="15.95" customHeight="1" x14ac:dyDescent="0.25">
      <c r="A187" s="63">
        <v>184</v>
      </c>
      <c r="B187" s="64">
        <v>46280</v>
      </c>
      <c r="C187" s="65" t="s">
        <v>207</v>
      </c>
      <c r="D187" s="63">
        <v>9</v>
      </c>
      <c r="E187" s="66">
        <v>26</v>
      </c>
      <c r="F187" s="207">
        <f t="shared" si="5"/>
        <v>4254897</v>
      </c>
      <c r="G187" s="200">
        <f>'SUIVI 2026'!K187</f>
        <v>0</v>
      </c>
      <c r="H187" s="201">
        <f>'SUIVI 2026'!L187</f>
        <v>0</v>
      </c>
      <c r="I187" s="202">
        <v>0</v>
      </c>
      <c r="J187" s="203">
        <f t="shared" si="4"/>
        <v>4254897</v>
      </c>
      <c r="K187" s="197">
        <v>0</v>
      </c>
      <c r="L187" s="67"/>
    </row>
    <row r="188" spans="1:12" ht="15.95" customHeight="1" x14ac:dyDescent="0.25">
      <c r="A188" s="63">
        <v>185</v>
      </c>
      <c r="B188" s="64">
        <v>46281</v>
      </c>
      <c r="C188" s="65" t="s">
        <v>208</v>
      </c>
      <c r="D188" s="63">
        <v>9</v>
      </c>
      <c r="E188" s="66">
        <v>26</v>
      </c>
      <c r="F188" s="207">
        <f t="shared" si="5"/>
        <v>4254897</v>
      </c>
      <c r="G188" s="200">
        <f>'SUIVI 2026'!K188</f>
        <v>0</v>
      </c>
      <c r="H188" s="201">
        <f>'SUIVI 2026'!L188</f>
        <v>0</v>
      </c>
      <c r="I188" s="202">
        <v>0</v>
      </c>
      <c r="J188" s="203">
        <f t="shared" si="4"/>
        <v>4254897</v>
      </c>
      <c r="K188" s="197">
        <v>0</v>
      </c>
      <c r="L188" s="67"/>
    </row>
    <row r="189" spans="1:12" ht="15.95" customHeight="1" x14ac:dyDescent="0.25">
      <c r="A189" s="63">
        <v>186</v>
      </c>
      <c r="B189" s="64">
        <v>46282</v>
      </c>
      <c r="C189" s="65" t="s">
        <v>204</v>
      </c>
      <c r="D189" s="63">
        <v>9</v>
      </c>
      <c r="E189" s="66">
        <v>26</v>
      </c>
      <c r="F189" s="207">
        <f t="shared" si="5"/>
        <v>4254897</v>
      </c>
      <c r="G189" s="200">
        <f>'SUIVI 2026'!K189</f>
        <v>0</v>
      </c>
      <c r="H189" s="201">
        <f>'SUIVI 2026'!L189</f>
        <v>0</v>
      </c>
      <c r="I189" s="202">
        <v>0</v>
      </c>
      <c r="J189" s="203">
        <f t="shared" si="4"/>
        <v>4254897</v>
      </c>
      <c r="K189" s="197">
        <v>0</v>
      </c>
      <c r="L189" s="67"/>
    </row>
    <row r="190" spans="1:12" ht="15.95" customHeight="1" x14ac:dyDescent="0.25">
      <c r="A190" s="63">
        <v>187</v>
      </c>
      <c r="B190" s="64">
        <v>46283</v>
      </c>
      <c r="C190" s="65" t="s">
        <v>205</v>
      </c>
      <c r="D190" s="63">
        <v>9</v>
      </c>
      <c r="E190" s="66">
        <v>26</v>
      </c>
      <c r="F190" s="207">
        <f t="shared" si="5"/>
        <v>4254897</v>
      </c>
      <c r="G190" s="200">
        <f>'SUIVI 2026'!K190</f>
        <v>0</v>
      </c>
      <c r="H190" s="201">
        <f>'SUIVI 2026'!L190</f>
        <v>0</v>
      </c>
      <c r="I190" s="202">
        <v>0</v>
      </c>
      <c r="J190" s="203">
        <f t="shared" si="4"/>
        <v>4254897</v>
      </c>
      <c r="K190" s="197">
        <v>0</v>
      </c>
      <c r="L190" s="67"/>
    </row>
    <row r="191" spans="1:12" ht="15.95" customHeight="1" x14ac:dyDescent="0.25">
      <c r="A191" s="63">
        <v>188</v>
      </c>
      <c r="B191" s="64">
        <v>46286</v>
      </c>
      <c r="C191" s="65" t="s">
        <v>206</v>
      </c>
      <c r="D191" s="63">
        <v>9</v>
      </c>
      <c r="E191" s="66">
        <v>27</v>
      </c>
      <c r="F191" s="207">
        <f t="shared" si="5"/>
        <v>4254897</v>
      </c>
      <c r="G191" s="200">
        <f>'SUIVI 2026'!K191</f>
        <v>0</v>
      </c>
      <c r="H191" s="201">
        <f>'SUIVI 2026'!L191</f>
        <v>0</v>
      </c>
      <c r="I191" s="202">
        <v>0</v>
      </c>
      <c r="J191" s="203">
        <f t="shared" si="4"/>
        <v>4254897</v>
      </c>
      <c r="K191" s="197">
        <v>0</v>
      </c>
      <c r="L191" s="67"/>
    </row>
    <row r="192" spans="1:12" ht="15.95" customHeight="1" x14ac:dyDescent="0.25">
      <c r="A192" s="63">
        <v>189</v>
      </c>
      <c r="B192" s="64">
        <v>46287</v>
      </c>
      <c r="C192" s="65" t="s">
        <v>207</v>
      </c>
      <c r="D192" s="63">
        <v>9</v>
      </c>
      <c r="E192" s="66">
        <v>27</v>
      </c>
      <c r="F192" s="207">
        <f t="shared" si="5"/>
        <v>4254897</v>
      </c>
      <c r="G192" s="200">
        <f>'SUIVI 2026'!K192</f>
        <v>0</v>
      </c>
      <c r="H192" s="201">
        <f>'SUIVI 2026'!L192</f>
        <v>0</v>
      </c>
      <c r="I192" s="202">
        <v>0</v>
      </c>
      <c r="J192" s="203">
        <f t="shared" si="4"/>
        <v>4254897</v>
      </c>
      <c r="K192" s="197">
        <v>0</v>
      </c>
      <c r="L192" s="67"/>
    </row>
    <row r="193" spans="1:12" ht="15.95" customHeight="1" x14ac:dyDescent="0.25">
      <c r="A193" s="63">
        <v>190</v>
      </c>
      <c r="B193" s="64">
        <v>46288</v>
      </c>
      <c r="C193" s="65" t="s">
        <v>208</v>
      </c>
      <c r="D193" s="63">
        <v>9</v>
      </c>
      <c r="E193" s="66">
        <v>27</v>
      </c>
      <c r="F193" s="207">
        <f t="shared" si="5"/>
        <v>4254897</v>
      </c>
      <c r="G193" s="200">
        <f>'SUIVI 2026'!K193</f>
        <v>0</v>
      </c>
      <c r="H193" s="201">
        <f>'SUIVI 2026'!L193</f>
        <v>0</v>
      </c>
      <c r="I193" s="202">
        <v>0</v>
      </c>
      <c r="J193" s="203">
        <f t="shared" si="4"/>
        <v>4254897</v>
      </c>
      <c r="K193" s="197">
        <v>0</v>
      </c>
      <c r="L193" s="67"/>
    </row>
    <row r="194" spans="1:12" ht="15.95" customHeight="1" x14ac:dyDescent="0.25">
      <c r="A194" s="63">
        <v>191</v>
      </c>
      <c r="B194" s="64">
        <v>46289</v>
      </c>
      <c r="C194" s="65" t="s">
        <v>204</v>
      </c>
      <c r="D194" s="63">
        <v>9</v>
      </c>
      <c r="E194" s="66">
        <v>27</v>
      </c>
      <c r="F194" s="207">
        <f t="shared" si="5"/>
        <v>4254897</v>
      </c>
      <c r="G194" s="200">
        <f>'SUIVI 2026'!K194</f>
        <v>0</v>
      </c>
      <c r="H194" s="201">
        <f>'SUIVI 2026'!L194</f>
        <v>0</v>
      </c>
      <c r="I194" s="202">
        <v>0</v>
      </c>
      <c r="J194" s="203">
        <f t="shared" si="4"/>
        <v>4254897</v>
      </c>
      <c r="K194" s="197">
        <v>0</v>
      </c>
      <c r="L194" s="67"/>
    </row>
    <row r="195" spans="1:12" ht="15.95" customHeight="1" x14ac:dyDescent="0.25">
      <c r="A195" s="63">
        <v>192</v>
      </c>
      <c r="B195" s="64">
        <v>46290</v>
      </c>
      <c r="C195" s="65" t="s">
        <v>205</v>
      </c>
      <c r="D195" s="63">
        <v>9</v>
      </c>
      <c r="E195" s="66">
        <v>27</v>
      </c>
      <c r="F195" s="207">
        <f t="shared" si="5"/>
        <v>4254897</v>
      </c>
      <c r="G195" s="200">
        <f>'SUIVI 2026'!K195</f>
        <v>0</v>
      </c>
      <c r="H195" s="201">
        <f>'SUIVI 2026'!L195</f>
        <v>0</v>
      </c>
      <c r="I195" s="202">
        <v>0</v>
      </c>
      <c r="J195" s="203">
        <f t="shared" si="4"/>
        <v>4254897</v>
      </c>
      <c r="K195" s="197">
        <v>0</v>
      </c>
      <c r="L195" s="67"/>
    </row>
    <row r="196" spans="1:12" ht="15.95" customHeight="1" x14ac:dyDescent="0.25">
      <c r="A196" s="63">
        <v>193</v>
      </c>
      <c r="B196" s="64">
        <v>46293</v>
      </c>
      <c r="C196" s="65" t="s">
        <v>206</v>
      </c>
      <c r="D196" s="63">
        <v>9</v>
      </c>
      <c r="E196" s="66">
        <v>27</v>
      </c>
      <c r="F196" s="207">
        <f t="shared" si="5"/>
        <v>4254897</v>
      </c>
      <c r="G196" s="200">
        <f>'SUIVI 2026'!K196</f>
        <v>0</v>
      </c>
      <c r="H196" s="201">
        <f>'SUIVI 2026'!L196</f>
        <v>0</v>
      </c>
      <c r="I196" s="202">
        <v>0</v>
      </c>
      <c r="J196" s="203">
        <f t="shared" ref="J196:J259" si="6">F196+G196-H196-I196</f>
        <v>4254897</v>
      </c>
      <c r="K196" s="197">
        <v>0</v>
      </c>
      <c r="L196" s="67"/>
    </row>
    <row r="197" spans="1:12" ht="15.95" customHeight="1" x14ac:dyDescent="0.25">
      <c r="A197" s="63">
        <v>194</v>
      </c>
      <c r="B197" s="64">
        <v>46294</v>
      </c>
      <c r="C197" s="65" t="s">
        <v>207</v>
      </c>
      <c r="D197" s="63">
        <v>9</v>
      </c>
      <c r="E197" s="66">
        <v>27</v>
      </c>
      <c r="F197" s="207">
        <f t="shared" ref="F197:F264" si="7">J196</f>
        <v>4254897</v>
      </c>
      <c r="G197" s="200">
        <f>'SUIVI 2026'!K197</f>
        <v>0</v>
      </c>
      <c r="H197" s="201">
        <f>'SUIVI 2026'!L197</f>
        <v>0</v>
      </c>
      <c r="I197" s="202">
        <v>0</v>
      </c>
      <c r="J197" s="203">
        <f t="shared" si="6"/>
        <v>4254897</v>
      </c>
      <c r="K197" s="197">
        <v>0</v>
      </c>
      <c r="L197" s="67"/>
    </row>
    <row r="198" spans="1:12" ht="15.95" customHeight="1" x14ac:dyDescent="0.25">
      <c r="A198" s="63">
        <v>195</v>
      </c>
      <c r="B198" s="64">
        <v>46295</v>
      </c>
      <c r="C198" s="65" t="s">
        <v>208</v>
      </c>
      <c r="D198" s="63">
        <v>9</v>
      </c>
      <c r="E198" s="66">
        <v>27</v>
      </c>
      <c r="F198" s="207">
        <f t="shared" si="7"/>
        <v>4254897</v>
      </c>
      <c r="G198" s="200">
        <f>'SUIVI 2026'!K198</f>
        <v>0</v>
      </c>
      <c r="H198" s="201">
        <f>'SUIVI 2026'!L198</f>
        <v>0</v>
      </c>
      <c r="I198" s="202">
        <v>0</v>
      </c>
      <c r="J198" s="203">
        <f t="shared" si="6"/>
        <v>4254897</v>
      </c>
      <c r="K198" s="197">
        <v>0</v>
      </c>
      <c r="L198" s="67"/>
    </row>
    <row r="199" spans="1:12" ht="15.95" customHeight="1" x14ac:dyDescent="0.25">
      <c r="A199" s="68">
        <v>196</v>
      </c>
      <c r="B199" s="69">
        <v>46296</v>
      </c>
      <c r="C199" s="70" t="s">
        <v>204</v>
      </c>
      <c r="D199" s="68">
        <v>10</v>
      </c>
      <c r="E199" s="71">
        <v>28</v>
      </c>
      <c r="F199" s="208">
        <f t="shared" si="7"/>
        <v>4254897</v>
      </c>
      <c r="G199" s="200">
        <f>'SUIVI 2026'!K199</f>
        <v>0</v>
      </c>
      <c r="H199" s="201">
        <f>'SUIVI 2026'!L199</f>
        <v>0</v>
      </c>
      <c r="I199" s="202">
        <v>0</v>
      </c>
      <c r="J199" s="203">
        <f t="shared" si="6"/>
        <v>4254897</v>
      </c>
      <c r="K199" s="197">
        <v>0</v>
      </c>
      <c r="L199" s="72"/>
    </row>
    <row r="200" spans="1:12" ht="15.95" customHeight="1" x14ac:dyDescent="0.25">
      <c r="A200" s="68">
        <v>197</v>
      </c>
      <c r="B200" s="69">
        <v>46297</v>
      </c>
      <c r="C200" s="70" t="s">
        <v>205</v>
      </c>
      <c r="D200" s="68">
        <v>10</v>
      </c>
      <c r="E200" s="71">
        <v>28</v>
      </c>
      <c r="F200" s="208">
        <f t="shared" si="7"/>
        <v>4254897</v>
      </c>
      <c r="G200" s="200">
        <f>'SUIVI 2026'!K200</f>
        <v>0</v>
      </c>
      <c r="H200" s="201">
        <f>'SUIVI 2026'!L200</f>
        <v>0</v>
      </c>
      <c r="I200" s="202">
        <v>0</v>
      </c>
      <c r="J200" s="203">
        <f t="shared" si="6"/>
        <v>4254897</v>
      </c>
      <c r="K200" s="197">
        <v>0</v>
      </c>
      <c r="L200" s="72"/>
    </row>
    <row r="201" spans="1:12" ht="15.95" customHeight="1" x14ac:dyDescent="0.25">
      <c r="A201" s="68">
        <v>198</v>
      </c>
      <c r="B201" s="69">
        <v>46300</v>
      </c>
      <c r="C201" s="70" t="s">
        <v>206</v>
      </c>
      <c r="D201" s="68">
        <v>10</v>
      </c>
      <c r="E201" s="71">
        <v>28</v>
      </c>
      <c r="F201" s="208">
        <f t="shared" si="7"/>
        <v>4254897</v>
      </c>
      <c r="G201" s="200">
        <f>'SUIVI 2026'!K201</f>
        <v>0</v>
      </c>
      <c r="H201" s="201">
        <f>'SUIVI 2026'!L201</f>
        <v>0</v>
      </c>
      <c r="I201" s="202">
        <v>0</v>
      </c>
      <c r="J201" s="203">
        <f t="shared" si="6"/>
        <v>4254897</v>
      </c>
      <c r="K201" s="197">
        <v>0</v>
      </c>
      <c r="L201" s="72"/>
    </row>
    <row r="202" spans="1:12" ht="15.95" customHeight="1" x14ac:dyDescent="0.25">
      <c r="A202" s="68">
        <v>199</v>
      </c>
      <c r="B202" s="69">
        <v>46301</v>
      </c>
      <c r="C202" s="70" t="s">
        <v>207</v>
      </c>
      <c r="D202" s="68">
        <v>10</v>
      </c>
      <c r="E202" s="71">
        <v>28</v>
      </c>
      <c r="F202" s="208">
        <f t="shared" si="7"/>
        <v>4254897</v>
      </c>
      <c r="G202" s="200">
        <f>'SUIVI 2026'!K202</f>
        <v>0</v>
      </c>
      <c r="H202" s="201">
        <f>'SUIVI 2026'!L202</f>
        <v>0</v>
      </c>
      <c r="I202" s="202">
        <v>0</v>
      </c>
      <c r="J202" s="203">
        <f t="shared" si="6"/>
        <v>4254897</v>
      </c>
      <c r="K202" s="197">
        <v>0</v>
      </c>
      <c r="L202" s="72"/>
    </row>
    <row r="203" spans="1:12" ht="15.95" customHeight="1" x14ac:dyDescent="0.25">
      <c r="A203" s="68">
        <v>200</v>
      </c>
      <c r="B203" s="69">
        <v>46302</v>
      </c>
      <c r="C203" s="70" t="s">
        <v>208</v>
      </c>
      <c r="D203" s="68">
        <v>10</v>
      </c>
      <c r="E203" s="71">
        <v>28</v>
      </c>
      <c r="F203" s="208">
        <f t="shared" si="7"/>
        <v>4254897</v>
      </c>
      <c r="G203" s="200">
        <f>'SUIVI 2026'!K203</f>
        <v>0</v>
      </c>
      <c r="H203" s="201">
        <f>'SUIVI 2026'!L203</f>
        <v>0</v>
      </c>
      <c r="I203" s="202">
        <v>0</v>
      </c>
      <c r="J203" s="203">
        <f t="shared" si="6"/>
        <v>4254897</v>
      </c>
      <c r="K203" s="197">
        <v>0</v>
      </c>
      <c r="L203" s="72"/>
    </row>
    <row r="204" spans="1:12" ht="15.95" customHeight="1" x14ac:dyDescent="0.25">
      <c r="A204" s="68">
        <v>201</v>
      </c>
      <c r="B204" s="69">
        <v>46303</v>
      </c>
      <c r="C204" s="70" t="s">
        <v>204</v>
      </c>
      <c r="D204" s="68">
        <v>10</v>
      </c>
      <c r="E204" s="71">
        <v>28</v>
      </c>
      <c r="F204" s="208">
        <f t="shared" si="7"/>
        <v>4254897</v>
      </c>
      <c r="G204" s="200">
        <f>'SUIVI 2026'!K204</f>
        <v>0</v>
      </c>
      <c r="H204" s="201">
        <f>'SUIVI 2026'!L204</f>
        <v>0</v>
      </c>
      <c r="I204" s="202">
        <v>0</v>
      </c>
      <c r="J204" s="203">
        <f t="shared" si="6"/>
        <v>4254897</v>
      </c>
      <c r="K204" s="197">
        <v>0</v>
      </c>
      <c r="L204" s="72"/>
    </row>
    <row r="205" spans="1:12" ht="15.95" customHeight="1" x14ac:dyDescent="0.25">
      <c r="A205" s="68">
        <v>202</v>
      </c>
      <c r="B205" s="69">
        <v>46304</v>
      </c>
      <c r="C205" s="70" t="s">
        <v>205</v>
      </c>
      <c r="D205" s="68">
        <v>10</v>
      </c>
      <c r="E205" s="71">
        <v>28</v>
      </c>
      <c r="F205" s="208">
        <f t="shared" si="7"/>
        <v>4254897</v>
      </c>
      <c r="G205" s="200">
        <f>'SUIVI 2026'!K205</f>
        <v>0</v>
      </c>
      <c r="H205" s="201">
        <f>'SUIVI 2026'!L205</f>
        <v>0</v>
      </c>
      <c r="I205" s="202">
        <v>0</v>
      </c>
      <c r="J205" s="203">
        <f t="shared" si="6"/>
        <v>4254897</v>
      </c>
      <c r="K205" s="197">
        <v>0</v>
      </c>
      <c r="L205" s="72"/>
    </row>
    <row r="206" spans="1:12" ht="15.95" customHeight="1" x14ac:dyDescent="0.25">
      <c r="A206" s="68">
        <v>203</v>
      </c>
      <c r="B206" s="69">
        <v>46307</v>
      </c>
      <c r="C206" s="70" t="s">
        <v>206</v>
      </c>
      <c r="D206" s="68">
        <v>10</v>
      </c>
      <c r="E206" s="71">
        <v>29</v>
      </c>
      <c r="F206" s="208">
        <f t="shared" si="7"/>
        <v>4254897</v>
      </c>
      <c r="G206" s="200">
        <f>'SUIVI 2026'!K206</f>
        <v>0</v>
      </c>
      <c r="H206" s="201">
        <f>'SUIVI 2026'!L206</f>
        <v>0</v>
      </c>
      <c r="I206" s="202">
        <v>0</v>
      </c>
      <c r="J206" s="203">
        <f t="shared" si="6"/>
        <v>4254897</v>
      </c>
      <c r="K206" s="197">
        <v>0</v>
      </c>
      <c r="L206" s="72"/>
    </row>
    <row r="207" spans="1:12" ht="15.95" customHeight="1" x14ac:dyDescent="0.25">
      <c r="A207" s="68">
        <v>204</v>
      </c>
      <c r="B207" s="69">
        <v>46308</v>
      </c>
      <c r="C207" s="70" t="s">
        <v>207</v>
      </c>
      <c r="D207" s="68">
        <v>10</v>
      </c>
      <c r="E207" s="71">
        <v>29</v>
      </c>
      <c r="F207" s="208">
        <f t="shared" si="7"/>
        <v>4254897</v>
      </c>
      <c r="G207" s="200">
        <f>'SUIVI 2026'!K207</f>
        <v>0</v>
      </c>
      <c r="H207" s="201">
        <f>'SUIVI 2026'!L207</f>
        <v>0</v>
      </c>
      <c r="I207" s="202">
        <v>0</v>
      </c>
      <c r="J207" s="203">
        <f t="shared" si="6"/>
        <v>4254897</v>
      </c>
      <c r="K207" s="197">
        <v>0</v>
      </c>
      <c r="L207" s="72"/>
    </row>
    <row r="208" spans="1:12" ht="15.95" customHeight="1" x14ac:dyDescent="0.25">
      <c r="A208" s="68">
        <v>205</v>
      </c>
      <c r="B208" s="69">
        <v>46309</v>
      </c>
      <c r="C208" s="70" t="s">
        <v>208</v>
      </c>
      <c r="D208" s="68">
        <v>10</v>
      </c>
      <c r="E208" s="71">
        <v>29</v>
      </c>
      <c r="F208" s="208">
        <f t="shared" si="7"/>
        <v>4254897</v>
      </c>
      <c r="G208" s="200">
        <f>'SUIVI 2026'!K208</f>
        <v>0</v>
      </c>
      <c r="H208" s="201">
        <f>'SUIVI 2026'!L208</f>
        <v>0</v>
      </c>
      <c r="I208" s="202">
        <v>0</v>
      </c>
      <c r="J208" s="203">
        <f t="shared" si="6"/>
        <v>4254897</v>
      </c>
      <c r="K208" s="197">
        <v>0</v>
      </c>
      <c r="L208" s="72"/>
    </row>
    <row r="209" spans="1:12" ht="15.95" customHeight="1" x14ac:dyDescent="0.25">
      <c r="A209" s="68">
        <v>206</v>
      </c>
      <c r="B209" s="69">
        <v>46310</v>
      </c>
      <c r="C209" s="70" t="s">
        <v>204</v>
      </c>
      <c r="D209" s="68">
        <v>10</v>
      </c>
      <c r="E209" s="71">
        <v>29</v>
      </c>
      <c r="F209" s="208">
        <f t="shared" si="7"/>
        <v>4254897</v>
      </c>
      <c r="G209" s="200">
        <f>'SUIVI 2026'!K209</f>
        <v>0</v>
      </c>
      <c r="H209" s="201">
        <f>'SUIVI 2026'!L209</f>
        <v>0</v>
      </c>
      <c r="I209" s="202">
        <v>0</v>
      </c>
      <c r="J209" s="203">
        <f t="shared" si="6"/>
        <v>4254897</v>
      </c>
      <c r="K209" s="197">
        <v>0</v>
      </c>
      <c r="L209" s="72"/>
    </row>
    <row r="210" spans="1:12" ht="15.95" customHeight="1" x14ac:dyDescent="0.25">
      <c r="A210" s="68">
        <v>207</v>
      </c>
      <c r="B210" s="69">
        <v>46311</v>
      </c>
      <c r="C210" s="70" t="s">
        <v>205</v>
      </c>
      <c r="D210" s="68">
        <v>10</v>
      </c>
      <c r="E210" s="71">
        <v>29</v>
      </c>
      <c r="F210" s="208">
        <f t="shared" si="7"/>
        <v>4254897</v>
      </c>
      <c r="G210" s="200">
        <f>'SUIVI 2026'!K210</f>
        <v>0</v>
      </c>
      <c r="H210" s="201">
        <f>'SUIVI 2026'!L210</f>
        <v>0</v>
      </c>
      <c r="I210" s="202">
        <v>0</v>
      </c>
      <c r="J210" s="203">
        <f t="shared" si="6"/>
        <v>4254897</v>
      </c>
      <c r="K210" s="197">
        <v>0</v>
      </c>
      <c r="L210" s="72"/>
    </row>
    <row r="211" spans="1:12" ht="15.95" customHeight="1" x14ac:dyDescent="0.25">
      <c r="A211" s="68">
        <v>208</v>
      </c>
      <c r="B211" s="69">
        <v>46314</v>
      </c>
      <c r="C211" s="70" t="s">
        <v>206</v>
      </c>
      <c r="D211" s="68">
        <v>10</v>
      </c>
      <c r="E211" s="71">
        <v>29</v>
      </c>
      <c r="F211" s="208">
        <f t="shared" si="7"/>
        <v>4254897</v>
      </c>
      <c r="G211" s="200">
        <f>'SUIVI 2026'!K211</f>
        <v>0</v>
      </c>
      <c r="H211" s="201">
        <f>'SUIVI 2026'!L211</f>
        <v>0</v>
      </c>
      <c r="I211" s="202">
        <v>0</v>
      </c>
      <c r="J211" s="203">
        <f t="shared" si="6"/>
        <v>4254897</v>
      </c>
      <c r="K211" s="197">
        <v>0</v>
      </c>
      <c r="L211" s="72"/>
    </row>
    <row r="212" spans="1:12" ht="15.95" customHeight="1" x14ac:dyDescent="0.25">
      <c r="A212" s="68">
        <v>209</v>
      </c>
      <c r="B212" s="69">
        <v>46315</v>
      </c>
      <c r="C212" s="70" t="s">
        <v>207</v>
      </c>
      <c r="D212" s="68">
        <v>10</v>
      </c>
      <c r="E212" s="71">
        <v>29</v>
      </c>
      <c r="F212" s="208">
        <f t="shared" si="7"/>
        <v>4254897</v>
      </c>
      <c r="G212" s="200">
        <f>'SUIVI 2026'!K212</f>
        <v>0</v>
      </c>
      <c r="H212" s="201">
        <f>'SUIVI 2026'!L212</f>
        <v>0</v>
      </c>
      <c r="I212" s="202">
        <v>0</v>
      </c>
      <c r="J212" s="203">
        <f t="shared" si="6"/>
        <v>4254897</v>
      </c>
      <c r="K212" s="197">
        <v>0</v>
      </c>
      <c r="L212" s="72"/>
    </row>
    <row r="213" spans="1:12" ht="15.95" customHeight="1" x14ac:dyDescent="0.25">
      <c r="A213" s="68">
        <v>210</v>
      </c>
      <c r="B213" s="69">
        <v>46316</v>
      </c>
      <c r="C213" s="70" t="s">
        <v>208</v>
      </c>
      <c r="D213" s="68">
        <v>10</v>
      </c>
      <c r="E213" s="71">
        <v>30</v>
      </c>
      <c r="F213" s="208">
        <f t="shared" si="7"/>
        <v>4254897</v>
      </c>
      <c r="G213" s="200">
        <f>'SUIVI 2026'!K213</f>
        <v>0</v>
      </c>
      <c r="H213" s="201">
        <f>'SUIVI 2026'!L213</f>
        <v>0</v>
      </c>
      <c r="I213" s="202">
        <v>0</v>
      </c>
      <c r="J213" s="203">
        <f t="shared" si="6"/>
        <v>4254897</v>
      </c>
      <c r="K213" s="197">
        <v>0</v>
      </c>
      <c r="L213" s="72"/>
    </row>
    <row r="214" spans="1:12" ht="15.95" customHeight="1" x14ac:dyDescent="0.25">
      <c r="A214" s="68">
        <v>211</v>
      </c>
      <c r="B214" s="69">
        <v>46317</v>
      </c>
      <c r="C214" s="70" t="s">
        <v>204</v>
      </c>
      <c r="D214" s="68">
        <v>10</v>
      </c>
      <c r="E214" s="71">
        <v>30</v>
      </c>
      <c r="F214" s="208">
        <f t="shared" si="7"/>
        <v>4254897</v>
      </c>
      <c r="G214" s="200">
        <f>'SUIVI 2026'!K214</f>
        <v>0</v>
      </c>
      <c r="H214" s="201">
        <f>'SUIVI 2026'!L214</f>
        <v>0</v>
      </c>
      <c r="I214" s="202">
        <v>0</v>
      </c>
      <c r="J214" s="203">
        <f t="shared" si="6"/>
        <v>4254897</v>
      </c>
      <c r="K214" s="197">
        <v>0</v>
      </c>
      <c r="L214" s="72"/>
    </row>
    <row r="215" spans="1:12" ht="15.95" customHeight="1" x14ac:dyDescent="0.25">
      <c r="A215" s="68">
        <v>212</v>
      </c>
      <c r="B215" s="69">
        <v>46318</v>
      </c>
      <c r="C215" s="70" t="s">
        <v>205</v>
      </c>
      <c r="D215" s="68">
        <v>10</v>
      </c>
      <c r="E215" s="71">
        <v>30</v>
      </c>
      <c r="F215" s="208">
        <f t="shared" si="7"/>
        <v>4254897</v>
      </c>
      <c r="G215" s="200">
        <f>'SUIVI 2026'!K215</f>
        <v>0</v>
      </c>
      <c r="H215" s="201">
        <f>'SUIVI 2026'!L215</f>
        <v>0</v>
      </c>
      <c r="I215" s="202">
        <v>0</v>
      </c>
      <c r="J215" s="203">
        <f t="shared" si="6"/>
        <v>4254897</v>
      </c>
      <c r="K215" s="197">
        <v>0</v>
      </c>
      <c r="L215" s="72"/>
    </row>
    <row r="216" spans="1:12" ht="15.95" customHeight="1" x14ac:dyDescent="0.25">
      <c r="A216" s="68">
        <v>213</v>
      </c>
      <c r="B216" s="69">
        <v>46321</v>
      </c>
      <c r="C216" s="70" t="s">
        <v>206</v>
      </c>
      <c r="D216" s="68">
        <v>10</v>
      </c>
      <c r="E216" s="71">
        <v>30</v>
      </c>
      <c r="F216" s="208">
        <f t="shared" si="7"/>
        <v>4254897</v>
      </c>
      <c r="G216" s="200">
        <f>'SUIVI 2026'!K216</f>
        <v>0</v>
      </c>
      <c r="H216" s="201">
        <f>'SUIVI 2026'!L216</f>
        <v>0</v>
      </c>
      <c r="I216" s="202">
        <v>0</v>
      </c>
      <c r="J216" s="203">
        <f t="shared" si="6"/>
        <v>4254897</v>
      </c>
      <c r="K216" s="197">
        <v>0</v>
      </c>
      <c r="L216" s="72"/>
    </row>
    <row r="217" spans="1:12" ht="15.95" customHeight="1" x14ac:dyDescent="0.25">
      <c r="A217" s="68">
        <v>214</v>
      </c>
      <c r="B217" s="69">
        <v>46322</v>
      </c>
      <c r="C217" s="70" t="s">
        <v>207</v>
      </c>
      <c r="D217" s="68">
        <v>10</v>
      </c>
      <c r="E217" s="71">
        <v>30</v>
      </c>
      <c r="F217" s="208">
        <f t="shared" si="7"/>
        <v>4254897</v>
      </c>
      <c r="G217" s="200">
        <f>'SUIVI 2026'!K217</f>
        <v>0</v>
      </c>
      <c r="H217" s="201">
        <f>'SUIVI 2026'!L217</f>
        <v>0</v>
      </c>
      <c r="I217" s="202">
        <v>0</v>
      </c>
      <c r="J217" s="203">
        <f t="shared" si="6"/>
        <v>4254897</v>
      </c>
      <c r="K217" s="197">
        <v>0</v>
      </c>
      <c r="L217" s="72"/>
    </row>
    <row r="218" spans="1:12" ht="15.95" customHeight="1" x14ac:dyDescent="0.25">
      <c r="A218" s="68">
        <v>215</v>
      </c>
      <c r="B218" s="69">
        <v>46323</v>
      </c>
      <c r="C218" s="70" t="s">
        <v>208</v>
      </c>
      <c r="D218" s="68">
        <v>10</v>
      </c>
      <c r="E218" s="71">
        <v>30</v>
      </c>
      <c r="F218" s="208">
        <f t="shared" si="7"/>
        <v>4254897</v>
      </c>
      <c r="G218" s="200">
        <f>'SUIVI 2026'!K218</f>
        <v>0</v>
      </c>
      <c r="H218" s="201">
        <f>'SUIVI 2026'!L218</f>
        <v>0</v>
      </c>
      <c r="I218" s="202">
        <v>0</v>
      </c>
      <c r="J218" s="203">
        <f t="shared" si="6"/>
        <v>4254897</v>
      </c>
      <c r="K218" s="197">
        <v>0</v>
      </c>
      <c r="L218" s="72"/>
    </row>
    <row r="219" spans="1:12" ht="15.95" customHeight="1" x14ac:dyDescent="0.25">
      <c r="A219" s="68">
        <v>216</v>
      </c>
      <c r="B219" s="69">
        <v>46324</v>
      </c>
      <c r="C219" s="70" t="s">
        <v>204</v>
      </c>
      <c r="D219" s="68">
        <v>10</v>
      </c>
      <c r="E219" s="71">
        <v>30</v>
      </c>
      <c r="F219" s="208">
        <f t="shared" si="7"/>
        <v>4254897</v>
      </c>
      <c r="G219" s="200">
        <f>'SUIVI 2026'!K219</f>
        <v>0</v>
      </c>
      <c r="H219" s="201">
        <f>'SUIVI 2026'!L219</f>
        <v>0</v>
      </c>
      <c r="I219" s="202">
        <v>0</v>
      </c>
      <c r="J219" s="203">
        <f t="shared" si="6"/>
        <v>4254897</v>
      </c>
      <c r="K219" s="197">
        <v>0</v>
      </c>
      <c r="L219" s="72"/>
    </row>
    <row r="220" spans="1:12" ht="15.95" customHeight="1" x14ac:dyDescent="0.25">
      <c r="A220" s="68">
        <v>217</v>
      </c>
      <c r="B220" s="69">
        <v>46325</v>
      </c>
      <c r="C220" s="70" t="s">
        <v>205</v>
      </c>
      <c r="D220" s="68">
        <v>10</v>
      </c>
      <c r="E220" s="71">
        <v>30</v>
      </c>
      <c r="F220" s="208">
        <f t="shared" si="7"/>
        <v>4254897</v>
      </c>
      <c r="G220" s="200">
        <f>'SUIVI 2026'!K220</f>
        <v>0</v>
      </c>
      <c r="H220" s="201">
        <f>'SUIVI 2026'!L220</f>
        <v>0</v>
      </c>
      <c r="I220" s="202">
        <v>0</v>
      </c>
      <c r="J220" s="203">
        <f t="shared" si="6"/>
        <v>4254897</v>
      </c>
      <c r="K220" s="197">
        <v>0</v>
      </c>
      <c r="L220" s="72"/>
    </row>
    <row r="221" spans="1:12" ht="15.95" customHeight="1" x14ac:dyDescent="0.25">
      <c r="A221" s="43">
        <v>218</v>
      </c>
      <c r="B221" s="44">
        <v>46328</v>
      </c>
      <c r="C221" s="45" t="s">
        <v>206</v>
      </c>
      <c r="D221" s="43">
        <v>11</v>
      </c>
      <c r="E221" s="46">
        <v>31</v>
      </c>
      <c r="F221" s="204">
        <f t="shared" si="7"/>
        <v>4254897</v>
      </c>
      <c r="G221" s="200">
        <f>'SUIVI 2026'!K221</f>
        <v>0</v>
      </c>
      <c r="H221" s="201">
        <f>'SUIVI 2026'!L221</f>
        <v>0</v>
      </c>
      <c r="I221" s="202">
        <v>0</v>
      </c>
      <c r="J221" s="203">
        <f t="shared" si="6"/>
        <v>4254897</v>
      </c>
      <c r="K221" s="197">
        <v>0</v>
      </c>
      <c r="L221" s="52"/>
    </row>
    <row r="222" spans="1:12" ht="15.95" customHeight="1" x14ac:dyDescent="0.25">
      <c r="A222" s="43">
        <v>219</v>
      </c>
      <c r="B222" s="44">
        <v>46329</v>
      </c>
      <c r="C222" s="45" t="s">
        <v>207</v>
      </c>
      <c r="D222" s="43">
        <v>11</v>
      </c>
      <c r="E222" s="46">
        <v>31</v>
      </c>
      <c r="F222" s="204">
        <f t="shared" si="7"/>
        <v>4254897</v>
      </c>
      <c r="G222" s="200">
        <f>'SUIVI 2026'!K222</f>
        <v>0</v>
      </c>
      <c r="H222" s="201">
        <f>'SUIVI 2026'!L222</f>
        <v>0</v>
      </c>
      <c r="I222" s="202">
        <v>0</v>
      </c>
      <c r="J222" s="203">
        <f t="shared" si="6"/>
        <v>4254897</v>
      </c>
      <c r="K222" s="197">
        <v>0</v>
      </c>
      <c r="L222" s="52"/>
    </row>
    <row r="223" spans="1:12" ht="15.95" customHeight="1" x14ac:dyDescent="0.25">
      <c r="A223" s="43">
        <v>220</v>
      </c>
      <c r="B223" s="44">
        <v>46330</v>
      </c>
      <c r="C223" s="45" t="s">
        <v>208</v>
      </c>
      <c r="D223" s="43">
        <v>11</v>
      </c>
      <c r="E223" s="46">
        <v>31</v>
      </c>
      <c r="F223" s="204">
        <f t="shared" si="7"/>
        <v>4254897</v>
      </c>
      <c r="G223" s="200">
        <f>'SUIVI 2026'!K223</f>
        <v>0</v>
      </c>
      <c r="H223" s="201">
        <f>'SUIVI 2026'!L223</f>
        <v>0</v>
      </c>
      <c r="I223" s="202">
        <v>0</v>
      </c>
      <c r="J223" s="203">
        <f t="shared" si="6"/>
        <v>4254897</v>
      </c>
      <c r="K223" s="197">
        <v>0</v>
      </c>
      <c r="L223" s="52"/>
    </row>
    <row r="224" spans="1:12" ht="15.95" customHeight="1" x14ac:dyDescent="0.25">
      <c r="A224" s="43">
        <v>221</v>
      </c>
      <c r="B224" s="44">
        <v>46331</v>
      </c>
      <c r="C224" s="45" t="s">
        <v>204</v>
      </c>
      <c r="D224" s="43">
        <v>11</v>
      </c>
      <c r="E224" s="46">
        <v>31</v>
      </c>
      <c r="F224" s="204">
        <f t="shared" si="7"/>
        <v>4254897</v>
      </c>
      <c r="G224" s="200">
        <f>'SUIVI 2026'!K224</f>
        <v>0</v>
      </c>
      <c r="H224" s="201">
        <f>'SUIVI 2026'!L224</f>
        <v>0</v>
      </c>
      <c r="I224" s="202">
        <v>0</v>
      </c>
      <c r="J224" s="203">
        <f t="shared" si="6"/>
        <v>4254897</v>
      </c>
      <c r="K224" s="197">
        <v>0</v>
      </c>
      <c r="L224" s="52"/>
    </row>
    <row r="225" spans="1:12" ht="15.95" customHeight="1" x14ac:dyDescent="0.25">
      <c r="A225" s="43">
        <v>222</v>
      </c>
      <c r="B225" s="44">
        <v>46332</v>
      </c>
      <c r="C225" s="45" t="s">
        <v>205</v>
      </c>
      <c r="D225" s="43">
        <v>11</v>
      </c>
      <c r="E225" s="46">
        <v>31</v>
      </c>
      <c r="F225" s="204">
        <f t="shared" si="7"/>
        <v>4254897</v>
      </c>
      <c r="G225" s="200">
        <f>'SUIVI 2026'!K225</f>
        <v>0</v>
      </c>
      <c r="H225" s="201">
        <f>'SUIVI 2026'!L225</f>
        <v>0</v>
      </c>
      <c r="I225" s="202">
        <v>0</v>
      </c>
      <c r="J225" s="203">
        <f t="shared" si="6"/>
        <v>4254897</v>
      </c>
      <c r="K225" s="197">
        <v>0</v>
      </c>
      <c r="L225" s="52"/>
    </row>
    <row r="226" spans="1:12" ht="15.95" customHeight="1" x14ac:dyDescent="0.25">
      <c r="A226" s="43">
        <v>223</v>
      </c>
      <c r="B226" s="44">
        <v>46335</v>
      </c>
      <c r="C226" s="45" t="s">
        <v>206</v>
      </c>
      <c r="D226" s="43">
        <v>11</v>
      </c>
      <c r="E226" s="46">
        <v>31</v>
      </c>
      <c r="F226" s="204">
        <f t="shared" si="7"/>
        <v>4254897</v>
      </c>
      <c r="G226" s="200">
        <f>'SUIVI 2026'!K226</f>
        <v>0</v>
      </c>
      <c r="H226" s="201">
        <f>'SUIVI 2026'!L226</f>
        <v>0</v>
      </c>
      <c r="I226" s="202">
        <v>0</v>
      </c>
      <c r="J226" s="203">
        <f t="shared" si="6"/>
        <v>4254897</v>
      </c>
      <c r="K226" s="197">
        <v>0</v>
      </c>
      <c r="L226" s="52"/>
    </row>
    <row r="227" spans="1:12" ht="15.95" customHeight="1" x14ac:dyDescent="0.25">
      <c r="A227" s="43">
        <v>224</v>
      </c>
      <c r="B227" s="44">
        <v>46336</v>
      </c>
      <c r="C227" s="45" t="s">
        <v>207</v>
      </c>
      <c r="D227" s="43">
        <v>11</v>
      </c>
      <c r="E227" s="46">
        <v>31</v>
      </c>
      <c r="F227" s="204">
        <f t="shared" si="7"/>
        <v>4254897</v>
      </c>
      <c r="G227" s="200">
        <f>'SUIVI 2026'!K227</f>
        <v>0</v>
      </c>
      <c r="H227" s="201">
        <f>'SUIVI 2026'!L227</f>
        <v>0</v>
      </c>
      <c r="I227" s="202">
        <v>0</v>
      </c>
      <c r="J227" s="203">
        <f t="shared" si="6"/>
        <v>4254897</v>
      </c>
      <c r="K227" s="197">
        <v>0</v>
      </c>
      <c r="L227" s="52"/>
    </row>
    <row r="228" spans="1:12" ht="15.95" customHeight="1" x14ac:dyDescent="0.25">
      <c r="A228" s="43">
        <v>225</v>
      </c>
      <c r="B228" s="44">
        <v>46337</v>
      </c>
      <c r="C228" s="45" t="s">
        <v>208</v>
      </c>
      <c r="D228" s="43">
        <v>11</v>
      </c>
      <c r="E228" s="46">
        <v>32</v>
      </c>
      <c r="F228" s="204">
        <f t="shared" si="7"/>
        <v>4254897</v>
      </c>
      <c r="G228" s="200">
        <f>'SUIVI 2026'!K228</f>
        <v>0</v>
      </c>
      <c r="H228" s="201">
        <f>'SUIVI 2026'!L228</f>
        <v>0</v>
      </c>
      <c r="I228" s="202">
        <v>0</v>
      </c>
      <c r="J228" s="203">
        <f t="shared" si="6"/>
        <v>4254897</v>
      </c>
      <c r="K228" s="197">
        <v>0</v>
      </c>
      <c r="L228" s="52"/>
    </row>
    <row r="229" spans="1:12" ht="15.95" customHeight="1" x14ac:dyDescent="0.25">
      <c r="A229" s="43">
        <v>226</v>
      </c>
      <c r="B229" s="44">
        <v>46338</v>
      </c>
      <c r="C229" s="45" t="s">
        <v>204</v>
      </c>
      <c r="D229" s="43">
        <v>11</v>
      </c>
      <c r="E229" s="46">
        <v>32</v>
      </c>
      <c r="F229" s="204">
        <f t="shared" si="7"/>
        <v>4254897</v>
      </c>
      <c r="G229" s="200">
        <f>'SUIVI 2026'!K229</f>
        <v>0</v>
      </c>
      <c r="H229" s="201">
        <f>'SUIVI 2026'!L229</f>
        <v>0</v>
      </c>
      <c r="I229" s="202">
        <v>0</v>
      </c>
      <c r="J229" s="203">
        <f t="shared" si="6"/>
        <v>4254897</v>
      </c>
      <c r="K229" s="197">
        <v>0</v>
      </c>
      <c r="L229" s="52"/>
    </row>
    <row r="230" spans="1:12" ht="15.95" customHeight="1" x14ac:dyDescent="0.25">
      <c r="A230" s="43">
        <v>227</v>
      </c>
      <c r="B230" s="44">
        <v>46339</v>
      </c>
      <c r="C230" s="45" t="s">
        <v>205</v>
      </c>
      <c r="D230" s="43">
        <v>11</v>
      </c>
      <c r="E230" s="46">
        <v>32</v>
      </c>
      <c r="F230" s="204">
        <f t="shared" si="7"/>
        <v>4254897</v>
      </c>
      <c r="G230" s="200">
        <f>'SUIVI 2026'!K230</f>
        <v>0</v>
      </c>
      <c r="H230" s="201">
        <f>'SUIVI 2026'!L230</f>
        <v>0</v>
      </c>
      <c r="I230" s="202">
        <v>0</v>
      </c>
      <c r="J230" s="203">
        <f t="shared" si="6"/>
        <v>4254897</v>
      </c>
      <c r="K230" s="197">
        <v>0</v>
      </c>
      <c r="L230" s="52"/>
    </row>
    <row r="231" spans="1:12" ht="15.95" customHeight="1" x14ac:dyDescent="0.25">
      <c r="A231" s="43">
        <v>228</v>
      </c>
      <c r="B231" s="44">
        <v>46342</v>
      </c>
      <c r="C231" s="45" t="s">
        <v>206</v>
      </c>
      <c r="D231" s="43">
        <v>11</v>
      </c>
      <c r="E231" s="46">
        <v>32</v>
      </c>
      <c r="F231" s="204">
        <f t="shared" si="7"/>
        <v>4254897</v>
      </c>
      <c r="G231" s="200">
        <f>'SUIVI 2026'!K231</f>
        <v>0</v>
      </c>
      <c r="H231" s="201">
        <f>'SUIVI 2026'!L231</f>
        <v>0</v>
      </c>
      <c r="I231" s="202">
        <v>0</v>
      </c>
      <c r="J231" s="203">
        <f t="shared" si="6"/>
        <v>4254897</v>
      </c>
      <c r="K231" s="197">
        <v>0</v>
      </c>
      <c r="L231" s="52"/>
    </row>
    <row r="232" spans="1:12" ht="15.95" customHeight="1" x14ac:dyDescent="0.25">
      <c r="A232" s="43">
        <v>229</v>
      </c>
      <c r="B232" s="44">
        <v>46343</v>
      </c>
      <c r="C232" s="45" t="s">
        <v>207</v>
      </c>
      <c r="D232" s="43">
        <v>11</v>
      </c>
      <c r="E232" s="46">
        <v>32</v>
      </c>
      <c r="F232" s="204">
        <f t="shared" si="7"/>
        <v>4254897</v>
      </c>
      <c r="G232" s="200">
        <f>'SUIVI 2026'!K232</f>
        <v>0</v>
      </c>
      <c r="H232" s="201">
        <f>'SUIVI 2026'!L232</f>
        <v>0</v>
      </c>
      <c r="I232" s="202">
        <v>0</v>
      </c>
      <c r="J232" s="203">
        <f t="shared" si="6"/>
        <v>4254897</v>
      </c>
      <c r="K232" s="197">
        <v>0</v>
      </c>
      <c r="L232" s="52"/>
    </row>
    <row r="233" spans="1:12" ht="15.95" customHeight="1" x14ac:dyDescent="0.25">
      <c r="A233" s="43">
        <v>230</v>
      </c>
      <c r="B233" s="44">
        <v>46344</v>
      </c>
      <c r="C233" s="45" t="s">
        <v>208</v>
      </c>
      <c r="D233" s="43">
        <v>11</v>
      </c>
      <c r="E233" s="46">
        <v>32</v>
      </c>
      <c r="F233" s="204">
        <f t="shared" si="7"/>
        <v>4254897</v>
      </c>
      <c r="G233" s="200">
        <f>'SUIVI 2026'!K233</f>
        <v>0</v>
      </c>
      <c r="H233" s="201">
        <f>'SUIVI 2026'!L233</f>
        <v>0</v>
      </c>
      <c r="I233" s="202">
        <v>0</v>
      </c>
      <c r="J233" s="203">
        <f t="shared" si="6"/>
        <v>4254897</v>
      </c>
      <c r="K233" s="197">
        <v>0</v>
      </c>
      <c r="L233" s="52"/>
    </row>
    <row r="234" spans="1:12" ht="15.95" customHeight="1" x14ac:dyDescent="0.25">
      <c r="A234" s="43">
        <v>231</v>
      </c>
      <c r="B234" s="44">
        <v>46345</v>
      </c>
      <c r="C234" s="45" t="s">
        <v>204</v>
      </c>
      <c r="D234" s="43">
        <v>11</v>
      </c>
      <c r="E234" s="46">
        <v>32</v>
      </c>
      <c r="F234" s="204">
        <f t="shared" si="7"/>
        <v>4254897</v>
      </c>
      <c r="G234" s="200">
        <f>'SUIVI 2026'!K234</f>
        <v>0</v>
      </c>
      <c r="H234" s="201">
        <f>'SUIVI 2026'!L234</f>
        <v>0</v>
      </c>
      <c r="I234" s="202">
        <v>0</v>
      </c>
      <c r="J234" s="203">
        <f t="shared" si="6"/>
        <v>4254897</v>
      </c>
      <c r="K234" s="197">
        <v>0</v>
      </c>
      <c r="L234" s="52"/>
    </row>
    <row r="235" spans="1:12" ht="15.95" customHeight="1" x14ac:dyDescent="0.25">
      <c r="A235" s="43">
        <v>232</v>
      </c>
      <c r="B235" s="44">
        <v>46346</v>
      </c>
      <c r="C235" s="45" t="s">
        <v>205</v>
      </c>
      <c r="D235" s="43">
        <v>11</v>
      </c>
      <c r="E235" s="46">
        <v>32</v>
      </c>
      <c r="F235" s="204">
        <f t="shared" si="7"/>
        <v>4254897</v>
      </c>
      <c r="G235" s="200">
        <f>'SUIVI 2026'!K235</f>
        <v>0</v>
      </c>
      <c r="H235" s="201">
        <f>'SUIVI 2026'!L235</f>
        <v>0</v>
      </c>
      <c r="I235" s="202">
        <v>0</v>
      </c>
      <c r="J235" s="203">
        <f t="shared" si="6"/>
        <v>4254897</v>
      </c>
      <c r="K235" s="197">
        <v>0</v>
      </c>
      <c r="L235" s="52"/>
    </row>
    <row r="236" spans="1:12" ht="15.95" customHeight="1" x14ac:dyDescent="0.25">
      <c r="A236" s="43">
        <v>233</v>
      </c>
      <c r="B236" s="44">
        <v>46349</v>
      </c>
      <c r="C236" s="45" t="s">
        <v>206</v>
      </c>
      <c r="D236" s="43">
        <v>11</v>
      </c>
      <c r="E236" s="46">
        <v>33</v>
      </c>
      <c r="F236" s="204">
        <f t="shared" si="7"/>
        <v>4254897</v>
      </c>
      <c r="G236" s="200">
        <f>'SUIVI 2026'!K236</f>
        <v>0</v>
      </c>
      <c r="H236" s="201">
        <f>'SUIVI 2026'!L236</f>
        <v>0</v>
      </c>
      <c r="I236" s="202">
        <v>0</v>
      </c>
      <c r="J236" s="203">
        <f t="shared" si="6"/>
        <v>4254897</v>
      </c>
      <c r="K236" s="197">
        <v>0</v>
      </c>
      <c r="L236" s="52"/>
    </row>
    <row r="237" spans="1:12" ht="15.95" customHeight="1" x14ac:dyDescent="0.25">
      <c r="A237" s="43">
        <v>234</v>
      </c>
      <c r="B237" s="44">
        <v>46350</v>
      </c>
      <c r="C237" s="45" t="s">
        <v>207</v>
      </c>
      <c r="D237" s="43">
        <v>11</v>
      </c>
      <c r="E237" s="46">
        <v>33</v>
      </c>
      <c r="F237" s="204">
        <f t="shared" si="7"/>
        <v>4254897</v>
      </c>
      <c r="G237" s="200">
        <f>'SUIVI 2026'!K237</f>
        <v>0</v>
      </c>
      <c r="H237" s="201">
        <f>'SUIVI 2026'!L237</f>
        <v>0</v>
      </c>
      <c r="I237" s="202">
        <v>0</v>
      </c>
      <c r="J237" s="203">
        <f t="shared" si="6"/>
        <v>4254897</v>
      </c>
      <c r="K237" s="197">
        <v>0</v>
      </c>
      <c r="L237" s="52"/>
    </row>
    <row r="238" spans="1:12" ht="15.95" customHeight="1" x14ac:dyDescent="0.25">
      <c r="A238" s="43">
        <v>235</v>
      </c>
      <c r="B238" s="44">
        <v>46351</v>
      </c>
      <c r="C238" s="45" t="s">
        <v>208</v>
      </c>
      <c r="D238" s="43">
        <v>11</v>
      </c>
      <c r="E238" s="46">
        <v>33</v>
      </c>
      <c r="F238" s="204">
        <f t="shared" si="7"/>
        <v>4254897</v>
      </c>
      <c r="G238" s="200">
        <f>'SUIVI 2026'!K238</f>
        <v>0</v>
      </c>
      <c r="H238" s="201">
        <f>'SUIVI 2026'!L238</f>
        <v>0</v>
      </c>
      <c r="I238" s="202">
        <v>0</v>
      </c>
      <c r="J238" s="203">
        <f t="shared" si="6"/>
        <v>4254897</v>
      </c>
      <c r="K238" s="197">
        <v>0</v>
      </c>
      <c r="L238" s="52"/>
    </row>
    <row r="239" spans="1:12" ht="15.95" customHeight="1" x14ac:dyDescent="0.25">
      <c r="A239" s="43">
        <v>236</v>
      </c>
      <c r="B239" s="44">
        <v>46352</v>
      </c>
      <c r="C239" s="45" t="s">
        <v>204</v>
      </c>
      <c r="D239" s="43">
        <v>11</v>
      </c>
      <c r="E239" s="46">
        <v>33</v>
      </c>
      <c r="F239" s="204">
        <f t="shared" si="7"/>
        <v>4254897</v>
      </c>
      <c r="G239" s="200">
        <f>'SUIVI 2026'!K239</f>
        <v>0</v>
      </c>
      <c r="H239" s="201">
        <f>'SUIVI 2026'!L239</f>
        <v>0</v>
      </c>
      <c r="I239" s="202">
        <v>0</v>
      </c>
      <c r="J239" s="203">
        <f t="shared" si="6"/>
        <v>4254897</v>
      </c>
      <c r="K239" s="197">
        <v>0</v>
      </c>
      <c r="L239" s="52"/>
    </row>
    <row r="240" spans="1:12" ht="15.95" customHeight="1" x14ac:dyDescent="0.25">
      <c r="A240" s="43">
        <v>237</v>
      </c>
      <c r="B240" s="44">
        <v>46353</v>
      </c>
      <c r="C240" s="45" t="s">
        <v>205</v>
      </c>
      <c r="D240" s="43">
        <v>11</v>
      </c>
      <c r="E240" s="46">
        <v>33</v>
      </c>
      <c r="F240" s="204">
        <f t="shared" si="7"/>
        <v>4254897</v>
      </c>
      <c r="G240" s="200">
        <f>'SUIVI 2026'!K240</f>
        <v>0</v>
      </c>
      <c r="H240" s="201">
        <f>'SUIVI 2026'!L240</f>
        <v>0</v>
      </c>
      <c r="I240" s="202">
        <v>0</v>
      </c>
      <c r="J240" s="203">
        <f t="shared" si="6"/>
        <v>4254897</v>
      </c>
      <c r="K240" s="197">
        <v>0</v>
      </c>
      <c r="L240" s="52"/>
    </row>
    <row r="241" spans="1:12" ht="15.95" customHeight="1" x14ac:dyDescent="0.25">
      <c r="A241" s="43">
        <v>238</v>
      </c>
      <c r="B241" s="44">
        <v>46356</v>
      </c>
      <c r="C241" s="45" t="s">
        <v>206</v>
      </c>
      <c r="D241" s="43">
        <v>11</v>
      </c>
      <c r="E241" s="46">
        <v>33</v>
      </c>
      <c r="F241" s="204">
        <f t="shared" si="7"/>
        <v>4254897</v>
      </c>
      <c r="G241" s="200">
        <f>'SUIVI 2026'!K241</f>
        <v>0</v>
      </c>
      <c r="H241" s="201">
        <f>'SUIVI 2026'!L241</f>
        <v>0</v>
      </c>
      <c r="I241" s="202">
        <v>0</v>
      </c>
      <c r="J241" s="203">
        <f t="shared" si="6"/>
        <v>4254897</v>
      </c>
      <c r="K241" s="197">
        <v>0</v>
      </c>
      <c r="L241" s="52"/>
    </row>
    <row r="242" spans="1:12" ht="15.95" customHeight="1" x14ac:dyDescent="0.25">
      <c r="A242" s="78">
        <v>239</v>
      </c>
      <c r="B242" s="79">
        <v>46357</v>
      </c>
      <c r="C242" s="80" t="s">
        <v>207</v>
      </c>
      <c r="D242" s="78">
        <v>12</v>
      </c>
      <c r="E242" s="81">
        <v>34</v>
      </c>
      <c r="F242" s="210">
        <f t="shared" si="7"/>
        <v>4254897</v>
      </c>
      <c r="G242" s="200">
        <f>'SUIVI 2026'!K242</f>
        <v>0</v>
      </c>
      <c r="H242" s="201">
        <f>'SUIVI 2026'!L242</f>
        <v>0</v>
      </c>
      <c r="I242" s="202">
        <v>0</v>
      </c>
      <c r="J242" s="203">
        <f t="shared" si="6"/>
        <v>4254897</v>
      </c>
      <c r="K242" s="197">
        <v>0</v>
      </c>
      <c r="L242" s="82"/>
    </row>
    <row r="243" spans="1:12" ht="15.95" customHeight="1" x14ac:dyDescent="0.25">
      <c r="A243" s="78">
        <v>240</v>
      </c>
      <c r="B243" s="79">
        <v>46358</v>
      </c>
      <c r="C243" s="80" t="s">
        <v>208</v>
      </c>
      <c r="D243" s="78">
        <v>12</v>
      </c>
      <c r="E243" s="81">
        <v>34</v>
      </c>
      <c r="F243" s="210">
        <f t="shared" si="7"/>
        <v>4254897</v>
      </c>
      <c r="G243" s="200">
        <f>'SUIVI 2026'!K243</f>
        <v>0</v>
      </c>
      <c r="H243" s="201">
        <f>'SUIVI 2026'!L243</f>
        <v>0</v>
      </c>
      <c r="I243" s="202">
        <v>0</v>
      </c>
      <c r="J243" s="203">
        <f t="shared" si="6"/>
        <v>4254897</v>
      </c>
      <c r="K243" s="197">
        <v>0</v>
      </c>
      <c r="L243" s="82"/>
    </row>
    <row r="244" spans="1:12" ht="15.95" customHeight="1" x14ac:dyDescent="0.25">
      <c r="A244" s="78">
        <v>241</v>
      </c>
      <c r="B244" s="79">
        <v>46359</v>
      </c>
      <c r="C244" s="80" t="s">
        <v>204</v>
      </c>
      <c r="D244" s="78">
        <v>12</v>
      </c>
      <c r="E244" s="81">
        <v>34</v>
      </c>
      <c r="F244" s="210">
        <f t="shared" si="7"/>
        <v>4254897</v>
      </c>
      <c r="G244" s="200">
        <f>'SUIVI 2026'!K244</f>
        <v>0</v>
      </c>
      <c r="H244" s="201">
        <f>'SUIVI 2026'!L244</f>
        <v>0</v>
      </c>
      <c r="I244" s="202">
        <v>0</v>
      </c>
      <c r="J244" s="203">
        <f t="shared" si="6"/>
        <v>4254897</v>
      </c>
      <c r="K244" s="197">
        <v>0</v>
      </c>
      <c r="L244" s="82"/>
    </row>
    <row r="245" spans="1:12" ht="15.95" customHeight="1" x14ac:dyDescent="0.25">
      <c r="A245" s="78">
        <v>242</v>
      </c>
      <c r="B245" s="79">
        <v>46360</v>
      </c>
      <c r="C245" s="80" t="s">
        <v>205</v>
      </c>
      <c r="D245" s="78">
        <v>12</v>
      </c>
      <c r="E245" s="81">
        <v>34</v>
      </c>
      <c r="F245" s="210">
        <f t="shared" si="7"/>
        <v>4254897</v>
      </c>
      <c r="G245" s="200">
        <f>'SUIVI 2026'!K245</f>
        <v>0</v>
      </c>
      <c r="H245" s="201">
        <f>'SUIVI 2026'!L245</f>
        <v>0</v>
      </c>
      <c r="I245" s="202">
        <v>0</v>
      </c>
      <c r="J245" s="203">
        <f t="shared" si="6"/>
        <v>4254897</v>
      </c>
      <c r="K245" s="197">
        <v>0</v>
      </c>
      <c r="L245" s="82"/>
    </row>
    <row r="246" spans="1:12" ht="15.95" customHeight="1" x14ac:dyDescent="0.25">
      <c r="A246" s="78">
        <v>243</v>
      </c>
      <c r="B246" s="79">
        <v>46363</v>
      </c>
      <c r="C246" s="80" t="s">
        <v>206</v>
      </c>
      <c r="D246" s="78">
        <v>12</v>
      </c>
      <c r="E246" s="81">
        <v>34</v>
      </c>
      <c r="F246" s="210">
        <f t="shared" si="7"/>
        <v>4254897</v>
      </c>
      <c r="G246" s="200">
        <f>'SUIVI 2026'!K246</f>
        <v>0</v>
      </c>
      <c r="H246" s="201">
        <f>'SUIVI 2026'!L246</f>
        <v>0</v>
      </c>
      <c r="I246" s="202">
        <v>0</v>
      </c>
      <c r="J246" s="203">
        <f t="shared" si="6"/>
        <v>4254897</v>
      </c>
      <c r="K246" s="197">
        <v>0</v>
      </c>
      <c r="L246" s="82"/>
    </row>
    <row r="247" spans="1:12" ht="15.95" customHeight="1" x14ac:dyDescent="0.25">
      <c r="A247" s="78">
        <v>244</v>
      </c>
      <c r="B247" s="79">
        <v>46364</v>
      </c>
      <c r="C247" s="80" t="s">
        <v>207</v>
      </c>
      <c r="D247" s="78">
        <v>12</v>
      </c>
      <c r="E247" s="81">
        <v>34</v>
      </c>
      <c r="F247" s="210">
        <f t="shared" si="7"/>
        <v>4254897</v>
      </c>
      <c r="G247" s="200">
        <f>'SUIVI 2026'!K247</f>
        <v>0</v>
      </c>
      <c r="H247" s="201">
        <f>'SUIVI 2026'!L247</f>
        <v>0</v>
      </c>
      <c r="I247" s="202">
        <v>0</v>
      </c>
      <c r="J247" s="203">
        <f t="shared" si="6"/>
        <v>4254897</v>
      </c>
      <c r="K247" s="197">
        <v>0</v>
      </c>
      <c r="L247" s="82"/>
    </row>
    <row r="248" spans="1:12" ht="15.95" customHeight="1" x14ac:dyDescent="0.25">
      <c r="A248" s="78">
        <v>245</v>
      </c>
      <c r="B248" s="79">
        <v>46365</v>
      </c>
      <c r="C248" s="80" t="s">
        <v>208</v>
      </c>
      <c r="D248" s="78">
        <v>12</v>
      </c>
      <c r="E248" s="81">
        <v>34</v>
      </c>
      <c r="F248" s="210">
        <f t="shared" si="7"/>
        <v>4254897</v>
      </c>
      <c r="G248" s="200">
        <f>'SUIVI 2026'!K248</f>
        <v>0</v>
      </c>
      <c r="H248" s="201">
        <f>'SUIVI 2026'!L248</f>
        <v>0</v>
      </c>
      <c r="I248" s="202">
        <v>0</v>
      </c>
      <c r="J248" s="203">
        <f t="shared" si="6"/>
        <v>4254897</v>
      </c>
      <c r="K248" s="197">
        <v>0</v>
      </c>
      <c r="L248" s="82"/>
    </row>
    <row r="249" spans="1:12" ht="15.95" customHeight="1" x14ac:dyDescent="0.25">
      <c r="A249" s="78">
        <v>246</v>
      </c>
      <c r="B249" s="79">
        <v>46366</v>
      </c>
      <c r="C249" s="80" t="s">
        <v>204</v>
      </c>
      <c r="D249" s="78">
        <v>12</v>
      </c>
      <c r="E249" s="81">
        <v>34</v>
      </c>
      <c r="F249" s="210">
        <f t="shared" si="7"/>
        <v>4254897</v>
      </c>
      <c r="G249" s="200">
        <f>'SUIVI 2026'!K249</f>
        <v>0</v>
      </c>
      <c r="H249" s="201">
        <f>'SUIVI 2026'!L249</f>
        <v>0</v>
      </c>
      <c r="I249" s="202">
        <v>0</v>
      </c>
      <c r="J249" s="203">
        <f t="shared" si="6"/>
        <v>4254897</v>
      </c>
      <c r="K249" s="197">
        <v>0</v>
      </c>
      <c r="L249" s="82"/>
    </row>
    <row r="250" spans="1:12" ht="15.95" customHeight="1" x14ac:dyDescent="0.25">
      <c r="A250" s="78">
        <v>247</v>
      </c>
      <c r="B250" s="79">
        <v>46367</v>
      </c>
      <c r="C250" s="80" t="s">
        <v>205</v>
      </c>
      <c r="D250" s="78">
        <v>12</v>
      </c>
      <c r="E250" s="81">
        <v>35</v>
      </c>
      <c r="F250" s="210">
        <f t="shared" si="7"/>
        <v>4254897</v>
      </c>
      <c r="G250" s="200">
        <f>'SUIVI 2026'!K250</f>
        <v>0</v>
      </c>
      <c r="H250" s="201">
        <f>'SUIVI 2026'!L250</f>
        <v>0</v>
      </c>
      <c r="I250" s="202">
        <v>0</v>
      </c>
      <c r="J250" s="203">
        <f t="shared" si="6"/>
        <v>4254897</v>
      </c>
      <c r="K250" s="197">
        <v>0</v>
      </c>
      <c r="L250" s="82"/>
    </row>
    <row r="251" spans="1:12" ht="15.95" customHeight="1" x14ac:dyDescent="0.25">
      <c r="A251" s="78">
        <v>248</v>
      </c>
      <c r="B251" s="79">
        <v>46370</v>
      </c>
      <c r="C251" s="80" t="s">
        <v>206</v>
      </c>
      <c r="D251" s="78">
        <v>12</v>
      </c>
      <c r="E251" s="81">
        <v>35</v>
      </c>
      <c r="F251" s="210">
        <f t="shared" si="7"/>
        <v>4254897</v>
      </c>
      <c r="G251" s="200">
        <f>'SUIVI 2026'!K251</f>
        <v>0</v>
      </c>
      <c r="H251" s="201">
        <f>'SUIVI 2026'!L251</f>
        <v>0</v>
      </c>
      <c r="I251" s="202">
        <v>0</v>
      </c>
      <c r="J251" s="203">
        <f t="shared" si="6"/>
        <v>4254897</v>
      </c>
      <c r="K251" s="197">
        <v>0</v>
      </c>
      <c r="L251" s="82"/>
    </row>
    <row r="252" spans="1:12" ht="15.95" customHeight="1" x14ac:dyDescent="0.25">
      <c r="A252" s="78">
        <v>249</v>
      </c>
      <c r="B252" s="79">
        <v>46371</v>
      </c>
      <c r="C252" s="80" t="s">
        <v>207</v>
      </c>
      <c r="D252" s="78">
        <v>12</v>
      </c>
      <c r="E252" s="81">
        <v>35</v>
      </c>
      <c r="F252" s="210">
        <f t="shared" si="7"/>
        <v>4254897</v>
      </c>
      <c r="G252" s="200">
        <f>'SUIVI 2026'!K252</f>
        <v>0</v>
      </c>
      <c r="H252" s="201">
        <f>'SUIVI 2026'!L252</f>
        <v>0</v>
      </c>
      <c r="I252" s="202">
        <v>0</v>
      </c>
      <c r="J252" s="203">
        <f t="shared" si="6"/>
        <v>4254897</v>
      </c>
      <c r="K252" s="197">
        <v>0</v>
      </c>
      <c r="L252" s="82"/>
    </row>
    <row r="253" spans="1:12" ht="15.95" customHeight="1" x14ac:dyDescent="0.25">
      <c r="A253" s="78">
        <v>250</v>
      </c>
      <c r="B253" s="79">
        <v>46372</v>
      </c>
      <c r="C253" s="80" t="s">
        <v>208</v>
      </c>
      <c r="D253" s="78">
        <v>12</v>
      </c>
      <c r="E253" s="81">
        <v>35</v>
      </c>
      <c r="F253" s="210">
        <f t="shared" si="7"/>
        <v>4254897</v>
      </c>
      <c r="G253" s="200">
        <f>'SUIVI 2026'!K253</f>
        <v>0</v>
      </c>
      <c r="H253" s="201">
        <f>'SUIVI 2026'!L253</f>
        <v>0</v>
      </c>
      <c r="I253" s="202">
        <v>0</v>
      </c>
      <c r="J253" s="203">
        <f t="shared" si="6"/>
        <v>4254897</v>
      </c>
      <c r="K253" s="197">
        <v>0</v>
      </c>
      <c r="L253" s="82"/>
    </row>
    <row r="254" spans="1:12" ht="15.95" customHeight="1" x14ac:dyDescent="0.25">
      <c r="A254" s="78">
        <v>251</v>
      </c>
      <c r="B254" s="79">
        <v>46373</v>
      </c>
      <c r="C254" s="80" t="s">
        <v>204</v>
      </c>
      <c r="D254" s="78">
        <v>12</v>
      </c>
      <c r="E254" s="81">
        <v>35</v>
      </c>
      <c r="F254" s="210">
        <f t="shared" si="7"/>
        <v>4254897</v>
      </c>
      <c r="G254" s="200">
        <f>'SUIVI 2026'!K254</f>
        <v>0</v>
      </c>
      <c r="H254" s="201">
        <f>'SUIVI 2026'!L254</f>
        <v>0</v>
      </c>
      <c r="I254" s="202">
        <v>0</v>
      </c>
      <c r="J254" s="203">
        <f t="shared" si="6"/>
        <v>4254897</v>
      </c>
      <c r="K254" s="197">
        <v>0</v>
      </c>
      <c r="L254" s="82"/>
    </row>
    <row r="255" spans="1:12" ht="15.95" customHeight="1" x14ac:dyDescent="0.25">
      <c r="A255" s="78">
        <v>252</v>
      </c>
      <c r="B255" s="79">
        <v>46374</v>
      </c>
      <c r="C255" s="80" t="s">
        <v>205</v>
      </c>
      <c r="D255" s="78">
        <v>12</v>
      </c>
      <c r="E255" s="81">
        <v>35</v>
      </c>
      <c r="F255" s="210">
        <f t="shared" si="7"/>
        <v>4254897</v>
      </c>
      <c r="G255" s="200">
        <f>'SUIVI 2026'!K255</f>
        <v>0</v>
      </c>
      <c r="H255" s="201">
        <f>'SUIVI 2026'!L255</f>
        <v>0</v>
      </c>
      <c r="I255" s="202">
        <v>0</v>
      </c>
      <c r="J255" s="203">
        <f t="shared" si="6"/>
        <v>4254897</v>
      </c>
      <c r="K255" s="197">
        <v>0</v>
      </c>
      <c r="L255" s="82"/>
    </row>
    <row r="256" spans="1:12" ht="15.95" customHeight="1" x14ac:dyDescent="0.25">
      <c r="A256" s="78">
        <v>253</v>
      </c>
      <c r="B256" s="79">
        <v>46377</v>
      </c>
      <c r="C256" s="80" t="s">
        <v>206</v>
      </c>
      <c r="D256" s="78">
        <v>12</v>
      </c>
      <c r="E256" s="81">
        <v>36</v>
      </c>
      <c r="F256" s="210">
        <f t="shared" si="7"/>
        <v>4254897</v>
      </c>
      <c r="G256" s="200">
        <f>'SUIVI 2026'!K256</f>
        <v>0</v>
      </c>
      <c r="H256" s="201">
        <f>'SUIVI 2026'!L256</f>
        <v>0</v>
      </c>
      <c r="I256" s="202">
        <v>0</v>
      </c>
      <c r="J256" s="203">
        <f t="shared" si="6"/>
        <v>4254897</v>
      </c>
      <c r="K256" s="197">
        <v>0</v>
      </c>
      <c r="L256" s="82"/>
    </row>
    <row r="257" spans="1:12" ht="15.95" customHeight="1" x14ac:dyDescent="0.25">
      <c r="A257" s="78">
        <v>254</v>
      </c>
      <c r="B257" s="79">
        <v>46378</v>
      </c>
      <c r="C257" s="80" t="s">
        <v>207</v>
      </c>
      <c r="D257" s="78">
        <v>12</v>
      </c>
      <c r="E257" s="81">
        <v>36</v>
      </c>
      <c r="F257" s="210">
        <f t="shared" si="7"/>
        <v>4254897</v>
      </c>
      <c r="G257" s="200">
        <f>'SUIVI 2026'!K257</f>
        <v>0</v>
      </c>
      <c r="H257" s="201">
        <f>'SUIVI 2026'!L257</f>
        <v>0</v>
      </c>
      <c r="I257" s="202">
        <v>0</v>
      </c>
      <c r="J257" s="203">
        <f t="shared" si="6"/>
        <v>4254897</v>
      </c>
      <c r="K257" s="197">
        <v>0</v>
      </c>
      <c r="L257" s="82"/>
    </row>
    <row r="258" spans="1:12" ht="15.95" customHeight="1" x14ac:dyDescent="0.25">
      <c r="A258" s="78">
        <v>255</v>
      </c>
      <c r="B258" s="79">
        <v>46379</v>
      </c>
      <c r="C258" s="80" t="s">
        <v>208</v>
      </c>
      <c r="D258" s="78">
        <v>12</v>
      </c>
      <c r="E258" s="81">
        <v>36</v>
      </c>
      <c r="F258" s="210">
        <f t="shared" si="7"/>
        <v>4254897</v>
      </c>
      <c r="G258" s="200">
        <f>'SUIVI 2026'!K258</f>
        <v>0</v>
      </c>
      <c r="H258" s="201">
        <f>'SUIVI 2026'!L258</f>
        <v>0</v>
      </c>
      <c r="I258" s="202">
        <v>0</v>
      </c>
      <c r="J258" s="203">
        <f t="shared" si="6"/>
        <v>4254897</v>
      </c>
      <c r="K258" s="197">
        <v>0</v>
      </c>
      <c r="L258" s="82"/>
    </row>
    <row r="259" spans="1:12" ht="15.95" customHeight="1" x14ac:dyDescent="0.25">
      <c r="A259" s="78">
        <v>256</v>
      </c>
      <c r="B259" s="79">
        <v>46380</v>
      </c>
      <c r="C259" s="80" t="s">
        <v>204</v>
      </c>
      <c r="D259" s="78">
        <v>12</v>
      </c>
      <c r="E259" s="81">
        <v>36</v>
      </c>
      <c r="F259" s="210">
        <f t="shared" si="7"/>
        <v>4254897</v>
      </c>
      <c r="G259" s="200">
        <f>'SUIVI 2026'!K259</f>
        <v>0</v>
      </c>
      <c r="H259" s="201">
        <f>'SUIVI 2026'!L259</f>
        <v>0</v>
      </c>
      <c r="I259" s="202">
        <v>0</v>
      </c>
      <c r="J259" s="203">
        <f t="shared" si="6"/>
        <v>4254897</v>
      </c>
      <c r="K259" s="197">
        <v>0</v>
      </c>
      <c r="L259" s="82"/>
    </row>
    <row r="260" spans="1:12" ht="15.95" customHeight="1" x14ac:dyDescent="0.25">
      <c r="A260" s="78">
        <v>257</v>
      </c>
      <c r="B260" s="79">
        <v>46381</v>
      </c>
      <c r="C260" s="80" t="s">
        <v>205</v>
      </c>
      <c r="D260" s="78">
        <v>12</v>
      </c>
      <c r="E260" s="81">
        <v>36</v>
      </c>
      <c r="F260" s="210">
        <f t="shared" si="7"/>
        <v>4254897</v>
      </c>
      <c r="G260" s="200">
        <f>'SUIVI 2026'!K260</f>
        <v>0</v>
      </c>
      <c r="H260" s="201">
        <f>'SUIVI 2026'!L260</f>
        <v>0</v>
      </c>
      <c r="I260" s="202">
        <v>0</v>
      </c>
      <c r="J260" s="203">
        <f t="shared" ref="J260:J264" si="8">F260+G260-H260-I260</f>
        <v>4254897</v>
      </c>
      <c r="K260" s="197">
        <v>0</v>
      </c>
      <c r="L260" s="82"/>
    </row>
    <row r="261" spans="1:12" ht="15.95" customHeight="1" x14ac:dyDescent="0.25">
      <c r="A261" s="78">
        <v>258</v>
      </c>
      <c r="B261" s="79">
        <v>46384</v>
      </c>
      <c r="C261" s="80" t="s">
        <v>206</v>
      </c>
      <c r="D261" s="78">
        <v>12</v>
      </c>
      <c r="E261" s="81">
        <v>36</v>
      </c>
      <c r="F261" s="210">
        <f t="shared" si="7"/>
        <v>4254897</v>
      </c>
      <c r="G261" s="200">
        <f>'SUIVI 2026'!K261</f>
        <v>0</v>
      </c>
      <c r="H261" s="201">
        <f>'SUIVI 2026'!L261</f>
        <v>0</v>
      </c>
      <c r="I261" s="202">
        <v>0</v>
      </c>
      <c r="J261" s="203">
        <f t="shared" si="8"/>
        <v>4254897</v>
      </c>
      <c r="K261" s="197">
        <v>0</v>
      </c>
      <c r="L261" s="82"/>
    </row>
    <row r="262" spans="1:12" ht="15.95" customHeight="1" x14ac:dyDescent="0.25">
      <c r="A262" s="78">
        <v>259</v>
      </c>
      <c r="B262" s="79">
        <v>46385</v>
      </c>
      <c r="C262" s="80" t="s">
        <v>207</v>
      </c>
      <c r="D262" s="78">
        <v>12</v>
      </c>
      <c r="E262" s="81">
        <v>36</v>
      </c>
      <c r="F262" s="210">
        <f t="shared" si="7"/>
        <v>4254897</v>
      </c>
      <c r="G262" s="200">
        <f>'SUIVI 2026'!K262</f>
        <v>0</v>
      </c>
      <c r="H262" s="201">
        <f>'SUIVI 2026'!L262</f>
        <v>0</v>
      </c>
      <c r="I262" s="202">
        <v>0</v>
      </c>
      <c r="J262" s="203">
        <f t="shared" si="8"/>
        <v>4254897</v>
      </c>
      <c r="K262" s="197">
        <v>0</v>
      </c>
      <c r="L262" s="82"/>
    </row>
    <row r="263" spans="1:12" ht="15.95" customHeight="1" x14ac:dyDescent="0.25">
      <c r="A263" s="78">
        <v>260</v>
      </c>
      <c r="B263" s="79">
        <v>46386</v>
      </c>
      <c r="C263" s="80" t="s">
        <v>208</v>
      </c>
      <c r="D263" s="78">
        <v>12</v>
      </c>
      <c r="E263" s="81">
        <v>36</v>
      </c>
      <c r="F263" s="210">
        <f t="shared" si="7"/>
        <v>4254897</v>
      </c>
      <c r="G263" s="200">
        <f>'SUIVI 2026'!K263</f>
        <v>0</v>
      </c>
      <c r="H263" s="201">
        <f>'SUIVI 2026'!L263</f>
        <v>0</v>
      </c>
      <c r="I263" s="202">
        <v>0</v>
      </c>
      <c r="J263" s="203">
        <f t="shared" si="8"/>
        <v>4254897</v>
      </c>
      <c r="K263" s="197">
        <v>0</v>
      </c>
      <c r="L263" s="82"/>
    </row>
    <row r="264" spans="1:12" ht="15.95" customHeight="1" x14ac:dyDescent="0.25">
      <c r="A264" s="78">
        <v>261</v>
      </c>
      <c r="B264" s="79">
        <v>46387</v>
      </c>
      <c r="C264" s="80" t="s">
        <v>204</v>
      </c>
      <c r="D264" s="78">
        <v>12</v>
      </c>
      <c r="E264" s="81">
        <v>36</v>
      </c>
      <c r="F264" s="210">
        <f t="shared" si="7"/>
        <v>4254897</v>
      </c>
      <c r="G264" s="200">
        <f>'SUIVI 2026'!K264</f>
        <v>0</v>
      </c>
      <c r="H264" s="201">
        <f>'SUIVI 2026'!L264</f>
        <v>0</v>
      </c>
      <c r="I264" s="202">
        <v>0</v>
      </c>
      <c r="J264" s="203">
        <f t="shared" si="8"/>
        <v>4254897</v>
      </c>
      <c r="K264" s="197">
        <v>0</v>
      </c>
      <c r="L264" s="82"/>
    </row>
    <row r="265" spans="1:12" ht="18" customHeight="1" x14ac:dyDescent="0.25">
      <c r="A265" s="253" t="s">
        <v>209</v>
      </c>
      <c r="B265" s="237"/>
      <c r="C265" s="237"/>
      <c r="D265" s="237"/>
      <c r="E265" s="237"/>
      <c r="G265" s="211">
        <f>SUM(G4:G264)</f>
        <v>0</v>
      </c>
      <c r="H265" s="211">
        <f>SUM(H4:H264)</f>
        <v>0</v>
      </c>
      <c r="I265" s="211">
        <f>SUM(I4:I264)</f>
        <v>0</v>
      </c>
      <c r="J265" s="211">
        <f>J264</f>
        <v>4254897</v>
      </c>
      <c r="K265" s="211">
        <f>SUM(K4:K264)</f>
        <v>0</v>
      </c>
    </row>
  </sheetData>
  <sheetProtection password="8BDA" sheet="1" formatCells="0" formatColumns="0" formatRows="0"/>
  <mergeCells count="3">
    <mergeCell ref="A2:K2"/>
    <mergeCell ref="A1:K1"/>
    <mergeCell ref="A265:E26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9A227"/>
  </sheetPr>
  <dimension ref="B1:J53"/>
  <sheetViews>
    <sheetView showGridLines="0" workbookViewId="0">
      <pane xSplit="1" ySplit="3" topLeftCell="B4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2" customWidth="1"/>
    <col min="2" max="2" width="6" customWidth="1"/>
    <col min="3" max="3" width="12" customWidth="1"/>
    <col min="4" max="4" width="8" customWidth="1"/>
    <col min="5" max="5" width="20" customWidth="1"/>
    <col min="6" max="7" width="14" customWidth="1"/>
    <col min="8" max="8" width="24" customWidth="1"/>
    <col min="9" max="9" width="20" customWidth="1"/>
    <col min="10" max="10" width="12" customWidth="1"/>
    <col min="11" max="11" width="2" customWidth="1"/>
  </cols>
  <sheetData>
    <row r="1" spans="2:10" ht="27.95" customHeight="1" x14ac:dyDescent="0.25">
      <c r="B1" s="339" t="s">
        <v>253</v>
      </c>
      <c r="C1" s="237"/>
      <c r="D1" s="237"/>
      <c r="E1" s="237"/>
      <c r="F1" s="237"/>
      <c r="G1" s="237"/>
      <c r="H1" s="237"/>
      <c r="I1" s="237"/>
      <c r="J1" s="237"/>
    </row>
    <row r="2" spans="2:10" ht="18" customHeight="1" x14ac:dyDescent="0.25">
      <c r="B2" s="340" t="s">
        <v>254</v>
      </c>
      <c r="C2" s="237"/>
      <c r="D2" s="237"/>
      <c r="E2" s="237"/>
      <c r="F2" s="237"/>
      <c r="G2" s="237"/>
      <c r="H2" s="237"/>
      <c r="I2" s="237"/>
      <c r="J2" s="237"/>
    </row>
    <row r="3" spans="2:10" ht="30" customHeight="1" x14ac:dyDescent="0.25">
      <c r="B3" s="84" t="s">
        <v>186</v>
      </c>
      <c r="C3" s="84" t="s">
        <v>255</v>
      </c>
      <c r="D3" s="84" t="s">
        <v>256</v>
      </c>
      <c r="E3" s="84" t="s">
        <v>257</v>
      </c>
      <c r="F3" s="84" t="s">
        <v>258</v>
      </c>
      <c r="G3" s="84" t="s">
        <v>259</v>
      </c>
      <c r="H3" s="84" t="s">
        <v>260</v>
      </c>
      <c r="I3" s="84" t="s">
        <v>261</v>
      </c>
      <c r="J3" s="84" t="s">
        <v>262</v>
      </c>
    </row>
    <row r="4" spans="2:10" ht="18" customHeight="1" x14ac:dyDescent="0.25">
      <c r="B4" s="85">
        <v>1</v>
      </c>
      <c r="C4" s="86"/>
      <c r="D4" s="85"/>
      <c r="E4" s="87"/>
      <c r="F4" s="198"/>
      <c r="G4" s="198"/>
      <c r="H4" s="88"/>
      <c r="I4" s="88"/>
      <c r="J4" s="86"/>
    </row>
    <row r="5" spans="2:10" ht="18" customHeight="1" x14ac:dyDescent="0.25">
      <c r="B5" s="89">
        <v>2</v>
      </c>
      <c r="C5" s="90"/>
      <c r="D5" s="89"/>
      <c r="E5" s="91"/>
      <c r="F5" s="193"/>
      <c r="G5" s="193"/>
      <c r="H5" s="92"/>
      <c r="I5" s="92"/>
      <c r="J5" s="90"/>
    </row>
    <row r="6" spans="2:10" ht="18" customHeight="1" x14ac:dyDescent="0.25">
      <c r="B6" s="85">
        <v>3</v>
      </c>
      <c r="C6" s="86"/>
      <c r="D6" s="85"/>
      <c r="E6" s="87"/>
      <c r="F6" s="198"/>
      <c r="G6" s="198"/>
      <c r="H6" s="88"/>
      <c r="I6" s="88"/>
      <c r="J6" s="86"/>
    </row>
    <row r="7" spans="2:10" ht="18" customHeight="1" x14ac:dyDescent="0.25">
      <c r="B7" s="89">
        <v>4</v>
      </c>
      <c r="C7" s="90"/>
      <c r="D7" s="89"/>
      <c r="E7" s="91"/>
      <c r="F7" s="193"/>
      <c r="G7" s="193"/>
      <c r="H7" s="92"/>
      <c r="I7" s="92"/>
      <c r="J7" s="90"/>
    </row>
    <row r="8" spans="2:10" ht="18" customHeight="1" x14ac:dyDescent="0.25">
      <c r="B8" s="85">
        <v>5</v>
      </c>
      <c r="C8" s="86"/>
      <c r="D8" s="85"/>
      <c r="E8" s="87"/>
      <c r="F8" s="198"/>
      <c r="G8" s="198"/>
      <c r="H8" s="88"/>
      <c r="I8" s="88"/>
      <c r="J8" s="86"/>
    </row>
    <row r="9" spans="2:10" ht="18" customHeight="1" x14ac:dyDescent="0.25">
      <c r="B9" s="89">
        <v>6</v>
      </c>
      <c r="C9" s="90"/>
      <c r="D9" s="89"/>
      <c r="E9" s="91"/>
      <c r="F9" s="193"/>
      <c r="G9" s="193"/>
      <c r="H9" s="92"/>
      <c r="I9" s="92"/>
      <c r="J9" s="90"/>
    </row>
    <row r="10" spans="2:10" ht="18" customHeight="1" x14ac:dyDescent="0.25">
      <c r="B10" s="85">
        <v>7</v>
      </c>
      <c r="C10" s="86"/>
      <c r="D10" s="85"/>
      <c r="E10" s="87"/>
      <c r="F10" s="198"/>
      <c r="G10" s="198"/>
      <c r="H10" s="88"/>
      <c r="I10" s="88"/>
      <c r="J10" s="86"/>
    </row>
    <row r="11" spans="2:10" ht="18" customHeight="1" x14ac:dyDescent="0.25">
      <c r="B11" s="89">
        <v>8</v>
      </c>
      <c r="C11" s="90"/>
      <c r="D11" s="89"/>
      <c r="E11" s="91"/>
      <c r="F11" s="193"/>
      <c r="G11" s="193"/>
      <c r="H11" s="92"/>
      <c r="I11" s="92"/>
      <c r="J11" s="90"/>
    </row>
    <row r="12" spans="2:10" ht="18" customHeight="1" x14ac:dyDescent="0.25">
      <c r="B12" s="85">
        <v>9</v>
      </c>
      <c r="C12" s="86"/>
      <c r="D12" s="85"/>
      <c r="E12" s="87"/>
      <c r="F12" s="198"/>
      <c r="G12" s="198"/>
      <c r="H12" s="88"/>
      <c r="I12" s="88"/>
      <c r="J12" s="86"/>
    </row>
    <row r="13" spans="2:10" ht="18" customHeight="1" x14ac:dyDescent="0.25">
      <c r="B13" s="89">
        <v>10</v>
      </c>
      <c r="C13" s="90"/>
      <c r="D13" s="89"/>
      <c r="E13" s="91"/>
      <c r="F13" s="193"/>
      <c r="G13" s="193"/>
      <c r="H13" s="92"/>
      <c r="I13" s="92"/>
      <c r="J13" s="90"/>
    </row>
    <row r="14" spans="2:10" ht="18" customHeight="1" x14ac:dyDescent="0.25">
      <c r="B14" s="85">
        <v>11</v>
      </c>
      <c r="C14" s="86"/>
      <c r="D14" s="85"/>
      <c r="E14" s="87"/>
      <c r="F14" s="198"/>
      <c r="G14" s="198"/>
      <c r="H14" s="88"/>
      <c r="I14" s="88"/>
      <c r="J14" s="86"/>
    </row>
    <row r="15" spans="2:10" ht="18" customHeight="1" x14ac:dyDescent="0.25">
      <c r="B15" s="89">
        <v>12</v>
      </c>
      <c r="C15" s="90"/>
      <c r="D15" s="89"/>
      <c r="E15" s="91"/>
      <c r="F15" s="193"/>
      <c r="G15" s="193"/>
      <c r="H15" s="92"/>
      <c r="I15" s="92"/>
      <c r="J15" s="90"/>
    </row>
    <row r="16" spans="2:10" ht="18" customHeight="1" x14ac:dyDescent="0.25">
      <c r="B16" s="85">
        <v>13</v>
      </c>
      <c r="C16" s="86"/>
      <c r="D16" s="85"/>
      <c r="E16" s="87"/>
      <c r="F16" s="198"/>
      <c r="G16" s="198"/>
      <c r="H16" s="88"/>
      <c r="I16" s="88"/>
      <c r="J16" s="86"/>
    </row>
    <row r="17" spans="2:10" ht="18" customHeight="1" x14ac:dyDescent="0.25">
      <c r="B17" s="89">
        <v>14</v>
      </c>
      <c r="C17" s="90"/>
      <c r="D17" s="89"/>
      <c r="E17" s="91"/>
      <c r="F17" s="193"/>
      <c r="G17" s="193"/>
      <c r="H17" s="92"/>
      <c r="I17" s="92"/>
      <c r="J17" s="90"/>
    </row>
    <row r="18" spans="2:10" ht="18" customHeight="1" x14ac:dyDescent="0.25">
      <c r="B18" s="85">
        <v>15</v>
      </c>
      <c r="C18" s="86"/>
      <c r="D18" s="85"/>
      <c r="E18" s="87"/>
      <c r="F18" s="198"/>
      <c r="G18" s="198"/>
      <c r="H18" s="88"/>
      <c r="I18" s="88"/>
      <c r="J18" s="86"/>
    </row>
    <row r="19" spans="2:10" ht="18" customHeight="1" x14ac:dyDescent="0.25">
      <c r="B19" s="89">
        <v>16</v>
      </c>
      <c r="C19" s="90"/>
      <c r="D19" s="89"/>
      <c r="E19" s="91"/>
      <c r="F19" s="193"/>
      <c r="G19" s="193"/>
      <c r="H19" s="92"/>
      <c r="I19" s="92"/>
      <c r="J19" s="90"/>
    </row>
    <row r="20" spans="2:10" ht="18" customHeight="1" x14ac:dyDescent="0.25">
      <c r="B20" s="85">
        <v>17</v>
      </c>
      <c r="C20" s="86"/>
      <c r="D20" s="85"/>
      <c r="E20" s="87"/>
      <c r="F20" s="198"/>
      <c r="G20" s="198"/>
      <c r="H20" s="88"/>
      <c r="I20" s="88"/>
      <c r="J20" s="86"/>
    </row>
    <row r="21" spans="2:10" ht="18" customHeight="1" x14ac:dyDescent="0.25">
      <c r="B21" s="89">
        <v>18</v>
      </c>
      <c r="C21" s="90"/>
      <c r="D21" s="89"/>
      <c r="E21" s="91"/>
      <c r="F21" s="193"/>
      <c r="G21" s="193"/>
      <c r="H21" s="92"/>
      <c r="I21" s="92"/>
      <c r="J21" s="90"/>
    </row>
    <row r="22" spans="2:10" ht="18" customHeight="1" x14ac:dyDescent="0.25">
      <c r="B22" s="85">
        <v>19</v>
      </c>
      <c r="C22" s="86"/>
      <c r="D22" s="85"/>
      <c r="E22" s="87"/>
      <c r="F22" s="198"/>
      <c r="G22" s="198"/>
      <c r="H22" s="88"/>
      <c r="I22" s="88"/>
      <c r="J22" s="86"/>
    </row>
    <row r="23" spans="2:10" ht="18" customHeight="1" x14ac:dyDescent="0.25">
      <c r="B23" s="89">
        <v>20</v>
      </c>
      <c r="C23" s="90"/>
      <c r="D23" s="89"/>
      <c r="E23" s="91"/>
      <c r="F23" s="193"/>
      <c r="G23" s="193"/>
      <c r="H23" s="92"/>
      <c r="I23" s="92"/>
      <c r="J23" s="90"/>
    </row>
    <row r="24" spans="2:10" ht="18" customHeight="1" x14ac:dyDescent="0.25">
      <c r="B24" s="85">
        <v>21</v>
      </c>
      <c r="C24" s="86"/>
      <c r="D24" s="85"/>
      <c r="E24" s="87"/>
      <c r="F24" s="198"/>
      <c r="G24" s="198"/>
      <c r="H24" s="88"/>
      <c r="I24" s="88"/>
      <c r="J24" s="86"/>
    </row>
    <row r="25" spans="2:10" ht="18" customHeight="1" x14ac:dyDescent="0.25">
      <c r="B25" s="89">
        <v>22</v>
      </c>
      <c r="C25" s="90"/>
      <c r="D25" s="89"/>
      <c r="E25" s="91"/>
      <c r="F25" s="193"/>
      <c r="G25" s="193"/>
      <c r="H25" s="92"/>
      <c r="I25" s="92"/>
      <c r="J25" s="90"/>
    </row>
    <row r="26" spans="2:10" ht="18" customHeight="1" x14ac:dyDescent="0.25">
      <c r="B26" s="85">
        <v>23</v>
      </c>
      <c r="C26" s="86"/>
      <c r="D26" s="85"/>
      <c r="E26" s="87"/>
      <c r="F26" s="198"/>
      <c r="G26" s="198"/>
      <c r="H26" s="88"/>
      <c r="I26" s="88"/>
      <c r="J26" s="86"/>
    </row>
    <row r="27" spans="2:10" ht="18" customHeight="1" x14ac:dyDescent="0.25">
      <c r="B27" s="89">
        <v>24</v>
      </c>
      <c r="C27" s="90"/>
      <c r="D27" s="89"/>
      <c r="E27" s="91"/>
      <c r="F27" s="193"/>
      <c r="G27" s="193"/>
      <c r="H27" s="92"/>
      <c r="I27" s="92"/>
      <c r="J27" s="90"/>
    </row>
    <row r="28" spans="2:10" ht="18" customHeight="1" x14ac:dyDescent="0.25">
      <c r="B28" s="85">
        <v>25</v>
      </c>
      <c r="C28" s="86"/>
      <c r="D28" s="85"/>
      <c r="E28" s="87"/>
      <c r="F28" s="198"/>
      <c r="G28" s="198"/>
      <c r="H28" s="88"/>
      <c r="I28" s="88"/>
      <c r="J28" s="86"/>
    </row>
    <row r="29" spans="2:10" ht="18" customHeight="1" x14ac:dyDescent="0.25">
      <c r="B29" s="89">
        <v>26</v>
      </c>
      <c r="C29" s="90"/>
      <c r="D29" s="89"/>
      <c r="E29" s="91"/>
      <c r="F29" s="193"/>
      <c r="G29" s="193"/>
      <c r="H29" s="92"/>
      <c r="I29" s="92"/>
      <c r="J29" s="90"/>
    </row>
    <row r="30" spans="2:10" ht="18" customHeight="1" x14ac:dyDescent="0.25">
      <c r="B30" s="85">
        <v>27</v>
      </c>
      <c r="C30" s="86"/>
      <c r="D30" s="85"/>
      <c r="E30" s="87"/>
      <c r="F30" s="198"/>
      <c r="G30" s="198"/>
      <c r="H30" s="88"/>
      <c r="I30" s="88"/>
      <c r="J30" s="86"/>
    </row>
    <row r="31" spans="2:10" ht="18" customHeight="1" x14ac:dyDescent="0.25">
      <c r="B31" s="89">
        <v>28</v>
      </c>
      <c r="C31" s="90"/>
      <c r="D31" s="89"/>
      <c r="E31" s="91"/>
      <c r="F31" s="193"/>
      <c r="G31" s="193"/>
      <c r="H31" s="92"/>
      <c r="I31" s="92"/>
      <c r="J31" s="90"/>
    </row>
    <row r="32" spans="2:10" ht="18" customHeight="1" x14ac:dyDescent="0.25">
      <c r="B32" s="85">
        <v>29</v>
      </c>
      <c r="C32" s="86"/>
      <c r="D32" s="85"/>
      <c r="E32" s="87"/>
      <c r="F32" s="198"/>
      <c r="G32" s="198"/>
      <c r="H32" s="88"/>
      <c r="I32" s="88"/>
      <c r="J32" s="86"/>
    </row>
    <row r="33" spans="2:10" ht="18" customHeight="1" x14ac:dyDescent="0.25">
      <c r="B33" s="89">
        <v>30</v>
      </c>
      <c r="C33" s="90"/>
      <c r="D33" s="89"/>
      <c r="E33" s="91"/>
      <c r="F33" s="193"/>
      <c r="G33" s="193"/>
      <c r="H33" s="92"/>
      <c r="I33" s="92"/>
      <c r="J33" s="90"/>
    </row>
    <row r="34" spans="2:10" ht="18" customHeight="1" x14ac:dyDescent="0.25">
      <c r="B34" s="85">
        <v>31</v>
      </c>
      <c r="C34" s="86"/>
      <c r="D34" s="85"/>
      <c r="E34" s="87"/>
      <c r="F34" s="198"/>
      <c r="G34" s="198"/>
      <c r="H34" s="88"/>
      <c r="I34" s="88"/>
      <c r="J34" s="86"/>
    </row>
    <row r="35" spans="2:10" ht="18" customHeight="1" x14ac:dyDescent="0.25">
      <c r="B35" s="89">
        <v>32</v>
      </c>
      <c r="C35" s="90"/>
      <c r="D35" s="89"/>
      <c r="E35" s="91"/>
      <c r="F35" s="193"/>
      <c r="G35" s="193"/>
      <c r="H35" s="92"/>
      <c r="I35" s="92"/>
      <c r="J35" s="90"/>
    </row>
    <row r="36" spans="2:10" ht="18" customHeight="1" x14ac:dyDescent="0.25">
      <c r="B36" s="85">
        <v>33</v>
      </c>
      <c r="C36" s="86"/>
      <c r="D36" s="85"/>
      <c r="E36" s="87"/>
      <c r="F36" s="198"/>
      <c r="G36" s="198"/>
      <c r="H36" s="88"/>
      <c r="I36" s="88"/>
      <c r="J36" s="86"/>
    </row>
    <row r="37" spans="2:10" ht="18" customHeight="1" x14ac:dyDescent="0.25">
      <c r="B37" s="89">
        <v>34</v>
      </c>
      <c r="C37" s="90"/>
      <c r="D37" s="89"/>
      <c r="E37" s="91"/>
      <c r="F37" s="193"/>
      <c r="G37" s="193"/>
      <c r="H37" s="92"/>
      <c r="I37" s="92"/>
      <c r="J37" s="90"/>
    </row>
    <row r="38" spans="2:10" ht="18" customHeight="1" x14ac:dyDescent="0.25">
      <c r="B38" s="85">
        <v>35</v>
      </c>
      <c r="C38" s="86"/>
      <c r="D38" s="85"/>
      <c r="E38" s="87"/>
      <c r="F38" s="198"/>
      <c r="G38" s="198"/>
      <c r="H38" s="88"/>
      <c r="I38" s="88"/>
      <c r="J38" s="86"/>
    </row>
    <row r="39" spans="2:10" ht="18" customHeight="1" x14ac:dyDescent="0.25">
      <c r="B39" s="89">
        <v>36</v>
      </c>
      <c r="C39" s="90"/>
      <c r="D39" s="89"/>
      <c r="E39" s="91"/>
      <c r="F39" s="193"/>
      <c r="G39" s="193"/>
      <c r="H39" s="92"/>
      <c r="I39" s="92"/>
      <c r="J39" s="90"/>
    </row>
    <row r="40" spans="2:10" ht="18" customHeight="1" x14ac:dyDescent="0.25">
      <c r="B40" s="85">
        <v>37</v>
      </c>
      <c r="C40" s="86"/>
      <c r="D40" s="85"/>
      <c r="E40" s="87"/>
      <c r="F40" s="198"/>
      <c r="G40" s="198"/>
      <c r="H40" s="88"/>
      <c r="I40" s="88"/>
      <c r="J40" s="86"/>
    </row>
    <row r="41" spans="2:10" ht="18" customHeight="1" x14ac:dyDescent="0.25">
      <c r="B41" s="89">
        <v>38</v>
      </c>
      <c r="C41" s="90"/>
      <c r="D41" s="89"/>
      <c r="E41" s="91"/>
      <c r="F41" s="193"/>
      <c r="G41" s="193"/>
      <c r="H41" s="92"/>
      <c r="I41" s="92"/>
      <c r="J41" s="90"/>
    </row>
    <row r="42" spans="2:10" ht="18" customHeight="1" x14ac:dyDescent="0.25">
      <c r="B42" s="85">
        <v>39</v>
      </c>
      <c r="C42" s="86"/>
      <c r="D42" s="85"/>
      <c r="E42" s="87"/>
      <c r="F42" s="198"/>
      <c r="G42" s="198"/>
      <c r="H42" s="88"/>
      <c r="I42" s="88"/>
      <c r="J42" s="86"/>
    </row>
    <row r="43" spans="2:10" ht="18" customHeight="1" x14ac:dyDescent="0.25">
      <c r="B43" s="89">
        <v>40</v>
      </c>
      <c r="C43" s="90"/>
      <c r="D43" s="89"/>
      <c r="E43" s="91"/>
      <c r="F43" s="193"/>
      <c r="G43" s="193"/>
      <c r="H43" s="92"/>
      <c r="I43" s="92"/>
      <c r="J43" s="90"/>
    </row>
    <row r="44" spans="2:10" ht="18" customHeight="1" x14ac:dyDescent="0.25">
      <c r="B44" s="85">
        <v>41</v>
      </c>
      <c r="C44" s="86"/>
      <c r="D44" s="85"/>
      <c r="E44" s="87"/>
      <c r="F44" s="198"/>
      <c r="G44" s="198"/>
      <c r="H44" s="88"/>
      <c r="I44" s="88"/>
      <c r="J44" s="86"/>
    </row>
    <row r="45" spans="2:10" ht="18" customHeight="1" x14ac:dyDescent="0.25">
      <c r="B45" s="89">
        <v>42</v>
      </c>
      <c r="C45" s="90"/>
      <c r="D45" s="89"/>
      <c r="E45" s="91"/>
      <c r="F45" s="193"/>
      <c r="G45" s="193"/>
      <c r="H45" s="92"/>
      <c r="I45" s="92"/>
      <c r="J45" s="90"/>
    </row>
    <row r="46" spans="2:10" ht="18" customHeight="1" x14ac:dyDescent="0.25">
      <c r="B46" s="85">
        <v>43</v>
      </c>
      <c r="C46" s="86"/>
      <c r="D46" s="85"/>
      <c r="E46" s="87"/>
      <c r="F46" s="198"/>
      <c r="G46" s="198"/>
      <c r="H46" s="88"/>
      <c r="I46" s="88"/>
      <c r="J46" s="86"/>
    </row>
    <row r="47" spans="2:10" ht="18" customHeight="1" x14ac:dyDescent="0.25">
      <c r="B47" s="89">
        <v>44</v>
      </c>
      <c r="C47" s="90"/>
      <c r="D47" s="89"/>
      <c r="E47" s="91"/>
      <c r="F47" s="193"/>
      <c r="G47" s="193"/>
      <c r="H47" s="92"/>
      <c r="I47" s="92"/>
      <c r="J47" s="90"/>
    </row>
    <row r="48" spans="2:10" ht="18" customHeight="1" x14ac:dyDescent="0.25">
      <c r="B48" s="85">
        <v>45</v>
      </c>
      <c r="C48" s="86"/>
      <c r="D48" s="85"/>
      <c r="E48" s="87"/>
      <c r="F48" s="198"/>
      <c r="G48" s="198"/>
      <c r="H48" s="88"/>
      <c r="I48" s="88"/>
      <c r="J48" s="86"/>
    </row>
    <row r="49" spans="2:10" ht="18" customHeight="1" x14ac:dyDescent="0.25">
      <c r="B49" s="89">
        <v>46</v>
      </c>
      <c r="C49" s="90"/>
      <c r="D49" s="89"/>
      <c r="E49" s="91"/>
      <c r="F49" s="193"/>
      <c r="G49" s="193"/>
      <c r="H49" s="92"/>
      <c r="I49" s="92"/>
      <c r="J49" s="90"/>
    </row>
    <row r="50" spans="2:10" ht="18" customHeight="1" x14ac:dyDescent="0.25">
      <c r="B50" s="85">
        <v>47</v>
      </c>
      <c r="C50" s="86"/>
      <c r="D50" s="85"/>
      <c r="E50" s="87"/>
      <c r="F50" s="198"/>
      <c r="G50" s="198"/>
      <c r="H50" s="88"/>
      <c r="I50" s="88"/>
      <c r="J50" s="86"/>
    </row>
    <row r="51" spans="2:10" ht="18" customHeight="1" x14ac:dyDescent="0.25">
      <c r="B51" s="89">
        <v>48</v>
      </c>
      <c r="C51" s="90"/>
      <c r="D51" s="89"/>
      <c r="E51" s="91"/>
      <c r="F51" s="193"/>
      <c r="G51" s="193"/>
      <c r="H51" s="92"/>
      <c r="I51" s="92"/>
      <c r="J51" s="90"/>
    </row>
    <row r="52" spans="2:10" ht="18" customHeight="1" x14ac:dyDescent="0.25">
      <c r="B52" s="85">
        <v>49</v>
      </c>
      <c r="C52" s="86"/>
      <c r="D52" s="85"/>
      <c r="E52" s="87"/>
      <c r="F52" s="198"/>
      <c r="G52" s="198"/>
      <c r="H52" s="88"/>
      <c r="I52" s="88"/>
      <c r="J52" s="86"/>
    </row>
    <row r="53" spans="2:10" ht="18" customHeight="1" x14ac:dyDescent="0.25">
      <c r="B53" s="89">
        <v>50</v>
      </c>
      <c r="C53" s="90"/>
      <c r="D53" s="89"/>
      <c r="E53" s="91"/>
      <c r="F53" s="193"/>
      <c r="G53" s="193"/>
      <c r="H53" s="92"/>
      <c r="I53" s="92"/>
      <c r="J53" s="90"/>
    </row>
  </sheetData>
  <sheetProtection password="8BDA" sheet="1" formatCells="0" formatColumns="0" formatRows="0" insertRows="0"/>
  <mergeCells count="2">
    <mergeCell ref="B1:J1"/>
    <mergeCell ref="B2:J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2E75B6"/>
  </sheetPr>
  <dimension ref="B1:L204"/>
  <sheetViews>
    <sheetView showGridLines="0" workbookViewId="0">
      <pane xSplit="4" ySplit="4" topLeftCell="E5" activePane="bottomRight" state="frozen"/>
      <selection pane="topRight"/>
      <selection pane="bottomLeft"/>
      <selection pane="bottomRight" activeCell="F16" sqref="F16"/>
    </sheetView>
  </sheetViews>
  <sheetFormatPr baseColWidth="10" defaultColWidth="9.140625" defaultRowHeight="15" x14ac:dyDescent="0.25"/>
  <cols>
    <col min="1" max="1" width="2" customWidth="1"/>
    <col min="2" max="2" width="5" customWidth="1"/>
    <col min="3" max="3" width="12" customWidth="1"/>
    <col min="4" max="4" width="8" customWidth="1"/>
    <col min="5" max="5" width="28" customWidth="1"/>
    <col min="6" max="9" width="14" customWidth="1"/>
    <col min="10" max="11" width="16" customWidth="1"/>
    <col min="12" max="12" width="12" customWidth="1"/>
    <col min="13" max="13" width="2" customWidth="1"/>
  </cols>
  <sheetData>
    <row r="1" spans="2:12" ht="27.95" customHeight="1" x14ac:dyDescent="0.25">
      <c r="B1" s="318" t="s">
        <v>263</v>
      </c>
      <c r="C1" s="237"/>
      <c r="D1" s="237"/>
      <c r="E1" s="237"/>
      <c r="F1" s="237"/>
      <c r="G1" s="237"/>
      <c r="H1" s="237"/>
      <c r="I1" s="237"/>
      <c r="J1" s="237"/>
      <c r="K1" s="237"/>
      <c r="L1" s="237"/>
    </row>
    <row r="2" spans="2:12" ht="18" customHeight="1" x14ac:dyDescent="0.25">
      <c r="B2" s="341" t="s">
        <v>264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</row>
    <row r="3" spans="2:12" ht="36" customHeight="1" x14ac:dyDescent="0.25">
      <c r="B3" s="5" t="s">
        <v>265</v>
      </c>
      <c r="C3" s="5" t="s">
        <v>187</v>
      </c>
      <c r="D3" s="5" t="s">
        <v>189</v>
      </c>
      <c r="E3" s="5" t="s">
        <v>266</v>
      </c>
      <c r="F3" s="5" t="s">
        <v>191</v>
      </c>
      <c r="G3" s="5" t="s">
        <v>192</v>
      </c>
      <c r="H3" s="5" t="s">
        <v>149</v>
      </c>
      <c r="I3" s="5" t="s">
        <v>267</v>
      </c>
      <c r="J3" s="5" t="s">
        <v>268</v>
      </c>
      <c r="K3" s="5" t="s">
        <v>269</v>
      </c>
      <c r="L3" s="5" t="s">
        <v>270</v>
      </c>
    </row>
    <row r="4" spans="2:12" ht="18" customHeight="1" x14ac:dyDescent="0.25">
      <c r="B4" s="93" t="s">
        <v>271</v>
      </c>
      <c r="C4" s="94">
        <v>46167</v>
      </c>
      <c r="D4" s="93"/>
      <c r="E4" s="342" t="s">
        <v>272</v>
      </c>
      <c r="F4" s="237"/>
      <c r="G4" s="237"/>
      <c r="H4" s="237"/>
      <c r="I4" s="237"/>
      <c r="J4" s="237"/>
      <c r="K4" s="48">
        <f>PARAMETRES!C11</f>
        <v>56377361</v>
      </c>
      <c r="L4" s="93"/>
    </row>
    <row r="5" spans="2:12" ht="15.95" customHeight="1" x14ac:dyDescent="0.25">
      <c r="B5" s="95">
        <v>1</v>
      </c>
      <c r="C5" s="86">
        <v>46168</v>
      </c>
      <c r="D5" s="96" t="s">
        <v>273</v>
      </c>
      <c r="E5" s="97" t="s">
        <v>274</v>
      </c>
      <c r="F5" s="198">
        <v>1229450</v>
      </c>
      <c r="G5" s="198"/>
      <c r="H5" s="198">
        <v>0</v>
      </c>
      <c r="I5" s="198"/>
      <c r="J5" s="198"/>
      <c r="K5" s="48">
        <f t="shared" ref="K5:K36" si="0">K4+IF(F5="",0,F5)+IF(G5="",0,G5)-IF(H5="",0,H5)-IF(I5="",0,I5)+IF(J5="",0,J5)</f>
        <v>57606811</v>
      </c>
      <c r="L5" s="96"/>
    </row>
    <row r="6" spans="2:12" ht="15.95" customHeight="1" x14ac:dyDescent="0.25">
      <c r="B6" s="98">
        <v>2</v>
      </c>
      <c r="C6" s="99">
        <v>46168</v>
      </c>
      <c r="D6" s="100" t="s">
        <v>273</v>
      </c>
      <c r="E6" s="101" t="s">
        <v>275</v>
      </c>
      <c r="F6" s="197"/>
      <c r="G6" s="197"/>
      <c r="H6" s="197">
        <v>463250</v>
      </c>
      <c r="I6" s="197"/>
      <c r="J6" s="197"/>
      <c r="K6" s="50">
        <f t="shared" si="0"/>
        <v>57143561</v>
      </c>
      <c r="L6" s="100"/>
    </row>
    <row r="7" spans="2:12" ht="15.95" customHeight="1" x14ac:dyDescent="0.25">
      <c r="B7" s="95">
        <v>3</v>
      </c>
      <c r="C7" s="86">
        <v>46168</v>
      </c>
      <c r="D7" s="96" t="s">
        <v>273</v>
      </c>
      <c r="E7" s="97" t="s">
        <v>276</v>
      </c>
      <c r="F7" s="198"/>
      <c r="G7" s="198"/>
      <c r="H7" s="198">
        <v>161576</v>
      </c>
      <c r="I7" s="198"/>
      <c r="J7" s="198"/>
      <c r="K7" s="48">
        <f t="shared" si="0"/>
        <v>56981985</v>
      </c>
      <c r="L7" s="96"/>
    </row>
    <row r="8" spans="2:12" ht="15.95" customHeight="1" x14ac:dyDescent="0.25">
      <c r="B8" s="98">
        <v>4</v>
      </c>
      <c r="C8" s="99">
        <v>46170</v>
      </c>
      <c r="D8" s="100" t="s">
        <v>273</v>
      </c>
      <c r="E8" s="101" t="s">
        <v>277</v>
      </c>
      <c r="F8" s="197">
        <v>175000</v>
      </c>
      <c r="G8" s="197"/>
      <c r="H8" s="197"/>
      <c r="I8" s="197"/>
      <c r="J8" s="197"/>
      <c r="K8" s="50">
        <f t="shared" si="0"/>
        <v>57156985</v>
      </c>
      <c r="L8" s="100"/>
    </row>
    <row r="9" spans="2:12" ht="15.95" customHeight="1" x14ac:dyDescent="0.25">
      <c r="B9" s="95">
        <v>5</v>
      </c>
      <c r="C9" s="86">
        <v>46170</v>
      </c>
      <c r="D9" s="96" t="s">
        <v>273</v>
      </c>
      <c r="E9" s="97" t="s">
        <v>278</v>
      </c>
      <c r="F9" s="198"/>
      <c r="G9" s="198"/>
      <c r="H9" s="198">
        <v>89100</v>
      </c>
      <c r="I9" s="198"/>
      <c r="J9" s="198"/>
      <c r="K9" s="48">
        <f t="shared" si="0"/>
        <v>57067885</v>
      </c>
      <c r="L9" s="96"/>
    </row>
    <row r="10" spans="2:12" ht="15.95" customHeight="1" x14ac:dyDescent="0.25">
      <c r="B10" s="98">
        <v>6</v>
      </c>
      <c r="C10" s="99">
        <v>46170</v>
      </c>
      <c r="D10" s="100" t="s">
        <v>273</v>
      </c>
      <c r="E10" s="101" t="s">
        <v>279</v>
      </c>
      <c r="F10" s="197"/>
      <c r="G10" s="197"/>
      <c r="H10" s="197">
        <v>50162</v>
      </c>
      <c r="I10" s="197"/>
      <c r="J10" s="197"/>
      <c r="K10" s="50">
        <f t="shared" si="0"/>
        <v>57017723</v>
      </c>
      <c r="L10" s="100"/>
    </row>
    <row r="11" spans="2:12" ht="15.95" customHeight="1" x14ac:dyDescent="0.25">
      <c r="B11" s="95">
        <v>7</v>
      </c>
      <c r="C11" s="86">
        <v>46170</v>
      </c>
      <c r="D11" s="96" t="s">
        <v>273</v>
      </c>
      <c r="E11" s="97" t="s">
        <v>280</v>
      </c>
      <c r="F11" s="198"/>
      <c r="G11" s="198"/>
      <c r="H11" s="198">
        <v>533241</v>
      </c>
      <c r="I11" s="198"/>
      <c r="J11" s="198"/>
      <c r="K11" s="48">
        <f t="shared" si="0"/>
        <v>56484482</v>
      </c>
      <c r="L11" s="96"/>
    </row>
    <row r="12" spans="2:12" ht="15.95" customHeight="1" x14ac:dyDescent="0.25">
      <c r="B12" s="98">
        <v>8</v>
      </c>
      <c r="C12" s="99"/>
      <c r="D12" s="100"/>
      <c r="E12" s="101"/>
      <c r="F12" s="197"/>
      <c r="G12" s="197"/>
      <c r="H12" s="197"/>
      <c r="I12" s="197"/>
      <c r="J12" s="197"/>
      <c r="K12" s="50">
        <f t="shared" si="0"/>
        <v>56484482</v>
      </c>
      <c r="L12" s="100"/>
    </row>
    <row r="13" spans="2:12" ht="15.95" customHeight="1" x14ac:dyDescent="0.25">
      <c r="B13" s="95">
        <v>9</v>
      </c>
      <c r="C13" s="86"/>
      <c r="D13" s="96"/>
      <c r="E13" s="97"/>
      <c r="F13" s="198"/>
      <c r="G13" s="198"/>
      <c r="H13" s="198"/>
      <c r="I13" s="198"/>
      <c r="J13" s="198"/>
      <c r="K13" s="48">
        <f t="shared" si="0"/>
        <v>56484482</v>
      </c>
      <c r="L13" s="96"/>
    </row>
    <row r="14" spans="2:12" ht="15.95" customHeight="1" x14ac:dyDescent="0.25">
      <c r="B14" s="98">
        <v>10</v>
      </c>
      <c r="C14" s="99"/>
      <c r="D14" s="100"/>
      <c r="E14" s="101"/>
      <c r="F14" s="197"/>
      <c r="G14" s="197"/>
      <c r="H14" s="197"/>
      <c r="I14" s="197"/>
      <c r="J14" s="197"/>
      <c r="K14" s="50">
        <f t="shared" si="0"/>
        <v>56484482</v>
      </c>
      <c r="L14" s="100"/>
    </row>
    <row r="15" spans="2:12" ht="15.95" customHeight="1" x14ac:dyDescent="0.25">
      <c r="B15" s="95">
        <v>11</v>
      </c>
      <c r="C15" s="86"/>
      <c r="D15" s="96"/>
      <c r="E15" s="97"/>
      <c r="F15" s="198"/>
      <c r="G15" s="198"/>
      <c r="H15" s="198"/>
      <c r="I15" s="198"/>
      <c r="J15" s="198"/>
      <c r="K15" s="48">
        <f t="shared" si="0"/>
        <v>56484482</v>
      </c>
      <c r="L15" s="96"/>
    </row>
    <row r="16" spans="2:12" ht="15.95" customHeight="1" x14ac:dyDescent="0.25">
      <c r="B16" s="98">
        <v>12</v>
      </c>
      <c r="C16" s="99"/>
      <c r="D16" s="100"/>
      <c r="E16" s="101"/>
      <c r="F16" s="197"/>
      <c r="G16" s="197"/>
      <c r="H16" s="197"/>
      <c r="I16" s="197"/>
      <c r="J16" s="197"/>
      <c r="K16" s="50">
        <f t="shared" si="0"/>
        <v>56484482</v>
      </c>
      <c r="L16" s="100"/>
    </row>
    <row r="17" spans="2:12" ht="15.95" customHeight="1" x14ac:dyDescent="0.25">
      <c r="B17" s="95">
        <v>13</v>
      </c>
      <c r="C17" s="86"/>
      <c r="D17" s="96"/>
      <c r="E17" s="97"/>
      <c r="F17" s="198"/>
      <c r="G17" s="198"/>
      <c r="H17" s="198"/>
      <c r="I17" s="198"/>
      <c r="J17" s="198"/>
      <c r="K17" s="48">
        <f t="shared" si="0"/>
        <v>56484482</v>
      </c>
      <c r="L17" s="96"/>
    </row>
    <row r="18" spans="2:12" ht="15.95" customHeight="1" x14ac:dyDescent="0.25">
      <c r="B18" s="98">
        <v>14</v>
      </c>
      <c r="C18" s="99"/>
      <c r="D18" s="100"/>
      <c r="E18" s="101"/>
      <c r="F18" s="197"/>
      <c r="G18" s="197"/>
      <c r="H18" s="197"/>
      <c r="I18" s="197"/>
      <c r="J18" s="197"/>
      <c r="K18" s="50">
        <f t="shared" si="0"/>
        <v>56484482</v>
      </c>
      <c r="L18" s="100"/>
    </row>
    <row r="19" spans="2:12" ht="15.95" customHeight="1" x14ac:dyDescent="0.25">
      <c r="B19" s="95">
        <v>15</v>
      </c>
      <c r="C19" s="86"/>
      <c r="D19" s="96"/>
      <c r="E19" s="97"/>
      <c r="F19" s="198"/>
      <c r="G19" s="198"/>
      <c r="H19" s="198"/>
      <c r="I19" s="198"/>
      <c r="J19" s="198"/>
      <c r="K19" s="48">
        <f t="shared" si="0"/>
        <v>56484482</v>
      </c>
      <c r="L19" s="96"/>
    </row>
    <row r="20" spans="2:12" ht="15.95" customHeight="1" x14ac:dyDescent="0.25">
      <c r="B20" s="98">
        <v>16</v>
      </c>
      <c r="C20" s="99"/>
      <c r="D20" s="100"/>
      <c r="E20" s="101"/>
      <c r="F20" s="197"/>
      <c r="G20" s="197"/>
      <c r="H20" s="197"/>
      <c r="I20" s="197"/>
      <c r="J20" s="197"/>
      <c r="K20" s="50">
        <f t="shared" si="0"/>
        <v>56484482</v>
      </c>
      <c r="L20" s="100"/>
    </row>
    <row r="21" spans="2:12" ht="15.95" customHeight="1" x14ac:dyDescent="0.25">
      <c r="B21" s="95">
        <v>17</v>
      </c>
      <c r="C21" s="86"/>
      <c r="D21" s="96"/>
      <c r="E21" s="97"/>
      <c r="F21" s="198"/>
      <c r="G21" s="198"/>
      <c r="H21" s="198"/>
      <c r="I21" s="198"/>
      <c r="J21" s="198"/>
      <c r="K21" s="48">
        <f t="shared" si="0"/>
        <v>56484482</v>
      </c>
      <c r="L21" s="96"/>
    </row>
    <row r="22" spans="2:12" ht="15.95" customHeight="1" x14ac:dyDescent="0.25">
      <c r="B22" s="98">
        <v>18</v>
      </c>
      <c r="C22" s="99"/>
      <c r="D22" s="100"/>
      <c r="E22" s="101"/>
      <c r="F22" s="197"/>
      <c r="G22" s="197"/>
      <c r="H22" s="197"/>
      <c r="I22" s="197"/>
      <c r="J22" s="197"/>
      <c r="K22" s="50">
        <f t="shared" si="0"/>
        <v>56484482</v>
      </c>
      <c r="L22" s="100"/>
    </row>
    <row r="23" spans="2:12" ht="15.95" customHeight="1" x14ac:dyDescent="0.25">
      <c r="B23" s="95">
        <v>19</v>
      </c>
      <c r="C23" s="86"/>
      <c r="D23" s="96"/>
      <c r="E23" s="97"/>
      <c r="F23" s="198"/>
      <c r="G23" s="198"/>
      <c r="H23" s="198"/>
      <c r="I23" s="198"/>
      <c r="J23" s="198"/>
      <c r="K23" s="48">
        <f t="shared" si="0"/>
        <v>56484482</v>
      </c>
      <c r="L23" s="96"/>
    </row>
    <row r="24" spans="2:12" ht="15.95" customHeight="1" x14ac:dyDescent="0.25">
      <c r="B24" s="98">
        <v>20</v>
      </c>
      <c r="C24" s="99"/>
      <c r="D24" s="100"/>
      <c r="E24" s="101"/>
      <c r="F24" s="197"/>
      <c r="G24" s="197"/>
      <c r="H24" s="197"/>
      <c r="I24" s="197"/>
      <c r="J24" s="197"/>
      <c r="K24" s="50">
        <f t="shared" si="0"/>
        <v>56484482</v>
      </c>
      <c r="L24" s="100"/>
    </row>
    <row r="25" spans="2:12" ht="15.95" customHeight="1" x14ac:dyDescent="0.25">
      <c r="B25" s="95">
        <v>21</v>
      </c>
      <c r="C25" s="86"/>
      <c r="D25" s="96"/>
      <c r="E25" s="97"/>
      <c r="F25" s="198"/>
      <c r="G25" s="198"/>
      <c r="H25" s="198"/>
      <c r="I25" s="198"/>
      <c r="J25" s="198"/>
      <c r="K25" s="48">
        <f t="shared" si="0"/>
        <v>56484482</v>
      </c>
      <c r="L25" s="96"/>
    </row>
    <row r="26" spans="2:12" ht="15.95" customHeight="1" x14ac:dyDescent="0.25">
      <c r="B26" s="98">
        <v>22</v>
      </c>
      <c r="C26" s="99"/>
      <c r="D26" s="100"/>
      <c r="E26" s="101"/>
      <c r="F26" s="197"/>
      <c r="G26" s="197"/>
      <c r="H26" s="197"/>
      <c r="I26" s="197"/>
      <c r="J26" s="197"/>
      <c r="K26" s="50">
        <f t="shared" si="0"/>
        <v>56484482</v>
      </c>
      <c r="L26" s="100"/>
    </row>
    <row r="27" spans="2:12" ht="15.95" customHeight="1" x14ac:dyDescent="0.25">
      <c r="B27" s="95">
        <v>23</v>
      </c>
      <c r="C27" s="86"/>
      <c r="D27" s="96"/>
      <c r="E27" s="97"/>
      <c r="F27" s="198"/>
      <c r="G27" s="198"/>
      <c r="H27" s="198"/>
      <c r="I27" s="198"/>
      <c r="J27" s="198"/>
      <c r="K27" s="48">
        <f t="shared" si="0"/>
        <v>56484482</v>
      </c>
      <c r="L27" s="96"/>
    </row>
    <row r="28" spans="2:12" ht="15.95" customHeight="1" x14ac:dyDescent="0.25">
      <c r="B28" s="98">
        <v>24</v>
      </c>
      <c r="C28" s="99"/>
      <c r="D28" s="100"/>
      <c r="E28" s="101"/>
      <c r="F28" s="197"/>
      <c r="G28" s="197"/>
      <c r="H28" s="197"/>
      <c r="I28" s="197"/>
      <c r="J28" s="197"/>
      <c r="K28" s="50">
        <f t="shared" si="0"/>
        <v>56484482</v>
      </c>
      <c r="L28" s="100"/>
    </row>
    <row r="29" spans="2:12" ht="15.95" customHeight="1" x14ac:dyDescent="0.25">
      <c r="B29" s="95">
        <v>25</v>
      </c>
      <c r="C29" s="86"/>
      <c r="D29" s="96"/>
      <c r="E29" s="97"/>
      <c r="F29" s="198"/>
      <c r="G29" s="198"/>
      <c r="H29" s="198"/>
      <c r="I29" s="198"/>
      <c r="J29" s="198"/>
      <c r="K29" s="48">
        <f t="shared" si="0"/>
        <v>56484482</v>
      </c>
      <c r="L29" s="96"/>
    </row>
    <row r="30" spans="2:12" ht="15.95" customHeight="1" x14ac:dyDescent="0.25">
      <c r="B30" s="98">
        <v>26</v>
      </c>
      <c r="C30" s="99"/>
      <c r="D30" s="100"/>
      <c r="E30" s="101"/>
      <c r="F30" s="197"/>
      <c r="G30" s="197"/>
      <c r="H30" s="197"/>
      <c r="I30" s="197"/>
      <c r="J30" s="197"/>
      <c r="K30" s="50">
        <f t="shared" si="0"/>
        <v>56484482</v>
      </c>
      <c r="L30" s="100"/>
    </row>
    <row r="31" spans="2:12" ht="15.95" customHeight="1" x14ac:dyDescent="0.25">
      <c r="B31" s="95">
        <v>27</v>
      </c>
      <c r="C31" s="86"/>
      <c r="D31" s="96"/>
      <c r="E31" s="97"/>
      <c r="F31" s="198"/>
      <c r="G31" s="198"/>
      <c r="H31" s="198"/>
      <c r="I31" s="198"/>
      <c r="J31" s="198"/>
      <c r="K31" s="48">
        <f t="shared" si="0"/>
        <v>56484482</v>
      </c>
      <c r="L31" s="96"/>
    </row>
    <row r="32" spans="2:12" ht="15.95" customHeight="1" x14ac:dyDescent="0.25">
      <c r="B32" s="98">
        <v>28</v>
      </c>
      <c r="C32" s="99"/>
      <c r="D32" s="100"/>
      <c r="E32" s="101"/>
      <c r="F32" s="197"/>
      <c r="G32" s="197"/>
      <c r="H32" s="197"/>
      <c r="I32" s="197"/>
      <c r="J32" s="197"/>
      <c r="K32" s="50">
        <f t="shared" si="0"/>
        <v>56484482</v>
      </c>
      <c r="L32" s="100"/>
    </row>
    <row r="33" spans="2:12" ht="15.95" customHeight="1" x14ac:dyDescent="0.25">
      <c r="B33" s="95">
        <v>29</v>
      </c>
      <c r="C33" s="86"/>
      <c r="D33" s="96"/>
      <c r="E33" s="97"/>
      <c r="F33" s="198"/>
      <c r="G33" s="198"/>
      <c r="H33" s="198"/>
      <c r="I33" s="198"/>
      <c r="J33" s="198"/>
      <c r="K33" s="48">
        <f t="shared" si="0"/>
        <v>56484482</v>
      </c>
      <c r="L33" s="96"/>
    </row>
    <row r="34" spans="2:12" ht="15.95" customHeight="1" x14ac:dyDescent="0.25">
      <c r="B34" s="98">
        <v>30</v>
      </c>
      <c r="C34" s="99"/>
      <c r="D34" s="100"/>
      <c r="E34" s="101"/>
      <c r="F34" s="197"/>
      <c r="G34" s="197"/>
      <c r="H34" s="197"/>
      <c r="I34" s="197"/>
      <c r="J34" s="197"/>
      <c r="K34" s="50">
        <f t="shared" si="0"/>
        <v>56484482</v>
      </c>
      <c r="L34" s="100"/>
    </row>
    <row r="35" spans="2:12" ht="15.95" customHeight="1" x14ac:dyDescent="0.25">
      <c r="B35" s="95">
        <v>31</v>
      </c>
      <c r="C35" s="86"/>
      <c r="D35" s="96"/>
      <c r="E35" s="97"/>
      <c r="F35" s="198"/>
      <c r="G35" s="198"/>
      <c r="H35" s="198"/>
      <c r="I35" s="198"/>
      <c r="J35" s="198"/>
      <c r="K35" s="48">
        <f t="shared" si="0"/>
        <v>56484482</v>
      </c>
      <c r="L35" s="96"/>
    </row>
    <row r="36" spans="2:12" ht="15.95" customHeight="1" x14ac:dyDescent="0.25">
      <c r="B36" s="98">
        <v>32</v>
      </c>
      <c r="C36" s="99"/>
      <c r="D36" s="100"/>
      <c r="E36" s="101"/>
      <c r="F36" s="197"/>
      <c r="G36" s="197"/>
      <c r="H36" s="197"/>
      <c r="I36" s="197"/>
      <c r="J36" s="197"/>
      <c r="K36" s="50">
        <f t="shared" si="0"/>
        <v>56484482</v>
      </c>
      <c r="L36" s="100"/>
    </row>
    <row r="37" spans="2:12" ht="15.95" customHeight="1" x14ac:dyDescent="0.25">
      <c r="B37" s="95">
        <v>33</v>
      </c>
      <c r="C37" s="86"/>
      <c r="D37" s="96"/>
      <c r="E37" s="97"/>
      <c r="F37" s="198"/>
      <c r="G37" s="198"/>
      <c r="H37" s="198"/>
      <c r="I37" s="198"/>
      <c r="J37" s="198"/>
      <c r="K37" s="48">
        <f t="shared" ref="K37:K68" si="1">K36+IF(F37="",0,F37)+IF(G37="",0,G37)-IF(H37="",0,H37)-IF(I37="",0,I37)+IF(J37="",0,J37)</f>
        <v>56484482</v>
      </c>
      <c r="L37" s="96"/>
    </row>
    <row r="38" spans="2:12" ht="15.95" customHeight="1" x14ac:dyDescent="0.25">
      <c r="B38" s="98">
        <v>34</v>
      </c>
      <c r="C38" s="99"/>
      <c r="D38" s="100"/>
      <c r="E38" s="101"/>
      <c r="F38" s="197"/>
      <c r="G38" s="197"/>
      <c r="H38" s="197"/>
      <c r="I38" s="197"/>
      <c r="J38" s="197"/>
      <c r="K38" s="50">
        <f t="shared" si="1"/>
        <v>56484482</v>
      </c>
      <c r="L38" s="100"/>
    </row>
    <row r="39" spans="2:12" ht="15.95" customHeight="1" x14ac:dyDescent="0.25">
      <c r="B39" s="95">
        <v>35</v>
      </c>
      <c r="C39" s="86"/>
      <c r="D39" s="96"/>
      <c r="E39" s="97"/>
      <c r="F39" s="198"/>
      <c r="G39" s="198"/>
      <c r="H39" s="198"/>
      <c r="I39" s="198"/>
      <c r="J39" s="198"/>
      <c r="K39" s="48">
        <f t="shared" si="1"/>
        <v>56484482</v>
      </c>
      <c r="L39" s="96"/>
    </row>
    <row r="40" spans="2:12" ht="15.95" customHeight="1" x14ac:dyDescent="0.25">
      <c r="B40" s="98">
        <v>36</v>
      </c>
      <c r="C40" s="99"/>
      <c r="D40" s="100"/>
      <c r="E40" s="101"/>
      <c r="F40" s="197"/>
      <c r="G40" s="197"/>
      <c r="H40" s="197"/>
      <c r="I40" s="197"/>
      <c r="J40" s="197"/>
      <c r="K40" s="50">
        <f t="shared" si="1"/>
        <v>56484482</v>
      </c>
      <c r="L40" s="100"/>
    </row>
    <row r="41" spans="2:12" ht="15.95" customHeight="1" x14ac:dyDescent="0.25">
      <c r="B41" s="95">
        <v>37</v>
      </c>
      <c r="C41" s="86"/>
      <c r="D41" s="96"/>
      <c r="E41" s="97"/>
      <c r="F41" s="198"/>
      <c r="G41" s="198"/>
      <c r="H41" s="198"/>
      <c r="I41" s="198"/>
      <c r="J41" s="198"/>
      <c r="K41" s="48">
        <f t="shared" si="1"/>
        <v>56484482</v>
      </c>
      <c r="L41" s="96"/>
    </row>
    <row r="42" spans="2:12" ht="15.95" customHeight="1" x14ac:dyDescent="0.25">
      <c r="B42" s="98">
        <v>38</v>
      </c>
      <c r="C42" s="99"/>
      <c r="D42" s="100"/>
      <c r="E42" s="101"/>
      <c r="F42" s="197"/>
      <c r="G42" s="197"/>
      <c r="H42" s="197"/>
      <c r="I42" s="197"/>
      <c r="J42" s="197"/>
      <c r="K42" s="50">
        <f t="shared" si="1"/>
        <v>56484482</v>
      </c>
      <c r="L42" s="100"/>
    </row>
    <row r="43" spans="2:12" ht="15.95" customHeight="1" x14ac:dyDescent="0.25">
      <c r="B43" s="95">
        <v>39</v>
      </c>
      <c r="C43" s="86"/>
      <c r="D43" s="96"/>
      <c r="E43" s="97"/>
      <c r="F43" s="198"/>
      <c r="G43" s="198"/>
      <c r="H43" s="198"/>
      <c r="I43" s="198"/>
      <c r="J43" s="198"/>
      <c r="K43" s="48">
        <f t="shared" si="1"/>
        <v>56484482</v>
      </c>
      <c r="L43" s="96"/>
    </row>
    <row r="44" spans="2:12" ht="15.95" customHeight="1" x14ac:dyDescent="0.25">
      <c r="B44" s="98">
        <v>40</v>
      </c>
      <c r="C44" s="99"/>
      <c r="D44" s="100"/>
      <c r="E44" s="101"/>
      <c r="F44" s="197"/>
      <c r="G44" s="197"/>
      <c r="H44" s="197"/>
      <c r="I44" s="197"/>
      <c r="J44" s="197"/>
      <c r="K44" s="50">
        <f t="shared" si="1"/>
        <v>56484482</v>
      </c>
      <c r="L44" s="100"/>
    </row>
    <row r="45" spans="2:12" ht="15.95" customHeight="1" x14ac:dyDescent="0.25">
      <c r="B45" s="95">
        <v>41</v>
      </c>
      <c r="C45" s="86"/>
      <c r="D45" s="96"/>
      <c r="E45" s="97"/>
      <c r="F45" s="198"/>
      <c r="G45" s="198"/>
      <c r="H45" s="198"/>
      <c r="I45" s="198"/>
      <c r="J45" s="198"/>
      <c r="K45" s="48">
        <f t="shared" si="1"/>
        <v>56484482</v>
      </c>
      <c r="L45" s="96"/>
    </row>
    <row r="46" spans="2:12" ht="15.95" customHeight="1" x14ac:dyDescent="0.25">
      <c r="B46" s="98">
        <v>42</v>
      </c>
      <c r="C46" s="99"/>
      <c r="D46" s="100"/>
      <c r="E46" s="101"/>
      <c r="F46" s="197"/>
      <c r="G46" s="197"/>
      <c r="H46" s="197"/>
      <c r="I46" s="197"/>
      <c r="J46" s="197"/>
      <c r="K46" s="50">
        <f t="shared" si="1"/>
        <v>56484482</v>
      </c>
      <c r="L46" s="100"/>
    </row>
    <row r="47" spans="2:12" ht="15.95" customHeight="1" x14ac:dyDescent="0.25">
      <c r="B47" s="95">
        <v>43</v>
      </c>
      <c r="C47" s="86"/>
      <c r="D47" s="96"/>
      <c r="E47" s="97"/>
      <c r="F47" s="198"/>
      <c r="G47" s="198"/>
      <c r="H47" s="198"/>
      <c r="I47" s="198"/>
      <c r="J47" s="198"/>
      <c r="K47" s="48">
        <f t="shared" si="1"/>
        <v>56484482</v>
      </c>
      <c r="L47" s="96"/>
    </row>
    <row r="48" spans="2:12" ht="15.95" customHeight="1" x14ac:dyDescent="0.25">
      <c r="B48" s="98">
        <v>44</v>
      </c>
      <c r="C48" s="99"/>
      <c r="D48" s="100"/>
      <c r="E48" s="101"/>
      <c r="F48" s="197"/>
      <c r="G48" s="197"/>
      <c r="H48" s="197"/>
      <c r="I48" s="197"/>
      <c r="J48" s="197"/>
      <c r="K48" s="50">
        <f t="shared" si="1"/>
        <v>56484482</v>
      </c>
      <c r="L48" s="100"/>
    </row>
    <row r="49" spans="2:12" ht="15.95" customHeight="1" x14ac:dyDescent="0.25">
      <c r="B49" s="95">
        <v>45</v>
      </c>
      <c r="C49" s="86"/>
      <c r="D49" s="96"/>
      <c r="E49" s="97"/>
      <c r="F49" s="198"/>
      <c r="G49" s="198"/>
      <c r="H49" s="198"/>
      <c r="I49" s="198"/>
      <c r="J49" s="198"/>
      <c r="K49" s="48">
        <f t="shared" si="1"/>
        <v>56484482</v>
      </c>
      <c r="L49" s="96"/>
    </row>
    <row r="50" spans="2:12" ht="15.95" customHeight="1" x14ac:dyDescent="0.25">
      <c r="B50" s="98">
        <v>46</v>
      </c>
      <c r="C50" s="99"/>
      <c r="D50" s="100"/>
      <c r="E50" s="101"/>
      <c r="F50" s="197"/>
      <c r="G50" s="197"/>
      <c r="H50" s="197"/>
      <c r="I50" s="197"/>
      <c r="J50" s="197"/>
      <c r="K50" s="50">
        <f t="shared" si="1"/>
        <v>56484482</v>
      </c>
      <c r="L50" s="100"/>
    </row>
    <row r="51" spans="2:12" ht="15.95" customHeight="1" x14ac:dyDescent="0.25">
      <c r="B51" s="95">
        <v>47</v>
      </c>
      <c r="C51" s="86"/>
      <c r="D51" s="96"/>
      <c r="E51" s="97"/>
      <c r="F51" s="198"/>
      <c r="G51" s="198"/>
      <c r="H51" s="198"/>
      <c r="I51" s="198"/>
      <c r="J51" s="198"/>
      <c r="K51" s="48">
        <f t="shared" si="1"/>
        <v>56484482</v>
      </c>
      <c r="L51" s="96"/>
    </row>
    <row r="52" spans="2:12" ht="15.95" customHeight="1" x14ac:dyDescent="0.25">
      <c r="B52" s="98">
        <v>48</v>
      </c>
      <c r="C52" s="99"/>
      <c r="D52" s="100"/>
      <c r="E52" s="101"/>
      <c r="F52" s="197"/>
      <c r="G52" s="197"/>
      <c r="H52" s="197"/>
      <c r="I52" s="197"/>
      <c r="J52" s="197"/>
      <c r="K52" s="50">
        <f t="shared" si="1"/>
        <v>56484482</v>
      </c>
      <c r="L52" s="100"/>
    </row>
    <row r="53" spans="2:12" ht="15.95" customHeight="1" x14ac:dyDescent="0.25">
      <c r="B53" s="95">
        <v>49</v>
      </c>
      <c r="C53" s="86"/>
      <c r="D53" s="96"/>
      <c r="E53" s="97"/>
      <c r="F53" s="198"/>
      <c r="G53" s="198"/>
      <c r="H53" s="198"/>
      <c r="I53" s="198"/>
      <c r="J53" s="198"/>
      <c r="K53" s="48">
        <f t="shared" si="1"/>
        <v>56484482</v>
      </c>
      <c r="L53" s="96"/>
    </row>
    <row r="54" spans="2:12" ht="15.95" customHeight="1" x14ac:dyDescent="0.25">
      <c r="B54" s="98">
        <v>50</v>
      </c>
      <c r="C54" s="99"/>
      <c r="D54" s="100"/>
      <c r="E54" s="101"/>
      <c r="F54" s="197"/>
      <c r="G54" s="197"/>
      <c r="H54" s="197"/>
      <c r="I54" s="197"/>
      <c r="J54" s="197"/>
      <c r="K54" s="50">
        <f t="shared" si="1"/>
        <v>56484482</v>
      </c>
      <c r="L54" s="100"/>
    </row>
    <row r="55" spans="2:12" ht="15.95" customHeight="1" x14ac:dyDescent="0.25">
      <c r="B55" s="95">
        <v>51</v>
      </c>
      <c r="C55" s="86"/>
      <c r="D55" s="96"/>
      <c r="E55" s="97"/>
      <c r="F55" s="198"/>
      <c r="G55" s="198"/>
      <c r="H55" s="198"/>
      <c r="I55" s="198"/>
      <c r="J55" s="198"/>
      <c r="K55" s="48">
        <f t="shared" si="1"/>
        <v>56484482</v>
      </c>
      <c r="L55" s="96"/>
    </row>
    <row r="56" spans="2:12" ht="15.95" customHeight="1" x14ac:dyDescent="0.25">
      <c r="B56" s="98">
        <v>52</v>
      </c>
      <c r="C56" s="99"/>
      <c r="D56" s="100"/>
      <c r="E56" s="101"/>
      <c r="F56" s="197"/>
      <c r="G56" s="197"/>
      <c r="H56" s="197"/>
      <c r="I56" s="197"/>
      <c r="J56" s="197"/>
      <c r="K56" s="50">
        <f t="shared" si="1"/>
        <v>56484482</v>
      </c>
      <c r="L56" s="100"/>
    </row>
    <row r="57" spans="2:12" ht="15.95" customHeight="1" x14ac:dyDescent="0.25">
      <c r="B57" s="95">
        <v>53</v>
      </c>
      <c r="C57" s="86"/>
      <c r="D57" s="96"/>
      <c r="E57" s="97"/>
      <c r="F57" s="198"/>
      <c r="G57" s="198"/>
      <c r="H57" s="198"/>
      <c r="I57" s="198"/>
      <c r="J57" s="198"/>
      <c r="K57" s="48">
        <f t="shared" si="1"/>
        <v>56484482</v>
      </c>
      <c r="L57" s="96"/>
    </row>
    <row r="58" spans="2:12" ht="15.95" customHeight="1" x14ac:dyDescent="0.25">
      <c r="B58" s="98">
        <v>54</v>
      </c>
      <c r="C58" s="99"/>
      <c r="D58" s="100"/>
      <c r="E58" s="101"/>
      <c r="F58" s="197"/>
      <c r="G58" s="197"/>
      <c r="H58" s="197"/>
      <c r="I58" s="197"/>
      <c r="J58" s="197"/>
      <c r="K58" s="50">
        <f t="shared" si="1"/>
        <v>56484482</v>
      </c>
      <c r="L58" s="100"/>
    </row>
    <row r="59" spans="2:12" ht="15.95" customHeight="1" x14ac:dyDescent="0.25">
      <c r="B59" s="95">
        <v>55</v>
      </c>
      <c r="C59" s="86"/>
      <c r="D59" s="96"/>
      <c r="E59" s="97"/>
      <c r="F59" s="198"/>
      <c r="G59" s="198"/>
      <c r="H59" s="198"/>
      <c r="I59" s="198"/>
      <c r="J59" s="198"/>
      <c r="K59" s="48">
        <f t="shared" si="1"/>
        <v>56484482</v>
      </c>
      <c r="L59" s="96"/>
    </row>
    <row r="60" spans="2:12" ht="15.95" customHeight="1" x14ac:dyDescent="0.25">
      <c r="B60" s="98">
        <v>56</v>
      </c>
      <c r="C60" s="99"/>
      <c r="D60" s="100"/>
      <c r="E60" s="101"/>
      <c r="F60" s="197"/>
      <c r="G60" s="197"/>
      <c r="H60" s="197"/>
      <c r="I60" s="197"/>
      <c r="J60" s="197"/>
      <c r="K60" s="50">
        <f t="shared" si="1"/>
        <v>56484482</v>
      </c>
      <c r="L60" s="100"/>
    </row>
    <row r="61" spans="2:12" ht="15.95" customHeight="1" x14ac:dyDescent="0.25">
      <c r="B61" s="95">
        <v>57</v>
      </c>
      <c r="C61" s="86"/>
      <c r="D61" s="96"/>
      <c r="E61" s="97"/>
      <c r="F61" s="198"/>
      <c r="G61" s="198"/>
      <c r="H61" s="198"/>
      <c r="I61" s="198"/>
      <c r="J61" s="198"/>
      <c r="K61" s="48">
        <f t="shared" si="1"/>
        <v>56484482</v>
      </c>
      <c r="L61" s="96"/>
    </row>
    <row r="62" spans="2:12" ht="15.95" customHeight="1" x14ac:dyDescent="0.25">
      <c r="B62" s="98">
        <v>58</v>
      </c>
      <c r="C62" s="99"/>
      <c r="D62" s="100"/>
      <c r="E62" s="101"/>
      <c r="F62" s="197"/>
      <c r="G62" s="197"/>
      <c r="H62" s="197"/>
      <c r="I62" s="197"/>
      <c r="J62" s="197"/>
      <c r="K62" s="50">
        <f t="shared" si="1"/>
        <v>56484482</v>
      </c>
      <c r="L62" s="100"/>
    </row>
    <row r="63" spans="2:12" ht="15.95" customHeight="1" x14ac:dyDescent="0.25">
      <c r="B63" s="95">
        <v>59</v>
      </c>
      <c r="C63" s="86"/>
      <c r="D63" s="96"/>
      <c r="E63" s="97"/>
      <c r="F63" s="198"/>
      <c r="G63" s="198"/>
      <c r="H63" s="198"/>
      <c r="I63" s="198"/>
      <c r="J63" s="198"/>
      <c r="K63" s="48">
        <f t="shared" si="1"/>
        <v>56484482</v>
      </c>
      <c r="L63" s="96"/>
    </row>
    <row r="64" spans="2:12" ht="15.95" customHeight="1" x14ac:dyDescent="0.25">
      <c r="B64" s="98">
        <v>60</v>
      </c>
      <c r="C64" s="99"/>
      <c r="D64" s="100"/>
      <c r="E64" s="101"/>
      <c r="F64" s="197"/>
      <c r="G64" s="197"/>
      <c r="H64" s="197"/>
      <c r="I64" s="197"/>
      <c r="J64" s="197"/>
      <c r="K64" s="50">
        <f t="shared" si="1"/>
        <v>56484482</v>
      </c>
      <c r="L64" s="100"/>
    </row>
    <row r="65" spans="2:12" ht="15.95" customHeight="1" x14ac:dyDescent="0.25">
      <c r="B65" s="95">
        <v>61</v>
      </c>
      <c r="C65" s="86"/>
      <c r="D65" s="96"/>
      <c r="E65" s="97"/>
      <c r="F65" s="198"/>
      <c r="G65" s="198"/>
      <c r="H65" s="198"/>
      <c r="I65" s="198"/>
      <c r="J65" s="198"/>
      <c r="K65" s="48">
        <f t="shared" si="1"/>
        <v>56484482</v>
      </c>
      <c r="L65" s="96"/>
    </row>
    <row r="66" spans="2:12" ht="15.95" customHeight="1" x14ac:dyDescent="0.25">
      <c r="B66" s="98">
        <v>62</v>
      </c>
      <c r="C66" s="99"/>
      <c r="D66" s="100"/>
      <c r="E66" s="101"/>
      <c r="F66" s="197"/>
      <c r="G66" s="197"/>
      <c r="H66" s="197"/>
      <c r="I66" s="197"/>
      <c r="J66" s="197"/>
      <c r="K66" s="50">
        <f t="shared" si="1"/>
        <v>56484482</v>
      </c>
      <c r="L66" s="100"/>
    </row>
    <row r="67" spans="2:12" ht="15.95" customHeight="1" x14ac:dyDescent="0.25">
      <c r="B67" s="95">
        <v>63</v>
      </c>
      <c r="C67" s="86"/>
      <c r="D67" s="96"/>
      <c r="E67" s="97"/>
      <c r="F67" s="198"/>
      <c r="G67" s="198"/>
      <c r="H67" s="198"/>
      <c r="I67" s="198"/>
      <c r="J67" s="198"/>
      <c r="K67" s="48">
        <f t="shared" si="1"/>
        <v>56484482</v>
      </c>
      <c r="L67" s="96"/>
    </row>
    <row r="68" spans="2:12" ht="15.95" customHeight="1" x14ac:dyDescent="0.25">
      <c r="B68" s="98">
        <v>64</v>
      </c>
      <c r="C68" s="99"/>
      <c r="D68" s="100"/>
      <c r="E68" s="101"/>
      <c r="F68" s="197"/>
      <c r="G68" s="197"/>
      <c r="H68" s="197"/>
      <c r="I68" s="197"/>
      <c r="J68" s="197"/>
      <c r="K68" s="50">
        <f t="shared" si="1"/>
        <v>56484482</v>
      </c>
      <c r="L68" s="100"/>
    </row>
    <row r="69" spans="2:12" ht="15.95" customHeight="1" x14ac:dyDescent="0.25">
      <c r="B69" s="95">
        <v>65</v>
      </c>
      <c r="C69" s="86"/>
      <c r="D69" s="96"/>
      <c r="E69" s="97"/>
      <c r="F69" s="198"/>
      <c r="G69" s="198"/>
      <c r="H69" s="198"/>
      <c r="I69" s="198"/>
      <c r="J69" s="198"/>
      <c r="K69" s="48">
        <f t="shared" ref="K69:K100" si="2">K68+IF(F69="",0,F69)+IF(G69="",0,G69)-IF(H69="",0,H69)-IF(I69="",0,I69)+IF(J69="",0,J69)</f>
        <v>56484482</v>
      </c>
      <c r="L69" s="96"/>
    </row>
    <row r="70" spans="2:12" ht="15.95" customHeight="1" x14ac:dyDescent="0.25">
      <c r="B70" s="98">
        <v>66</v>
      </c>
      <c r="C70" s="99"/>
      <c r="D70" s="100"/>
      <c r="E70" s="101"/>
      <c r="F70" s="197"/>
      <c r="G70" s="197"/>
      <c r="H70" s="197"/>
      <c r="I70" s="197"/>
      <c r="J70" s="197"/>
      <c r="K70" s="50">
        <f t="shared" si="2"/>
        <v>56484482</v>
      </c>
      <c r="L70" s="100"/>
    </row>
    <row r="71" spans="2:12" ht="15.95" customHeight="1" x14ac:dyDescent="0.25">
      <c r="B71" s="95">
        <v>67</v>
      </c>
      <c r="C71" s="86"/>
      <c r="D71" s="96"/>
      <c r="E71" s="97"/>
      <c r="F71" s="198"/>
      <c r="G71" s="198"/>
      <c r="H71" s="198"/>
      <c r="I71" s="198"/>
      <c r="J71" s="198"/>
      <c r="K71" s="48">
        <f t="shared" si="2"/>
        <v>56484482</v>
      </c>
      <c r="L71" s="96"/>
    </row>
    <row r="72" spans="2:12" ht="15.95" customHeight="1" x14ac:dyDescent="0.25">
      <c r="B72" s="98">
        <v>68</v>
      </c>
      <c r="C72" s="99"/>
      <c r="D72" s="100"/>
      <c r="E72" s="101"/>
      <c r="F72" s="197"/>
      <c r="G72" s="197"/>
      <c r="H72" s="197"/>
      <c r="I72" s="197"/>
      <c r="J72" s="197"/>
      <c r="K72" s="50">
        <f t="shared" si="2"/>
        <v>56484482</v>
      </c>
      <c r="L72" s="100"/>
    </row>
    <row r="73" spans="2:12" ht="15.95" customHeight="1" x14ac:dyDescent="0.25">
      <c r="B73" s="95">
        <v>69</v>
      </c>
      <c r="C73" s="86"/>
      <c r="D73" s="96"/>
      <c r="E73" s="97"/>
      <c r="F73" s="198"/>
      <c r="G73" s="198"/>
      <c r="H73" s="198"/>
      <c r="I73" s="198"/>
      <c r="J73" s="198"/>
      <c r="K73" s="48">
        <f t="shared" si="2"/>
        <v>56484482</v>
      </c>
      <c r="L73" s="96"/>
    </row>
    <row r="74" spans="2:12" ht="15.95" customHeight="1" x14ac:dyDescent="0.25">
      <c r="B74" s="98">
        <v>70</v>
      </c>
      <c r="C74" s="99"/>
      <c r="D74" s="100"/>
      <c r="E74" s="101"/>
      <c r="F74" s="197"/>
      <c r="G74" s="197"/>
      <c r="H74" s="197"/>
      <c r="I74" s="197"/>
      <c r="J74" s="197"/>
      <c r="K74" s="50">
        <f t="shared" si="2"/>
        <v>56484482</v>
      </c>
      <c r="L74" s="100"/>
    </row>
    <row r="75" spans="2:12" ht="15.95" customHeight="1" x14ac:dyDescent="0.25">
      <c r="B75" s="95">
        <v>71</v>
      </c>
      <c r="C75" s="86"/>
      <c r="D75" s="96"/>
      <c r="E75" s="97"/>
      <c r="F75" s="198"/>
      <c r="G75" s="198"/>
      <c r="H75" s="198"/>
      <c r="I75" s="198"/>
      <c r="J75" s="198"/>
      <c r="K75" s="48">
        <f t="shared" si="2"/>
        <v>56484482</v>
      </c>
      <c r="L75" s="96"/>
    </row>
    <row r="76" spans="2:12" ht="15.95" customHeight="1" x14ac:dyDescent="0.25">
      <c r="B76" s="98">
        <v>72</v>
      </c>
      <c r="C76" s="99"/>
      <c r="D76" s="100"/>
      <c r="E76" s="101"/>
      <c r="F76" s="197"/>
      <c r="G76" s="197"/>
      <c r="H76" s="197"/>
      <c r="I76" s="197"/>
      <c r="J76" s="197"/>
      <c r="K76" s="50">
        <f t="shared" si="2"/>
        <v>56484482</v>
      </c>
      <c r="L76" s="100"/>
    </row>
    <row r="77" spans="2:12" ht="15.95" customHeight="1" x14ac:dyDescent="0.25">
      <c r="B77" s="95">
        <v>73</v>
      </c>
      <c r="C77" s="86"/>
      <c r="D77" s="96"/>
      <c r="E77" s="97"/>
      <c r="F77" s="198"/>
      <c r="G77" s="198"/>
      <c r="H77" s="198"/>
      <c r="I77" s="198"/>
      <c r="J77" s="198"/>
      <c r="K77" s="48">
        <f t="shared" si="2"/>
        <v>56484482</v>
      </c>
      <c r="L77" s="96"/>
    </row>
    <row r="78" spans="2:12" ht="15.95" customHeight="1" x14ac:dyDescent="0.25">
      <c r="B78" s="98">
        <v>74</v>
      </c>
      <c r="C78" s="99"/>
      <c r="D78" s="100"/>
      <c r="E78" s="101"/>
      <c r="F78" s="197"/>
      <c r="G78" s="197"/>
      <c r="H78" s="197"/>
      <c r="I78" s="197"/>
      <c r="J78" s="197"/>
      <c r="K78" s="50">
        <f t="shared" si="2"/>
        <v>56484482</v>
      </c>
      <c r="L78" s="100"/>
    </row>
    <row r="79" spans="2:12" ht="15.95" customHeight="1" x14ac:dyDescent="0.25">
      <c r="B79" s="95">
        <v>75</v>
      </c>
      <c r="C79" s="86"/>
      <c r="D79" s="96"/>
      <c r="E79" s="97"/>
      <c r="F79" s="198"/>
      <c r="G79" s="198"/>
      <c r="H79" s="198"/>
      <c r="I79" s="198"/>
      <c r="J79" s="198"/>
      <c r="K79" s="48">
        <f t="shared" si="2"/>
        <v>56484482</v>
      </c>
      <c r="L79" s="96"/>
    </row>
    <row r="80" spans="2:12" ht="15.95" customHeight="1" x14ac:dyDescent="0.25">
      <c r="B80" s="98">
        <v>76</v>
      </c>
      <c r="C80" s="99"/>
      <c r="D80" s="100"/>
      <c r="E80" s="101"/>
      <c r="F80" s="197"/>
      <c r="G80" s="197"/>
      <c r="H80" s="197"/>
      <c r="I80" s="197"/>
      <c r="J80" s="197"/>
      <c r="K80" s="50">
        <f t="shared" si="2"/>
        <v>56484482</v>
      </c>
      <c r="L80" s="100"/>
    </row>
    <row r="81" spans="2:12" ht="15.95" customHeight="1" x14ac:dyDescent="0.25">
      <c r="B81" s="95">
        <v>77</v>
      </c>
      <c r="C81" s="86"/>
      <c r="D81" s="96"/>
      <c r="E81" s="97"/>
      <c r="F81" s="198"/>
      <c r="G81" s="198"/>
      <c r="H81" s="198"/>
      <c r="I81" s="198"/>
      <c r="J81" s="198"/>
      <c r="K81" s="48">
        <f t="shared" si="2"/>
        <v>56484482</v>
      </c>
      <c r="L81" s="96"/>
    </row>
    <row r="82" spans="2:12" ht="15.95" customHeight="1" x14ac:dyDescent="0.25">
      <c r="B82" s="98">
        <v>78</v>
      </c>
      <c r="C82" s="99"/>
      <c r="D82" s="100"/>
      <c r="E82" s="101"/>
      <c r="F82" s="197"/>
      <c r="G82" s="197"/>
      <c r="H82" s="197"/>
      <c r="I82" s="197"/>
      <c r="J82" s="197"/>
      <c r="K82" s="50">
        <f t="shared" si="2"/>
        <v>56484482</v>
      </c>
      <c r="L82" s="100"/>
    </row>
    <row r="83" spans="2:12" ht="15.95" customHeight="1" x14ac:dyDescent="0.25">
      <c r="B83" s="95">
        <v>79</v>
      </c>
      <c r="C83" s="86"/>
      <c r="D83" s="96"/>
      <c r="E83" s="97"/>
      <c r="F83" s="198"/>
      <c r="G83" s="198"/>
      <c r="H83" s="198"/>
      <c r="I83" s="198"/>
      <c r="J83" s="198"/>
      <c r="K83" s="48">
        <f t="shared" si="2"/>
        <v>56484482</v>
      </c>
      <c r="L83" s="96"/>
    </row>
    <row r="84" spans="2:12" ht="15.95" customHeight="1" x14ac:dyDescent="0.25">
      <c r="B84" s="98">
        <v>80</v>
      </c>
      <c r="C84" s="99"/>
      <c r="D84" s="100"/>
      <c r="E84" s="101"/>
      <c r="F84" s="197"/>
      <c r="G84" s="197"/>
      <c r="H84" s="197"/>
      <c r="I84" s="197"/>
      <c r="J84" s="197"/>
      <c r="K84" s="50">
        <f t="shared" si="2"/>
        <v>56484482</v>
      </c>
      <c r="L84" s="100"/>
    </row>
    <row r="85" spans="2:12" ht="15.95" customHeight="1" x14ac:dyDescent="0.25">
      <c r="B85" s="95">
        <v>81</v>
      </c>
      <c r="C85" s="86"/>
      <c r="D85" s="96"/>
      <c r="E85" s="97"/>
      <c r="F85" s="198"/>
      <c r="G85" s="198"/>
      <c r="H85" s="198"/>
      <c r="I85" s="198"/>
      <c r="J85" s="198"/>
      <c r="K85" s="48">
        <f t="shared" si="2"/>
        <v>56484482</v>
      </c>
      <c r="L85" s="96"/>
    </row>
    <row r="86" spans="2:12" ht="15.95" customHeight="1" x14ac:dyDescent="0.25">
      <c r="B86" s="98">
        <v>82</v>
      </c>
      <c r="C86" s="99"/>
      <c r="D86" s="100"/>
      <c r="E86" s="101"/>
      <c r="F86" s="197"/>
      <c r="G86" s="197"/>
      <c r="H86" s="197"/>
      <c r="I86" s="197"/>
      <c r="J86" s="197"/>
      <c r="K86" s="50">
        <f t="shared" si="2"/>
        <v>56484482</v>
      </c>
      <c r="L86" s="100"/>
    </row>
    <row r="87" spans="2:12" ht="15.95" customHeight="1" x14ac:dyDescent="0.25">
      <c r="B87" s="95">
        <v>83</v>
      </c>
      <c r="C87" s="86"/>
      <c r="D87" s="96"/>
      <c r="E87" s="97"/>
      <c r="F87" s="198"/>
      <c r="G87" s="198"/>
      <c r="H87" s="198"/>
      <c r="I87" s="198"/>
      <c r="J87" s="198"/>
      <c r="K87" s="48">
        <f t="shared" si="2"/>
        <v>56484482</v>
      </c>
      <c r="L87" s="96"/>
    </row>
    <row r="88" spans="2:12" ht="15.95" customHeight="1" x14ac:dyDescent="0.25">
      <c r="B88" s="98">
        <v>84</v>
      </c>
      <c r="C88" s="99"/>
      <c r="D88" s="100"/>
      <c r="E88" s="101"/>
      <c r="F88" s="197"/>
      <c r="G88" s="197"/>
      <c r="H88" s="197"/>
      <c r="I88" s="197"/>
      <c r="J88" s="197"/>
      <c r="K88" s="50">
        <f t="shared" si="2"/>
        <v>56484482</v>
      </c>
      <c r="L88" s="100"/>
    </row>
    <row r="89" spans="2:12" ht="15.95" customHeight="1" x14ac:dyDescent="0.25">
      <c r="B89" s="95">
        <v>85</v>
      </c>
      <c r="C89" s="86"/>
      <c r="D89" s="96"/>
      <c r="E89" s="97"/>
      <c r="F89" s="198"/>
      <c r="G89" s="198"/>
      <c r="H89" s="198"/>
      <c r="I89" s="198"/>
      <c r="J89" s="198"/>
      <c r="K89" s="48">
        <f t="shared" si="2"/>
        <v>56484482</v>
      </c>
      <c r="L89" s="96"/>
    </row>
    <row r="90" spans="2:12" ht="15.95" customHeight="1" x14ac:dyDescent="0.25">
      <c r="B90" s="98">
        <v>86</v>
      </c>
      <c r="C90" s="99"/>
      <c r="D90" s="100"/>
      <c r="E90" s="101"/>
      <c r="F90" s="197"/>
      <c r="G90" s="197"/>
      <c r="H90" s="197"/>
      <c r="I90" s="197"/>
      <c r="J90" s="197"/>
      <c r="K90" s="50">
        <f t="shared" si="2"/>
        <v>56484482</v>
      </c>
      <c r="L90" s="100"/>
    </row>
    <row r="91" spans="2:12" ht="15.95" customHeight="1" x14ac:dyDescent="0.25">
      <c r="B91" s="95">
        <v>87</v>
      </c>
      <c r="C91" s="86"/>
      <c r="D91" s="96"/>
      <c r="E91" s="97"/>
      <c r="F91" s="198"/>
      <c r="G91" s="198"/>
      <c r="H91" s="198"/>
      <c r="I91" s="198"/>
      <c r="J91" s="198"/>
      <c r="K91" s="48">
        <f t="shared" si="2"/>
        <v>56484482</v>
      </c>
      <c r="L91" s="96"/>
    </row>
    <row r="92" spans="2:12" ht="15.95" customHeight="1" x14ac:dyDescent="0.25">
      <c r="B92" s="98">
        <v>88</v>
      </c>
      <c r="C92" s="99"/>
      <c r="D92" s="100"/>
      <c r="E92" s="101"/>
      <c r="F92" s="197"/>
      <c r="G92" s="197"/>
      <c r="H92" s="197"/>
      <c r="I92" s="197"/>
      <c r="J92" s="197"/>
      <c r="K92" s="50">
        <f t="shared" si="2"/>
        <v>56484482</v>
      </c>
      <c r="L92" s="100"/>
    </row>
    <row r="93" spans="2:12" ht="15.95" customHeight="1" x14ac:dyDescent="0.25">
      <c r="B93" s="95">
        <v>89</v>
      </c>
      <c r="C93" s="86"/>
      <c r="D93" s="96"/>
      <c r="E93" s="97"/>
      <c r="F93" s="198"/>
      <c r="G93" s="198"/>
      <c r="H93" s="198"/>
      <c r="I93" s="198"/>
      <c r="J93" s="198"/>
      <c r="K93" s="48">
        <f t="shared" si="2"/>
        <v>56484482</v>
      </c>
      <c r="L93" s="96"/>
    </row>
    <row r="94" spans="2:12" ht="15.95" customHeight="1" x14ac:dyDescent="0.25">
      <c r="B94" s="98">
        <v>90</v>
      </c>
      <c r="C94" s="99"/>
      <c r="D94" s="100"/>
      <c r="E94" s="101"/>
      <c r="F94" s="197"/>
      <c r="G94" s="197"/>
      <c r="H94" s="197"/>
      <c r="I94" s="197"/>
      <c r="J94" s="197"/>
      <c r="K94" s="50">
        <f t="shared" si="2"/>
        <v>56484482</v>
      </c>
      <c r="L94" s="100"/>
    </row>
    <row r="95" spans="2:12" ht="15.95" customHeight="1" x14ac:dyDescent="0.25">
      <c r="B95" s="95">
        <v>91</v>
      </c>
      <c r="C95" s="86"/>
      <c r="D95" s="96"/>
      <c r="E95" s="97"/>
      <c r="F95" s="198"/>
      <c r="G95" s="198"/>
      <c r="H95" s="198"/>
      <c r="I95" s="198"/>
      <c r="J95" s="198"/>
      <c r="K95" s="48">
        <f t="shared" si="2"/>
        <v>56484482</v>
      </c>
      <c r="L95" s="96"/>
    </row>
    <row r="96" spans="2:12" ht="15.95" customHeight="1" x14ac:dyDescent="0.25">
      <c r="B96" s="98">
        <v>92</v>
      </c>
      <c r="C96" s="99"/>
      <c r="D96" s="100"/>
      <c r="E96" s="101"/>
      <c r="F96" s="197"/>
      <c r="G96" s="197"/>
      <c r="H96" s="197"/>
      <c r="I96" s="197"/>
      <c r="J96" s="197"/>
      <c r="K96" s="50">
        <f t="shared" si="2"/>
        <v>56484482</v>
      </c>
      <c r="L96" s="100"/>
    </row>
    <row r="97" spans="2:12" ht="15.95" customHeight="1" x14ac:dyDescent="0.25">
      <c r="B97" s="95">
        <v>93</v>
      </c>
      <c r="C97" s="86"/>
      <c r="D97" s="96"/>
      <c r="E97" s="97"/>
      <c r="F97" s="198"/>
      <c r="G97" s="198"/>
      <c r="H97" s="198"/>
      <c r="I97" s="198"/>
      <c r="J97" s="198"/>
      <c r="K97" s="48">
        <f t="shared" si="2"/>
        <v>56484482</v>
      </c>
      <c r="L97" s="96"/>
    </row>
    <row r="98" spans="2:12" ht="15.95" customHeight="1" x14ac:dyDescent="0.25">
      <c r="B98" s="98">
        <v>94</v>
      </c>
      <c r="C98" s="99"/>
      <c r="D98" s="100"/>
      <c r="E98" s="101"/>
      <c r="F98" s="197"/>
      <c r="G98" s="197"/>
      <c r="H98" s="197"/>
      <c r="I98" s="197"/>
      <c r="J98" s="197"/>
      <c r="K98" s="50">
        <f t="shared" si="2"/>
        <v>56484482</v>
      </c>
      <c r="L98" s="100"/>
    </row>
    <row r="99" spans="2:12" ht="15.95" customHeight="1" x14ac:dyDescent="0.25">
      <c r="B99" s="95">
        <v>95</v>
      </c>
      <c r="C99" s="86"/>
      <c r="D99" s="96"/>
      <c r="E99" s="97"/>
      <c r="F99" s="198"/>
      <c r="G99" s="198"/>
      <c r="H99" s="198"/>
      <c r="I99" s="198"/>
      <c r="J99" s="198"/>
      <c r="K99" s="48">
        <f t="shared" si="2"/>
        <v>56484482</v>
      </c>
      <c r="L99" s="96"/>
    </row>
    <row r="100" spans="2:12" ht="15.95" customHeight="1" x14ac:dyDescent="0.25">
      <c r="B100" s="98">
        <v>96</v>
      </c>
      <c r="C100" s="99"/>
      <c r="D100" s="100"/>
      <c r="E100" s="101"/>
      <c r="F100" s="197"/>
      <c r="G100" s="197"/>
      <c r="H100" s="197"/>
      <c r="I100" s="197"/>
      <c r="J100" s="197"/>
      <c r="K100" s="50">
        <f t="shared" si="2"/>
        <v>56484482</v>
      </c>
      <c r="L100" s="100"/>
    </row>
    <row r="101" spans="2:12" ht="15.95" customHeight="1" x14ac:dyDescent="0.25">
      <c r="B101" s="95">
        <v>97</v>
      </c>
      <c r="C101" s="86"/>
      <c r="D101" s="96"/>
      <c r="E101" s="97"/>
      <c r="F101" s="198"/>
      <c r="G101" s="198"/>
      <c r="H101" s="198"/>
      <c r="I101" s="198"/>
      <c r="J101" s="198"/>
      <c r="K101" s="48">
        <f t="shared" ref="K101:K132" si="3">K100+IF(F101="",0,F101)+IF(G101="",0,G101)-IF(H101="",0,H101)-IF(I101="",0,I101)+IF(J101="",0,J101)</f>
        <v>56484482</v>
      </c>
      <c r="L101" s="96"/>
    </row>
    <row r="102" spans="2:12" ht="15.95" customHeight="1" x14ac:dyDescent="0.25">
      <c r="B102" s="98">
        <v>98</v>
      </c>
      <c r="C102" s="99"/>
      <c r="D102" s="100"/>
      <c r="E102" s="101"/>
      <c r="F102" s="197"/>
      <c r="G102" s="197"/>
      <c r="H102" s="197"/>
      <c r="I102" s="197"/>
      <c r="J102" s="197"/>
      <c r="K102" s="50">
        <f t="shared" si="3"/>
        <v>56484482</v>
      </c>
      <c r="L102" s="100"/>
    </row>
    <row r="103" spans="2:12" ht="15.95" customHeight="1" x14ac:dyDescent="0.25">
      <c r="B103" s="95">
        <v>99</v>
      </c>
      <c r="C103" s="86"/>
      <c r="D103" s="96"/>
      <c r="E103" s="97"/>
      <c r="F103" s="198"/>
      <c r="G103" s="198"/>
      <c r="H103" s="198"/>
      <c r="I103" s="198"/>
      <c r="J103" s="198"/>
      <c r="K103" s="48">
        <f t="shared" si="3"/>
        <v>56484482</v>
      </c>
      <c r="L103" s="96"/>
    </row>
    <row r="104" spans="2:12" ht="15.95" customHeight="1" x14ac:dyDescent="0.25">
      <c r="B104" s="98">
        <v>100</v>
      </c>
      <c r="C104" s="99"/>
      <c r="D104" s="100"/>
      <c r="E104" s="101"/>
      <c r="F104" s="197"/>
      <c r="G104" s="197"/>
      <c r="H104" s="197"/>
      <c r="I104" s="197"/>
      <c r="J104" s="197"/>
      <c r="K104" s="50">
        <f t="shared" si="3"/>
        <v>56484482</v>
      </c>
      <c r="L104" s="100"/>
    </row>
    <row r="105" spans="2:12" ht="15.95" customHeight="1" x14ac:dyDescent="0.25">
      <c r="B105" s="95">
        <v>101</v>
      </c>
      <c r="C105" s="86"/>
      <c r="D105" s="96"/>
      <c r="E105" s="97"/>
      <c r="F105" s="198"/>
      <c r="G105" s="198"/>
      <c r="H105" s="198"/>
      <c r="I105" s="198"/>
      <c r="J105" s="198"/>
      <c r="K105" s="48">
        <f t="shared" si="3"/>
        <v>56484482</v>
      </c>
      <c r="L105" s="96"/>
    </row>
    <row r="106" spans="2:12" ht="15.95" customHeight="1" x14ac:dyDescent="0.25">
      <c r="B106" s="98">
        <v>102</v>
      </c>
      <c r="C106" s="99"/>
      <c r="D106" s="100"/>
      <c r="E106" s="101"/>
      <c r="F106" s="197"/>
      <c r="G106" s="197"/>
      <c r="H106" s="197"/>
      <c r="I106" s="197"/>
      <c r="J106" s="197"/>
      <c r="K106" s="50">
        <f t="shared" si="3"/>
        <v>56484482</v>
      </c>
      <c r="L106" s="100"/>
    </row>
    <row r="107" spans="2:12" ht="15.95" customHeight="1" x14ac:dyDescent="0.25">
      <c r="B107" s="95">
        <v>103</v>
      </c>
      <c r="C107" s="86"/>
      <c r="D107" s="96"/>
      <c r="E107" s="97"/>
      <c r="F107" s="198"/>
      <c r="G107" s="198"/>
      <c r="H107" s="198"/>
      <c r="I107" s="198"/>
      <c r="J107" s="198"/>
      <c r="K107" s="48">
        <f t="shared" si="3"/>
        <v>56484482</v>
      </c>
      <c r="L107" s="96"/>
    </row>
    <row r="108" spans="2:12" ht="15.95" customHeight="1" x14ac:dyDescent="0.25">
      <c r="B108" s="98">
        <v>104</v>
      </c>
      <c r="C108" s="99"/>
      <c r="D108" s="100"/>
      <c r="E108" s="101"/>
      <c r="F108" s="197"/>
      <c r="G108" s="197"/>
      <c r="H108" s="197"/>
      <c r="I108" s="197"/>
      <c r="J108" s="197"/>
      <c r="K108" s="50">
        <f t="shared" si="3"/>
        <v>56484482</v>
      </c>
      <c r="L108" s="100"/>
    </row>
    <row r="109" spans="2:12" ht="15.95" customHeight="1" x14ac:dyDescent="0.25">
      <c r="B109" s="95">
        <v>105</v>
      </c>
      <c r="C109" s="86"/>
      <c r="D109" s="96"/>
      <c r="E109" s="97"/>
      <c r="F109" s="198"/>
      <c r="G109" s="198"/>
      <c r="H109" s="198"/>
      <c r="I109" s="198"/>
      <c r="J109" s="198"/>
      <c r="K109" s="48">
        <f t="shared" si="3"/>
        <v>56484482</v>
      </c>
      <c r="L109" s="96"/>
    </row>
    <row r="110" spans="2:12" ht="15.95" customHeight="1" x14ac:dyDescent="0.25">
      <c r="B110" s="98">
        <v>106</v>
      </c>
      <c r="C110" s="99"/>
      <c r="D110" s="100"/>
      <c r="E110" s="101"/>
      <c r="F110" s="197"/>
      <c r="G110" s="197"/>
      <c r="H110" s="197"/>
      <c r="I110" s="197"/>
      <c r="J110" s="197"/>
      <c r="K110" s="50">
        <f t="shared" si="3"/>
        <v>56484482</v>
      </c>
      <c r="L110" s="100"/>
    </row>
    <row r="111" spans="2:12" ht="15.95" customHeight="1" x14ac:dyDescent="0.25">
      <c r="B111" s="95">
        <v>107</v>
      </c>
      <c r="C111" s="86"/>
      <c r="D111" s="96"/>
      <c r="E111" s="97"/>
      <c r="F111" s="198"/>
      <c r="G111" s="198"/>
      <c r="H111" s="198"/>
      <c r="I111" s="198"/>
      <c r="J111" s="198"/>
      <c r="K111" s="48">
        <f t="shared" si="3"/>
        <v>56484482</v>
      </c>
      <c r="L111" s="96"/>
    </row>
    <row r="112" spans="2:12" ht="15.95" customHeight="1" x14ac:dyDescent="0.25">
      <c r="B112" s="98">
        <v>108</v>
      </c>
      <c r="C112" s="99"/>
      <c r="D112" s="100"/>
      <c r="E112" s="101"/>
      <c r="F112" s="197"/>
      <c r="G112" s="197"/>
      <c r="H112" s="197"/>
      <c r="I112" s="197"/>
      <c r="J112" s="197"/>
      <c r="K112" s="50">
        <f t="shared" si="3"/>
        <v>56484482</v>
      </c>
      <c r="L112" s="100"/>
    </row>
    <row r="113" spans="2:12" ht="15.95" customHeight="1" x14ac:dyDescent="0.25">
      <c r="B113" s="95">
        <v>109</v>
      </c>
      <c r="C113" s="86"/>
      <c r="D113" s="96"/>
      <c r="E113" s="97"/>
      <c r="F113" s="198"/>
      <c r="G113" s="198"/>
      <c r="H113" s="198"/>
      <c r="I113" s="198"/>
      <c r="J113" s="198"/>
      <c r="K113" s="48">
        <f t="shared" si="3"/>
        <v>56484482</v>
      </c>
      <c r="L113" s="96"/>
    </row>
    <row r="114" spans="2:12" ht="15.95" customHeight="1" x14ac:dyDescent="0.25">
      <c r="B114" s="98">
        <v>110</v>
      </c>
      <c r="C114" s="99"/>
      <c r="D114" s="100"/>
      <c r="E114" s="101"/>
      <c r="F114" s="197"/>
      <c r="G114" s="197"/>
      <c r="H114" s="197"/>
      <c r="I114" s="197"/>
      <c r="J114" s="197"/>
      <c r="K114" s="50">
        <f t="shared" si="3"/>
        <v>56484482</v>
      </c>
      <c r="L114" s="100"/>
    </row>
    <row r="115" spans="2:12" ht="15.95" customHeight="1" x14ac:dyDescent="0.25">
      <c r="B115" s="95">
        <v>111</v>
      </c>
      <c r="C115" s="86"/>
      <c r="D115" s="96"/>
      <c r="E115" s="97"/>
      <c r="F115" s="198"/>
      <c r="G115" s="198"/>
      <c r="H115" s="198"/>
      <c r="I115" s="198"/>
      <c r="J115" s="198"/>
      <c r="K115" s="48">
        <f t="shared" si="3"/>
        <v>56484482</v>
      </c>
      <c r="L115" s="96"/>
    </row>
    <row r="116" spans="2:12" ht="15.95" customHeight="1" x14ac:dyDescent="0.25">
      <c r="B116" s="98">
        <v>112</v>
      </c>
      <c r="C116" s="99"/>
      <c r="D116" s="100"/>
      <c r="E116" s="101"/>
      <c r="F116" s="197"/>
      <c r="G116" s="197"/>
      <c r="H116" s="197"/>
      <c r="I116" s="197"/>
      <c r="J116" s="197"/>
      <c r="K116" s="50">
        <f t="shared" si="3"/>
        <v>56484482</v>
      </c>
      <c r="L116" s="100"/>
    </row>
    <row r="117" spans="2:12" ht="15.95" customHeight="1" x14ac:dyDescent="0.25">
      <c r="B117" s="95">
        <v>113</v>
      </c>
      <c r="C117" s="86"/>
      <c r="D117" s="96"/>
      <c r="E117" s="97"/>
      <c r="F117" s="198"/>
      <c r="G117" s="198"/>
      <c r="H117" s="198"/>
      <c r="I117" s="198"/>
      <c r="J117" s="198"/>
      <c r="K117" s="48">
        <f t="shared" si="3"/>
        <v>56484482</v>
      </c>
      <c r="L117" s="96"/>
    </row>
    <row r="118" spans="2:12" ht="15.95" customHeight="1" x14ac:dyDescent="0.25">
      <c r="B118" s="98">
        <v>114</v>
      </c>
      <c r="C118" s="99"/>
      <c r="D118" s="100"/>
      <c r="E118" s="101"/>
      <c r="F118" s="197"/>
      <c r="G118" s="197"/>
      <c r="H118" s="197"/>
      <c r="I118" s="197"/>
      <c r="J118" s="197"/>
      <c r="K118" s="50">
        <f t="shared" si="3"/>
        <v>56484482</v>
      </c>
      <c r="L118" s="100"/>
    </row>
    <row r="119" spans="2:12" ht="15.95" customHeight="1" x14ac:dyDescent="0.25">
      <c r="B119" s="95">
        <v>115</v>
      </c>
      <c r="C119" s="86"/>
      <c r="D119" s="96"/>
      <c r="E119" s="97"/>
      <c r="F119" s="198"/>
      <c r="G119" s="198"/>
      <c r="H119" s="198"/>
      <c r="I119" s="198"/>
      <c r="J119" s="198"/>
      <c r="K119" s="48">
        <f t="shared" si="3"/>
        <v>56484482</v>
      </c>
      <c r="L119" s="96"/>
    </row>
    <row r="120" spans="2:12" ht="15.95" customHeight="1" x14ac:dyDescent="0.25">
      <c r="B120" s="98">
        <v>116</v>
      </c>
      <c r="C120" s="99"/>
      <c r="D120" s="100"/>
      <c r="E120" s="101"/>
      <c r="F120" s="197"/>
      <c r="G120" s="197"/>
      <c r="H120" s="197"/>
      <c r="I120" s="197"/>
      <c r="J120" s="197"/>
      <c r="K120" s="50">
        <f t="shared" si="3"/>
        <v>56484482</v>
      </c>
      <c r="L120" s="100"/>
    </row>
    <row r="121" spans="2:12" ht="15.95" customHeight="1" x14ac:dyDescent="0.25">
      <c r="B121" s="95">
        <v>117</v>
      </c>
      <c r="C121" s="86"/>
      <c r="D121" s="96"/>
      <c r="E121" s="97"/>
      <c r="F121" s="198"/>
      <c r="G121" s="198"/>
      <c r="H121" s="198"/>
      <c r="I121" s="198"/>
      <c r="J121" s="198"/>
      <c r="K121" s="48">
        <f t="shared" si="3"/>
        <v>56484482</v>
      </c>
      <c r="L121" s="96"/>
    </row>
    <row r="122" spans="2:12" ht="15.95" customHeight="1" x14ac:dyDescent="0.25">
      <c r="B122" s="98">
        <v>118</v>
      </c>
      <c r="C122" s="99"/>
      <c r="D122" s="100"/>
      <c r="E122" s="101"/>
      <c r="F122" s="197"/>
      <c r="G122" s="197"/>
      <c r="H122" s="197"/>
      <c r="I122" s="197"/>
      <c r="J122" s="197"/>
      <c r="K122" s="50">
        <f t="shared" si="3"/>
        <v>56484482</v>
      </c>
      <c r="L122" s="100"/>
    </row>
    <row r="123" spans="2:12" ht="15.95" customHeight="1" x14ac:dyDescent="0.25">
      <c r="B123" s="95">
        <v>119</v>
      </c>
      <c r="C123" s="86"/>
      <c r="D123" s="96"/>
      <c r="E123" s="97"/>
      <c r="F123" s="198"/>
      <c r="G123" s="198"/>
      <c r="H123" s="198"/>
      <c r="I123" s="198"/>
      <c r="J123" s="198"/>
      <c r="K123" s="48">
        <f t="shared" si="3"/>
        <v>56484482</v>
      </c>
      <c r="L123" s="96"/>
    </row>
    <row r="124" spans="2:12" ht="15.95" customHeight="1" x14ac:dyDescent="0.25">
      <c r="B124" s="98">
        <v>120</v>
      </c>
      <c r="C124" s="99"/>
      <c r="D124" s="100"/>
      <c r="E124" s="101"/>
      <c r="F124" s="197"/>
      <c r="G124" s="197"/>
      <c r="H124" s="197"/>
      <c r="I124" s="197"/>
      <c r="J124" s="197"/>
      <c r="K124" s="50">
        <f t="shared" si="3"/>
        <v>56484482</v>
      </c>
      <c r="L124" s="100"/>
    </row>
    <row r="125" spans="2:12" ht="15.95" customHeight="1" x14ac:dyDescent="0.25">
      <c r="B125" s="95">
        <v>121</v>
      </c>
      <c r="C125" s="86"/>
      <c r="D125" s="96"/>
      <c r="E125" s="97"/>
      <c r="F125" s="198"/>
      <c r="G125" s="198"/>
      <c r="H125" s="198"/>
      <c r="I125" s="198"/>
      <c r="J125" s="198"/>
      <c r="K125" s="48">
        <f t="shared" si="3"/>
        <v>56484482</v>
      </c>
      <c r="L125" s="96"/>
    </row>
    <row r="126" spans="2:12" ht="15.95" customHeight="1" x14ac:dyDescent="0.25">
      <c r="B126" s="98">
        <v>122</v>
      </c>
      <c r="C126" s="99"/>
      <c r="D126" s="100"/>
      <c r="E126" s="101"/>
      <c r="F126" s="197"/>
      <c r="G126" s="197"/>
      <c r="H126" s="197"/>
      <c r="I126" s="197"/>
      <c r="J126" s="197"/>
      <c r="K126" s="50">
        <f t="shared" si="3"/>
        <v>56484482</v>
      </c>
      <c r="L126" s="100"/>
    </row>
    <row r="127" spans="2:12" ht="15.95" customHeight="1" x14ac:dyDescent="0.25">
      <c r="B127" s="95">
        <v>123</v>
      </c>
      <c r="C127" s="86"/>
      <c r="D127" s="96"/>
      <c r="E127" s="97"/>
      <c r="F127" s="198"/>
      <c r="G127" s="198"/>
      <c r="H127" s="198"/>
      <c r="I127" s="198"/>
      <c r="J127" s="198"/>
      <c r="K127" s="48">
        <f t="shared" si="3"/>
        <v>56484482</v>
      </c>
      <c r="L127" s="96"/>
    </row>
    <row r="128" spans="2:12" ht="15.95" customHeight="1" x14ac:dyDescent="0.25">
      <c r="B128" s="98">
        <v>124</v>
      </c>
      <c r="C128" s="99"/>
      <c r="D128" s="100"/>
      <c r="E128" s="101"/>
      <c r="F128" s="197"/>
      <c r="G128" s="197"/>
      <c r="H128" s="197"/>
      <c r="I128" s="197"/>
      <c r="J128" s="197"/>
      <c r="K128" s="50">
        <f t="shared" si="3"/>
        <v>56484482</v>
      </c>
      <c r="L128" s="100"/>
    </row>
    <row r="129" spans="2:12" ht="15.95" customHeight="1" x14ac:dyDescent="0.25">
      <c r="B129" s="95">
        <v>125</v>
      </c>
      <c r="C129" s="86"/>
      <c r="D129" s="96"/>
      <c r="E129" s="97"/>
      <c r="F129" s="198"/>
      <c r="G129" s="198"/>
      <c r="H129" s="198"/>
      <c r="I129" s="198"/>
      <c r="J129" s="198"/>
      <c r="K129" s="48">
        <f t="shared" si="3"/>
        <v>56484482</v>
      </c>
      <c r="L129" s="96"/>
    </row>
    <row r="130" spans="2:12" ht="15.95" customHeight="1" x14ac:dyDescent="0.25">
      <c r="B130" s="98">
        <v>126</v>
      </c>
      <c r="C130" s="99"/>
      <c r="D130" s="100"/>
      <c r="E130" s="101"/>
      <c r="F130" s="197"/>
      <c r="G130" s="197"/>
      <c r="H130" s="197"/>
      <c r="I130" s="197"/>
      <c r="J130" s="197"/>
      <c r="K130" s="50">
        <f t="shared" si="3"/>
        <v>56484482</v>
      </c>
      <c r="L130" s="100"/>
    </row>
    <row r="131" spans="2:12" ht="15.95" customHeight="1" x14ac:dyDescent="0.25">
      <c r="B131" s="95">
        <v>127</v>
      </c>
      <c r="C131" s="86"/>
      <c r="D131" s="96"/>
      <c r="E131" s="97"/>
      <c r="F131" s="198"/>
      <c r="G131" s="198"/>
      <c r="H131" s="198"/>
      <c r="I131" s="198"/>
      <c r="J131" s="198"/>
      <c r="K131" s="48">
        <f t="shared" si="3"/>
        <v>56484482</v>
      </c>
      <c r="L131" s="96"/>
    </row>
    <row r="132" spans="2:12" ht="15.95" customHeight="1" x14ac:dyDescent="0.25">
      <c r="B132" s="98">
        <v>128</v>
      </c>
      <c r="C132" s="99"/>
      <c r="D132" s="100"/>
      <c r="E132" s="101"/>
      <c r="F132" s="197"/>
      <c r="G132" s="197"/>
      <c r="H132" s="197"/>
      <c r="I132" s="197"/>
      <c r="J132" s="197"/>
      <c r="K132" s="50">
        <f t="shared" si="3"/>
        <v>56484482</v>
      </c>
      <c r="L132" s="100"/>
    </row>
    <row r="133" spans="2:12" ht="15.95" customHeight="1" x14ac:dyDescent="0.25">
      <c r="B133" s="95">
        <v>129</v>
      </c>
      <c r="C133" s="86"/>
      <c r="D133" s="96"/>
      <c r="E133" s="97"/>
      <c r="F133" s="198"/>
      <c r="G133" s="198"/>
      <c r="H133" s="198"/>
      <c r="I133" s="198"/>
      <c r="J133" s="198"/>
      <c r="K133" s="48">
        <f t="shared" ref="K133:K164" si="4">K132+IF(F133="",0,F133)+IF(G133="",0,G133)-IF(H133="",0,H133)-IF(I133="",0,I133)+IF(J133="",0,J133)</f>
        <v>56484482</v>
      </c>
      <c r="L133" s="96"/>
    </row>
    <row r="134" spans="2:12" ht="15.95" customHeight="1" x14ac:dyDescent="0.25">
      <c r="B134" s="98">
        <v>130</v>
      </c>
      <c r="C134" s="99"/>
      <c r="D134" s="100"/>
      <c r="E134" s="101"/>
      <c r="F134" s="197"/>
      <c r="G134" s="197"/>
      <c r="H134" s="197"/>
      <c r="I134" s="197"/>
      <c r="J134" s="197"/>
      <c r="K134" s="50">
        <f t="shared" si="4"/>
        <v>56484482</v>
      </c>
      <c r="L134" s="100"/>
    </row>
    <row r="135" spans="2:12" ht="15.95" customHeight="1" x14ac:dyDescent="0.25">
      <c r="B135" s="95">
        <v>131</v>
      </c>
      <c r="C135" s="86"/>
      <c r="D135" s="96"/>
      <c r="E135" s="97"/>
      <c r="F135" s="198"/>
      <c r="G135" s="198"/>
      <c r="H135" s="198"/>
      <c r="I135" s="198"/>
      <c r="J135" s="198"/>
      <c r="K135" s="48">
        <f t="shared" si="4"/>
        <v>56484482</v>
      </c>
      <c r="L135" s="96"/>
    </row>
    <row r="136" spans="2:12" ht="15.95" customHeight="1" x14ac:dyDescent="0.25">
      <c r="B136" s="98">
        <v>132</v>
      </c>
      <c r="C136" s="99"/>
      <c r="D136" s="100"/>
      <c r="E136" s="101"/>
      <c r="F136" s="197"/>
      <c r="G136" s="197"/>
      <c r="H136" s="197"/>
      <c r="I136" s="197"/>
      <c r="J136" s="197"/>
      <c r="K136" s="50">
        <f t="shared" si="4"/>
        <v>56484482</v>
      </c>
      <c r="L136" s="100"/>
    </row>
    <row r="137" spans="2:12" ht="15.95" customHeight="1" x14ac:dyDescent="0.25">
      <c r="B137" s="95">
        <v>133</v>
      </c>
      <c r="C137" s="86"/>
      <c r="D137" s="96"/>
      <c r="E137" s="97"/>
      <c r="F137" s="198"/>
      <c r="G137" s="198"/>
      <c r="H137" s="198"/>
      <c r="I137" s="198"/>
      <c r="J137" s="198"/>
      <c r="K137" s="48">
        <f t="shared" si="4"/>
        <v>56484482</v>
      </c>
      <c r="L137" s="96"/>
    </row>
    <row r="138" spans="2:12" ht="15.95" customHeight="1" x14ac:dyDescent="0.25">
      <c r="B138" s="98">
        <v>134</v>
      </c>
      <c r="C138" s="99"/>
      <c r="D138" s="100"/>
      <c r="E138" s="101"/>
      <c r="F138" s="197"/>
      <c r="G138" s="197"/>
      <c r="H138" s="197"/>
      <c r="I138" s="197"/>
      <c r="J138" s="197"/>
      <c r="K138" s="50">
        <f t="shared" si="4"/>
        <v>56484482</v>
      </c>
      <c r="L138" s="100"/>
    </row>
    <row r="139" spans="2:12" ht="15.95" customHeight="1" x14ac:dyDescent="0.25">
      <c r="B139" s="95">
        <v>135</v>
      </c>
      <c r="C139" s="86"/>
      <c r="D139" s="96"/>
      <c r="E139" s="97"/>
      <c r="F139" s="198"/>
      <c r="G139" s="198"/>
      <c r="H139" s="198"/>
      <c r="I139" s="198"/>
      <c r="J139" s="198"/>
      <c r="K139" s="48">
        <f t="shared" si="4"/>
        <v>56484482</v>
      </c>
      <c r="L139" s="96"/>
    </row>
    <row r="140" spans="2:12" ht="15.95" customHeight="1" x14ac:dyDescent="0.25">
      <c r="B140" s="98">
        <v>136</v>
      </c>
      <c r="C140" s="99"/>
      <c r="D140" s="100"/>
      <c r="E140" s="101"/>
      <c r="F140" s="197"/>
      <c r="G140" s="197"/>
      <c r="H140" s="197"/>
      <c r="I140" s="197"/>
      <c r="J140" s="197"/>
      <c r="K140" s="50">
        <f t="shared" si="4"/>
        <v>56484482</v>
      </c>
      <c r="L140" s="100"/>
    </row>
    <row r="141" spans="2:12" ht="15.95" customHeight="1" x14ac:dyDescent="0.25">
      <c r="B141" s="95">
        <v>137</v>
      </c>
      <c r="C141" s="86"/>
      <c r="D141" s="96"/>
      <c r="E141" s="97"/>
      <c r="F141" s="198"/>
      <c r="G141" s="198"/>
      <c r="H141" s="198"/>
      <c r="I141" s="198"/>
      <c r="J141" s="198"/>
      <c r="K141" s="48">
        <f t="shared" si="4"/>
        <v>56484482</v>
      </c>
      <c r="L141" s="96"/>
    </row>
    <row r="142" spans="2:12" ht="15.95" customHeight="1" x14ac:dyDescent="0.25">
      <c r="B142" s="98">
        <v>138</v>
      </c>
      <c r="C142" s="99"/>
      <c r="D142" s="100"/>
      <c r="E142" s="101"/>
      <c r="F142" s="197"/>
      <c r="G142" s="197"/>
      <c r="H142" s="197"/>
      <c r="I142" s="197"/>
      <c r="J142" s="197"/>
      <c r="K142" s="50">
        <f t="shared" si="4"/>
        <v>56484482</v>
      </c>
      <c r="L142" s="100"/>
    </row>
    <row r="143" spans="2:12" ht="15.95" customHeight="1" x14ac:dyDescent="0.25">
      <c r="B143" s="95">
        <v>139</v>
      </c>
      <c r="C143" s="86"/>
      <c r="D143" s="96"/>
      <c r="E143" s="97"/>
      <c r="F143" s="198"/>
      <c r="G143" s="198"/>
      <c r="H143" s="198"/>
      <c r="I143" s="198"/>
      <c r="J143" s="198"/>
      <c r="K143" s="48">
        <f t="shared" si="4"/>
        <v>56484482</v>
      </c>
      <c r="L143" s="96"/>
    </row>
    <row r="144" spans="2:12" ht="15.95" customHeight="1" x14ac:dyDescent="0.25">
      <c r="B144" s="98">
        <v>140</v>
      </c>
      <c r="C144" s="99"/>
      <c r="D144" s="100"/>
      <c r="E144" s="101"/>
      <c r="F144" s="197"/>
      <c r="G144" s="197"/>
      <c r="H144" s="197"/>
      <c r="I144" s="197"/>
      <c r="J144" s="197"/>
      <c r="K144" s="50">
        <f t="shared" si="4"/>
        <v>56484482</v>
      </c>
      <c r="L144" s="100"/>
    </row>
    <row r="145" spans="2:12" ht="15.95" customHeight="1" x14ac:dyDescent="0.25">
      <c r="B145" s="95">
        <v>141</v>
      </c>
      <c r="C145" s="86"/>
      <c r="D145" s="96"/>
      <c r="E145" s="97"/>
      <c r="F145" s="198"/>
      <c r="G145" s="198"/>
      <c r="H145" s="198"/>
      <c r="I145" s="198"/>
      <c r="J145" s="198"/>
      <c r="K145" s="48">
        <f t="shared" si="4"/>
        <v>56484482</v>
      </c>
      <c r="L145" s="96"/>
    </row>
    <row r="146" spans="2:12" ht="15.95" customHeight="1" x14ac:dyDescent="0.25">
      <c r="B146" s="98">
        <v>142</v>
      </c>
      <c r="C146" s="99"/>
      <c r="D146" s="100"/>
      <c r="E146" s="101"/>
      <c r="F146" s="197"/>
      <c r="G146" s="197"/>
      <c r="H146" s="197"/>
      <c r="I146" s="197"/>
      <c r="J146" s="197"/>
      <c r="K146" s="50">
        <f t="shared" si="4"/>
        <v>56484482</v>
      </c>
      <c r="L146" s="100"/>
    </row>
    <row r="147" spans="2:12" ht="15.95" customHeight="1" x14ac:dyDescent="0.25">
      <c r="B147" s="95">
        <v>143</v>
      </c>
      <c r="C147" s="86"/>
      <c r="D147" s="96"/>
      <c r="E147" s="97"/>
      <c r="F147" s="198"/>
      <c r="G147" s="198"/>
      <c r="H147" s="198"/>
      <c r="I147" s="198"/>
      <c r="J147" s="198"/>
      <c r="K147" s="48">
        <f t="shared" si="4"/>
        <v>56484482</v>
      </c>
      <c r="L147" s="96"/>
    </row>
    <row r="148" spans="2:12" ht="15.95" customHeight="1" x14ac:dyDescent="0.25">
      <c r="B148" s="98">
        <v>144</v>
      </c>
      <c r="C148" s="99"/>
      <c r="D148" s="100"/>
      <c r="E148" s="101"/>
      <c r="F148" s="197"/>
      <c r="G148" s="197"/>
      <c r="H148" s="197"/>
      <c r="I148" s="197"/>
      <c r="J148" s="197"/>
      <c r="K148" s="50">
        <f t="shared" si="4"/>
        <v>56484482</v>
      </c>
      <c r="L148" s="100"/>
    </row>
    <row r="149" spans="2:12" ht="15.95" customHeight="1" x14ac:dyDescent="0.25">
      <c r="B149" s="95">
        <v>145</v>
      </c>
      <c r="C149" s="86"/>
      <c r="D149" s="96"/>
      <c r="E149" s="97"/>
      <c r="F149" s="198"/>
      <c r="G149" s="198"/>
      <c r="H149" s="198"/>
      <c r="I149" s="198"/>
      <c r="J149" s="198"/>
      <c r="K149" s="48">
        <f t="shared" si="4"/>
        <v>56484482</v>
      </c>
      <c r="L149" s="96"/>
    </row>
    <row r="150" spans="2:12" ht="15.95" customHeight="1" x14ac:dyDescent="0.25">
      <c r="B150" s="98">
        <v>146</v>
      </c>
      <c r="C150" s="99"/>
      <c r="D150" s="100"/>
      <c r="E150" s="101"/>
      <c r="F150" s="197"/>
      <c r="G150" s="197"/>
      <c r="H150" s="197"/>
      <c r="I150" s="197"/>
      <c r="J150" s="197"/>
      <c r="K150" s="50">
        <f t="shared" si="4"/>
        <v>56484482</v>
      </c>
      <c r="L150" s="100"/>
    </row>
    <row r="151" spans="2:12" ht="15.95" customHeight="1" x14ac:dyDescent="0.25">
      <c r="B151" s="95">
        <v>147</v>
      </c>
      <c r="C151" s="86"/>
      <c r="D151" s="96"/>
      <c r="E151" s="97"/>
      <c r="F151" s="198"/>
      <c r="G151" s="198"/>
      <c r="H151" s="198"/>
      <c r="I151" s="198"/>
      <c r="J151" s="198"/>
      <c r="K151" s="48">
        <f t="shared" si="4"/>
        <v>56484482</v>
      </c>
      <c r="L151" s="96"/>
    </row>
    <row r="152" spans="2:12" ht="15.95" customHeight="1" x14ac:dyDescent="0.25">
      <c r="B152" s="98">
        <v>148</v>
      </c>
      <c r="C152" s="99"/>
      <c r="D152" s="100"/>
      <c r="E152" s="101"/>
      <c r="F152" s="197"/>
      <c r="G152" s="197"/>
      <c r="H152" s="197"/>
      <c r="I152" s="197"/>
      <c r="J152" s="197"/>
      <c r="K152" s="50">
        <f t="shared" si="4"/>
        <v>56484482</v>
      </c>
      <c r="L152" s="100"/>
    </row>
    <row r="153" spans="2:12" ht="15.95" customHeight="1" x14ac:dyDescent="0.25">
      <c r="B153" s="95">
        <v>149</v>
      </c>
      <c r="C153" s="86"/>
      <c r="D153" s="96"/>
      <c r="E153" s="97"/>
      <c r="F153" s="198"/>
      <c r="G153" s="198"/>
      <c r="H153" s="198"/>
      <c r="I153" s="198"/>
      <c r="J153" s="198"/>
      <c r="K153" s="48">
        <f t="shared" si="4"/>
        <v>56484482</v>
      </c>
      <c r="L153" s="96"/>
    </row>
    <row r="154" spans="2:12" ht="15.95" customHeight="1" x14ac:dyDescent="0.25">
      <c r="B154" s="98">
        <v>150</v>
      </c>
      <c r="C154" s="99"/>
      <c r="D154" s="100"/>
      <c r="E154" s="101"/>
      <c r="F154" s="197"/>
      <c r="G154" s="197"/>
      <c r="H154" s="197"/>
      <c r="I154" s="197"/>
      <c r="J154" s="197"/>
      <c r="K154" s="50">
        <f t="shared" si="4"/>
        <v>56484482</v>
      </c>
      <c r="L154" s="100"/>
    </row>
    <row r="155" spans="2:12" ht="15.95" customHeight="1" x14ac:dyDescent="0.25">
      <c r="B155" s="95">
        <v>151</v>
      </c>
      <c r="C155" s="86"/>
      <c r="D155" s="96"/>
      <c r="E155" s="97"/>
      <c r="F155" s="198"/>
      <c r="G155" s="198"/>
      <c r="H155" s="198"/>
      <c r="I155" s="198"/>
      <c r="J155" s="198"/>
      <c r="K155" s="48">
        <f t="shared" si="4"/>
        <v>56484482</v>
      </c>
      <c r="L155" s="96"/>
    </row>
    <row r="156" spans="2:12" ht="15.95" customHeight="1" x14ac:dyDescent="0.25">
      <c r="B156" s="98">
        <v>152</v>
      </c>
      <c r="C156" s="99"/>
      <c r="D156" s="100"/>
      <c r="E156" s="101"/>
      <c r="F156" s="197"/>
      <c r="G156" s="197"/>
      <c r="H156" s="197"/>
      <c r="I156" s="197"/>
      <c r="J156" s="197"/>
      <c r="K156" s="50">
        <f t="shared" si="4"/>
        <v>56484482</v>
      </c>
      <c r="L156" s="100"/>
    </row>
    <row r="157" spans="2:12" ht="15.95" customHeight="1" x14ac:dyDescent="0.25">
      <c r="B157" s="95">
        <v>153</v>
      </c>
      <c r="C157" s="86"/>
      <c r="D157" s="96"/>
      <c r="E157" s="97"/>
      <c r="F157" s="198"/>
      <c r="G157" s="198"/>
      <c r="H157" s="198"/>
      <c r="I157" s="198"/>
      <c r="J157" s="198"/>
      <c r="K157" s="48">
        <f t="shared" si="4"/>
        <v>56484482</v>
      </c>
      <c r="L157" s="96"/>
    </row>
    <row r="158" spans="2:12" ht="15.95" customHeight="1" x14ac:dyDescent="0.25">
      <c r="B158" s="98">
        <v>154</v>
      </c>
      <c r="C158" s="99"/>
      <c r="D158" s="100"/>
      <c r="E158" s="101"/>
      <c r="F158" s="197"/>
      <c r="G158" s="197"/>
      <c r="H158" s="197"/>
      <c r="I158" s="197"/>
      <c r="J158" s="197"/>
      <c r="K158" s="50">
        <f t="shared" si="4"/>
        <v>56484482</v>
      </c>
      <c r="L158" s="100"/>
    </row>
    <row r="159" spans="2:12" ht="15.95" customHeight="1" x14ac:dyDescent="0.25">
      <c r="B159" s="95">
        <v>155</v>
      </c>
      <c r="C159" s="86"/>
      <c r="D159" s="96"/>
      <c r="E159" s="97"/>
      <c r="F159" s="198"/>
      <c r="G159" s="198"/>
      <c r="H159" s="198"/>
      <c r="I159" s="198"/>
      <c r="J159" s="198"/>
      <c r="K159" s="48">
        <f t="shared" si="4"/>
        <v>56484482</v>
      </c>
      <c r="L159" s="96"/>
    </row>
    <row r="160" spans="2:12" ht="15.95" customHeight="1" x14ac:dyDescent="0.25">
      <c r="B160" s="98">
        <v>156</v>
      </c>
      <c r="C160" s="99"/>
      <c r="D160" s="100"/>
      <c r="E160" s="101"/>
      <c r="F160" s="197"/>
      <c r="G160" s="197"/>
      <c r="H160" s="197"/>
      <c r="I160" s="197"/>
      <c r="J160" s="197"/>
      <c r="K160" s="50">
        <f t="shared" si="4"/>
        <v>56484482</v>
      </c>
      <c r="L160" s="100"/>
    </row>
    <row r="161" spans="2:12" ht="15.95" customHeight="1" x14ac:dyDescent="0.25">
      <c r="B161" s="95">
        <v>157</v>
      </c>
      <c r="C161" s="86"/>
      <c r="D161" s="96"/>
      <c r="E161" s="97"/>
      <c r="F161" s="198"/>
      <c r="G161" s="198"/>
      <c r="H161" s="198"/>
      <c r="I161" s="198"/>
      <c r="J161" s="198"/>
      <c r="K161" s="48">
        <f t="shared" si="4"/>
        <v>56484482</v>
      </c>
      <c r="L161" s="96"/>
    </row>
    <row r="162" spans="2:12" ht="15.95" customHeight="1" x14ac:dyDescent="0.25">
      <c r="B162" s="98">
        <v>158</v>
      </c>
      <c r="C162" s="99"/>
      <c r="D162" s="100"/>
      <c r="E162" s="101"/>
      <c r="F162" s="197"/>
      <c r="G162" s="197"/>
      <c r="H162" s="197"/>
      <c r="I162" s="197"/>
      <c r="J162" s="197"/>
      <c r="K162" s="50">
        <f t="shared" si="4"/>
        <v>56484482</v>
      </c>
      <c r="L162" s="100"/>
    </row>
    <row r="163" spans="2:12" ht="15.95" customHeight="1" x14ac:dyDescent="0.25">
      <c r="B163" s="95">
        <v>159</v>
      </c>
      <c r="C163" s="86"/>
      <c r="D163" s="96"/>
      <c r="E163" s="97"/>
      <c r="F163" s="198"/>
      <c r="G163" s="198"/>
      <c r="H163" s="198"/>
      <c r="I163" s="198"/>
      <c r="J163" s="198"/>
      <c r="K163" s="48">
        <f t="shared" si="4"/>
        <v>56484482</v>
      </c>
      <c r="L163" s="96"/>
    </row>
    <row r="164" spans="2:12" ht="15.95" customHeight="1" x14ac:dyDescent="0.25">
      <c r="B164" s="98">
        <v>160</v>
      </c>
      <c r="C164" s="99"/>
      <c r="D164" s="100"/>
      <c r="E164" s="101"/>
      <c r="F164" s="197"/>
      <c r="G164" s="197"/>
      <c r="H164" s="197"/>
      <c r="I164" s="197"/>
      <c r="J164" s="197"/>
      <c r="K164" s="50">
        <f t="shared" si="4"/>
        <v>56484482</v>
      </c>
      <c r="L164" s="100"/>
    </row>
    <row r="165" spans="2:12" ht="15.95" customHeight="1" x14ac:dyDescent="0.25">
      <c r="B165" s="95">
        <v>161</v>
      </c>
      <c r="C165" s="86"/>
      <c r="D165" s="96"/>
      <c r="E165" s="97"/>
      <c r="F165" s="198"/>
      <c r="G165" s="198"/>
      <c r="H165" s="198"/>
      <c r="I165" s="198"/>
      <c r="J165" s="198"/>
      <c r="K165" s="48">
        <f t="shared" ref="K165:K196" si="5">K164+IF(F165="",0,F165)+IF(G165="",0,G165)-IF(H165="",0,H165)-IF(I165="",0,I165)+IF(J165="",0,J165)</f>
        <v>56484482</v>
      </c>
      <c r="L165" s="96"/>
    </row>
    <row r="166" spans="2:12" ht="15.95" customHeight="1" x14ac:dyDescent="0.25">
      <c r="B166" s="98">
        <v>162</v>
      </c>
      <c r="C166" s="99"/>
      <c r="D166" s="100"/>
      <c r="E166" s="101"/>
      <c r="F166" s="197"/>
      <c r="G166" s="197"/>
      <c r="H166" s="197"/>
      <c r="I166" s="197"/>
      <c r="J166" s="197"/>
      <c r="K166" s="50">
        <f t="shared" si="5"/>
        <v>56484482</v>
      </c>
      <c r="L166" s="100"/>
    </row>
    <row r="167" spans="2:12" ht="15.95" customHeight="1" x14ac:dyDescent="0.25">
      <c r="B167" s="95">
        <v>163</v>
      </c>
      <c r="C167" s="86"/>
      <c r="D167" s="96"/>
      <c r="E167" s="97"/>
      <c r="F167" s="198"/>
      <c r="G167" s="198"/>
      <c r="H167" s="198"/>
      <c r="I167" s="198"/>
      <c r="J167" s="198"/>
      <c r="K167" s="48">
        <f t="shared" si="5"/>
        <v>56484482</v>
      </c>
      <c r="L167" s="96"/>
    </row>
    <row r="168" spans="2:12" ht="15.95" customHeight="1" x14ac:dyDescent="0.25">
      <c r="B168" s="98">
        <v>164</v>
      </c>
      <c r="C168" s="99"/>
      <c r="D168" s="100"/>
      <c r="E168" s="101"/>
      <c r="F168" s="197"/>
      <c r="G168" s="197"/>
      <c r="H168" s="197"/>
      <c r="I168" s="197"/>
      <c r="J168" s="197"/>
      <c r="K168" s="50">
        <f t="shared" si="5"/>
        <v>56484482</v>
      </c>
      <c r="L168" s="100"/>
    </row>
    <row r="169" spans="2:12" ht="15.95" customHeight="1" x14ac:dyDescent="0.25">
      <c r="B169" s="95">
        <v>165</v>
      </c>
      <c r="C169" s="86"/>
      <c r="D169" s="96"/>
      <c r="E169" s="97"/>
      <c r="F169" s="198"/>
      <c r="G169" s="198"/>
      <c r="H169" s="198"/>
      <c r="I169" s="198"/>
      <c r="J169" s="198"/>
      <c r="K169" s="48">
        <f t="shared" si="5"/>
        <v>56484482</v>
      </c>
      <c r="L169" s="96"/>
    </row>
    <row r="170" spans="2:12" ht="15.95" customHeight="1" x14ac:dyDescent="0.25">
      <c r="B170" s="98">
        <v>166</v>
      </c>
      <c r="C170" s="99"/>
      <c r="D170" s="100"/>
      <c r="E170" s="101"/>
      <c r="F170" s="197"/>
      <c r="G170" s="197"/>
      <c r="H170" s="197"/>
      <c r="I170" s="197"/>
      <c r="J170" s="197"/>
      <c r="K170" s="50">
        <f t="shared" si="5"/>
        <v>56484482</v>
      </c>
      <c r="L170" s="100"/>
    </row>
    <row r="171" spans="2:12" ht="15.95" customHeight="1" x14ac:dyDescent="0.25">
      <c r="B171" s="95">
        <v>167</v>
      </c>
      <c r="C171" s="86"/>
      <c r="D171" s="96"/>
      <c r="E171" s="97"/>
      <c r="F171" s="198"/>
      <c r="G171" s="198"/>
      <c r="H171" s="198"/>
      <c r="I171" s="198"/>
      <c r="J171" s="198"/>
      <c r="K171" s="48">
        <f t="shared" si="5"/>
        <v>56484482</v>
      </c>
      <c r="L171" s="96"/>
    </row>
    <row r="172" spans="2:12" ht="15.95" customHeight="1" x14ac:dyDescent="0.25">
      <c r="B172" s="98">
        <v>168</v>
      </c>
      <c r="C172" s="99"/>
      <c r="D172" s="100"/>
      <c r="E172" s="101"/>
      <c r="F172" s="197"/>
      <c r="G172" s="197"/>
      <c r="H172" s="197"/>
      <c r="I172" s="197"/>
      <c r="J172" s="197"/>
      <c r="K172" s="50">
        <f t="shared" si="5"/>
        <v>56484482</v>
      </c>
      <c r="L172" s="100"/>
    </row>
    <row r="173" spans="2:12" ht="15.95" customHeight="1" x14ac:dyDescent="0.25">
      <c r="B173" s="95">
        <v>169</v>
      </c>
      <c r="C173" s="86"/>
      <c r="D173" s="96"/>
      <c r="E173" s="97"/>
      <c r="F173" s="198"/>
      <c r="G173" s="198"/>
      <c r="H173" s="198"/>
      <c r="I173" s="198"/>
      <c r="J173" s="198"/>
      <c r="K173" s="48">
        <f t="shared" si="5"/>
        <v>56484482</v>
      </c>
      <c r="L173" s="96"/>
    </row>
    <row r="174" spans="2:12" ht="15.95" customHeight="1" x14ac:dyDescent="0.25">
      <c r="B174" s="98">
        <v>170</v>
      </c>
      <c r="C174" s="99"/>
      <c r="D174" s="100"/>
      <c r="E174" s="101"/>
      <c r="F174" s="197"/>
      <c r="G174" s="197"/>
      <c r="H174" s="197"/>
      <c r="I174" s="197"/>
      <c r="J174" s="197"/>
      <c r="K174" s="50">
        <f t="shared" si="5"/>
        <v>56484482</v>
      </c>
      <c r="L174" s="100"/>
    </row>
    <row r="175" spans="2:12" ht="15.95" customHeight="1" x14ac:dyDescent="0.25">
      <c r="B175" s="95">
        <v>171</v>
      </c>
      <c r="C175" s="86"/>
      <c r="D175" s="96"/>
      <c r="E175" s="97"/>
      <c r="F175" s="198"/>
      <c r="G175" s="198"/>
      <c r="H175" s="198"/>
      <c r="I175" s="198"/>
      <c r="J175" s="198"/>
      <c r="K175" s="48">
        <f t="shared" si="5"/>
        <v>56484482</v>
      </c>
      <c r="L175" s="96"/>
    </row>
    <row r="176" spans="2:12" ht="15.95" customHeight="1" x14ac:dyDescent="0.25">
      <c r="B176" s="98">
        <v>172</v>
      </c>
      <c r="C176" s="99"/>
      <c r="D176" s="100"/>
      <c r="E176" s="101"/>
      <c r="F176" s="197"/>
      <c r="G176" s="197"/>
      <c r="H176" s="197"/>
      <c r="I176" s="197"/>
      <c r="J176" s="197"/>
      <c r="K176" s="50">
        <f t="shared" si="5"/>
        <v>56484482</v>
      </c>
      <c r="L176" s="100"/>
    </row>
    <row r="177" spans="2:12" ht="15.95" customHeight="1" x14ac:dyDescent="0.25">
      <c r="B177" s="95">
        <v>173</v>
      </c>
      <c r="C177" s="86"/>
      <c r="D177" s="96"/>
      <c r="E177" s="97"/>
      <c r="F177" s="198"/>
      <c r="G177" s="198"/>
      <c r="H177" s="198"/>
      <c r="I177" s="198"/>
      <c r="J177" s="198"/>
      <c r="K177" s="48">
        <f t="shared" si="5"/>
        <v>56484482</v>
      </c>
      <c r="L177" s="96"/>
    </row>
    <row r="178" spans="2:12" ht="15.95" customHeight="1" x14ac:dyDescent="0.25">
      <c r="B178" s="98">
        <v>174</v>
      </c>
      <c r="C178" s="99"/>
      <c r="D178" s="100"/>
      <c r="E178" s="101"/>
      <c r="F178" s="197"/>
      <c r="G178" s="197"/>
      <c r="H178" s="197"/>
      <c r="I178" s="197"/>
      <c r="J178" s="197"/>
      <c r="K178" s="50">
        <f t="shared" si="5"/>
        <v>56484482</v>
      </c>
      <c r="L178" s="100"/>
    </row>
    <row r="179" spans="2:12" ht="15.95" customHeight="1" x14ac:dyDescent="0.25">
      <c r="B179" s="95">
        <v>175</v>
      </c>
      <c r="C179" s="86"/>
      <c r="D179" s="96"/>
      <c r="E179" s="97"/>
      <c r="F179" s="198"/>
      <c r="G179" s="198"/>
      <c r="H179" s="198"/>
      <c r="I179" s="198"/>
      <c r="J179" s="198"/>
      <c r="K179" s="48">
        <f t="shared" si="5"/>
        <v>56484482</v>
      </c>
      <c r="L179" s="96"/>
    </row>
    <row r="180" spans="2:12" ht="15.95" customHeight="1" x14ac:dyDescent="0.25">
      <c r="B180" s="98">
        <v>176</v>
      </c>
      <c r="C180" s="99"/>
      <c r="D180" s="100"/>
      <c r="E180" s="101"/>
      <c r="F180" s="197"/>
      <c r="G180" s="197"/>
      <c r="H180" s="197"/>
      <c r="I180" s="197"/>
      <c r="J180" s="197"/>
      <c r="K180" s="50">
        <f t="shared" si="5"/>
        <v>56484482</v>
      </c>
      <c r="L180" s="100"/>
    </row>
    <row r="181" spans="2:12" ht="15.95" customHeight="1" x14ac:dyDescent="0.25">
      <c r="B181" s="95">
        <v>177</v>
      </c>
      <c r="C181" s="86"/>
      <c r="D181" s="96"/>
      <c r="E181" s="97"/>
      <c r="F181" s="198"/>
      <c r="G181" s="198"/>
      <c r="H181" s="198"/>
      <c r="I181" s="198"/>
      <c r="J181" s="198"/>
      <c r="K181" s="48">
        <f t="shared" si="5"/>
        <v>56484482</v>
      </c>
      <c r="L181" s="96"/>
    </row>
    <row r="182" spans="2:12" ht="15.95" customHeight="1" x14ac:dyDescent="0.25">
      <c r="B182" s="98">
        <v>178</v>
      </c>
      <c r="C182" s="99"/>
      <c r="D182" s="100"/>
      <c r="E182" s="101"/>
      <c r="F182" s="197"/>
      <c r="G182" s="197"/>
      <c r="H182" s="197"/>
      <c r="I182" s="197"/>
      <c r="J182" s="197"/>
      <c r="K182" s="50">
        <f t="shared" si="5"/>
        <v>56484482</v>
      </c>
      <c r="L182" s="100"/>
    </row>
    <row r="183" spans="2:12" ht="15.95" customHeight="1" x14ac:dyDescent="0.25">
      <c r="B183" s="95">
        <v>179</v>
      </c>
      <c r="C183" s="86"/>
      <c r="D183" s="96"/>
      <c r="E183" s="97"/>
      <c r="F183" s="198"/>
      <c r="G183" s="198"/>
      <c r="H183" s="198"/>
      <c r="I183" s="198"/>
      <c r="J183" s="198"/>
      <c r="K183" s="48">
        <f t="shared" si="5"/>
        <v>56484482</v>
      </c>
      <c r="L183" s="96"/>
    </row>
    <row r="184" spans="2:12" ht="15.95" customHeight="1" x14ac:dyDescent="0.25">
      <c r="B184" s="98">
        <v>180</v>
      </c>
      <c r="C184" s="99"/>
      <c r="D184" s="100"/>
      <c r="E184" s="101"/>
      <c r="F184" s="197"/>
      <c r="G184" s="197"/>
      <c r="H184" s="197"/>
      <c r="I184" s="197"/>
      <c r="J184" s="197"/>
      <c r="K184" s="50">
        <f t="shared" si="5"/>
        <v>56484482</v>
      </c>
      <c r="L184" s="100"/>
    </row>
    <row r="185" spans="2:12" ht="15.95" customHeight="1" x14ac:dyDescent="0.25">
      <c r="B185" s="95">
        <v>181</v>
      </c>
      <c r="C185" s="86"/>
      <c r="D185" s="96"/>
      <c r="E185" s="97"/>
      <c r="F185" s="198"/>
      <c r="G185" s="198"/>
      <c r="H185" s="198"/>
      <c r="I185" s="198"/>
      <c r="J185" s="198"/>
      <c r="K185" s="48">
        <f t="shared" si="5"/>
        <v>56484482</v>
      </c>
      <c r="L185" s="96"/>
    </row>
    <row r="186" spans="2:12" ht="15.95" customHeight="1" x14ac:dyDescent="0.25">
      <c r="B186" s="98">
        <v>182</v>
      </c>
      <c r="C186" s="99"/>
      <c r="D186" s="100"/>
      <c r="E186" s="101"/>
      <c r="F186" s="197"/>
      <c r="G186" s="197"/>
      <c r="H186" s="197"/>
      <c r="I186" s="197"/>
      <c r="J186" s="197"/>
      <c r="K186" s="50">
        <f t="shared" si="5"/>
        <v>56484482</v>
      </c>
      <c r="L186" s="100"/>
    </row>
    <row r="187" spans="2:12" ht="15.95" customHeight="1" x14ac:dyDescent="0.25">
      <c r="B187" s="95">
        <v>183</v>
      </c>
      <c r="C187" s="86"/>
      <c r="D187" s="96"/>
      <c r="E187" s="97"/>
      <c r="F187" s="198"/>
      <c r="G187" s="198"/>
      <c r="H187" s="198"/>
      <c r="I187" s="198"/>
      <c r="J187" s="198"/>
      <c r="K187" s="48">
        <f t="shared" si="5"/>
        <v>56484482</v>
      </c>
      <c r="L187" s="96"/>
    </row>
    <row r="188" spans="2:12" ht="15.95" customHeight="1" x14ac:dyDescent="0.25">
      <c r="B188" s="98">
        <v>184</v>
      </c>
      <c r="C188" s="99"/>
      <c r="D188" s="100"/>
      <c r="E188" s="101"/>
      <c r="F188" s="197"/>
      <c r="G188" s="197"/>
      <c r="H188" s="197"/>
      <c r="I188" s="197"/>
      <c r="J188" s="197"/>
      <c r="K188" s="50">
        <f t="shared" si="5"/>
        <v>56484482</v>
      </c>
      <c r="L188" s="100"/>
    </row>
    <row r="189" spans="2:12" ht="15.95" customHeight="1" x14ac:dyDescent="0.25">
      <c r="B189" s="95">
        <v>185</v>
      </c>
      <c r="C189" s="86"/>
      <c r="D189" s="96"/>
      <c r="E189" s="97"/>
      <c r="F189" s="198"/>
      <c r="G189" s="198"/>
      <c r="H189" s="198"/>
      <c r="I189" s="198"/>
      <c r="J189" s="198"/>
      <c r="K189" s="48">
        <f t="shared" si="5"/>
        <v>56484482</v>
      </c>
      <c r="L189" s="96"/>
    </row>
    <row r="190" spans="2:12" ht="15.95" customHeight="1" x14ac:dyDescent="0.25">
      <c r="B190" s="98">
        <v>186</v>
      </c>
      <c r="C190" s="99"/>
      <c r="D190" s="100"/>
      <c r="E190" s="101"/>
      <c r="F190" s="197"/>
      <c r="G190" s="197"/>
      <c r="H190" s="197"/>
      <c r="I190" s="197"/>
      <c r="J190" s="197"/>
      <c r="K190" s="50">
        <f t="shared" si="5"/>
        <v>56484482</v>
      </c>
      <c r="L190" s="100"/>
    </row>
    <row r="191" spans="2:12" ht="15.95" customHeight="1" x14ac:dyDescent="0.25">
      <c r="B191" s="95">
        <v>187</v>
      </c>
      <c r="C191" s="86"/>
      <c r="D191" s="96"/>
      <c r="E191" s="97"/>
      <c r="F191" s="198"/>
      <c r="G191" s="198"/>
      <c r="H191" s="198"/>
      <c r="I191" s="198"/>
      <c r="J191" s="198"/>
      <c r="K191" s="48">
        <f t="shared" si="5"/>
        <v>56484482</v>
      </c>
      <c r="L191" s="96"/>
    </row>
    <row r="192" spans="2:12" ht="15.95" customHeight="1" x14ac:dyDescent="0.25">
      <c r="B192" s="98">
        <v>188</v>
      </c>
      <c r="C192" s="99"/>
      <c r="D192" s="100"/>
      <c r="E192" s="101"/>
      <c r="F192" s="197"/>
      <c r="G192" s="197"/>
      <c r="H192" s="197"/>
      <c r="I192" s="197"/>
      <c r="J192" s="197"/>
      <c r="K192" s="50">
        <f t="shared" si="5"/>
        <v>56484482</v>
      </c>
      <c r="L192" s="100"/>
    </row>
    <row r="193" spans="2:12" ht="15.95" customHeight="1" x14ac:dyDescent="0.25">
      <c r="B193" s="95">
        <v>189</v>
      </c>
      <c r="C193" s="86"/>
      <c r="D193" s="96"/>
      <c r="E193" s="97"/>
      <c r="F193" s="198"/>
      <c r="G193" s="198"/>
      <c r="H193" s="198"/>
      <c r="I193" s="198"/>
      <c r="J193" s="198"/>
      <c r="K193" s="48">
        <f t="shared" si="5"/>
        <v>56484482</v>
      </c>
      <c r="L193" s="96"/>
    </row>
    <row r="194" spans="2:12" ht="15.95" customHeight="1" x14ac:dyDescent="0.25">
      <c r="B194" s="98">
        <v>190</v>
      </c>
      <c r="C194" s="99"/>
      <c r="D194" s="100"/>
      <c r="E194" s="101"/>
      <c r="F194" s="197"/>
      <c r="G194" s="197"/>
      <c r="H194" s="197"/>
      <c r="I194" s="197"/>
      <c r="J194" s="197"/>
      <c r="K194" s="50">
        <f t="shared" si="5"/>
        <v>56484482</v>
      </c>
      <c r="L194" s="100"/>
    </row>
    <row r="195" spans="2:12" ht="15.95" customHeight="1" x14ac:dyDescent="0.25">
      <c r="B195" s="95">
        <v>191</v>
      </c>
      <c r="C195" s="86"/>
      <c r="D195" s="96"/>
      <c r="E195" s="97"/>
      <c r="F195" s="198"/>
      <c r="G195" s="198"/>
      <c r="H195" s="198"/>
      <c r="I195" s="198"/>
      <c r="J195" s="198"/>
      <c r="K195" s="48">
        <f t="shared" si="5"/>
        <v>56484482</v>
      </c>
      <c r="L195" s="96"/>
    </row>
    <row r="196" spans="2:12" ht="15.95" customHeight="1" x14ac:dyDescent="0.25">
      <c r="B196" s="98">
        <v>192</v>
      </c>
      <c r="C196" s="99"/>
      <c r="D196" s="100"/>
      <c r="E196" s="101"/>
      <c r="F196" s="197"/>
      <c r="G196" s="197"/>
      <c r="H196" s="197"/>
      <c r="I196" s="197"/>
      <c r="J196" s="197"/>
      <c r="K196" s="50">
        <f t="shared" si="5"/>
        <v>56484482</v>
      </c>
      <c r="L196" s="100"/>
    </row>
    <row r="197" spans="2:12" ht="15.95" customHeight="1" x14ac:dyDescent="0.25">
      <c r="B197" s="95">
        <v>193</v>
      </c>
      <c r="C197" s="86"/>
      <c r="D197" s="96"/>
      <c r="E197" s="97"/>
      <c r="F197" s="198"/>
      <c r="G197" s="198"/>
      <c r="H197" s="198"/>
      <c r="I197" s="198"/>
      <c r="J197" s="198"/>
      <c r="K197" s="48">
        <f t="shared" ref="K197:K204" si="6">K196+IF(F197="",0,F197)+IF(G197="",0,G197)-IF(H197="",0,H197)-IF(I197="",0,I197)+IF(J197="",0,J197)</f>
        <v>56484482</v>
      </c>
      <c r="L197" s="96"/>
    </row>
    <row r="198" spans="2:12" ht="15.95" customHeight="1" x14ac:dyDescent="0.25">
      <c r="B198" s="98">
        <v>194</v>
      </c>
      <c r="C198" s="99"/>
      <c r="D198" s="100"/>
      <c r="E198" s="101"/>
      <c r="F198" s="197"/>
      <c r="G198" s="197"/>
      <c r="H198" s="197"/>
      <c r="I198" s="197"/>
      <c r="J198" s="197"/>
      <c r="K198" s="50">
        <f t="shared" si="6"/>
        <v>56484482</v>
      </c>
      <c r="L198" s="100"/>
    </row>
    <row r="199" spans="2:12" ht="15.95" customHeight="1" x14ac:dyDescent="0.25">
      <c r="B199" s="95">
        <v>195</v>
      </c>
      <c r="C199" s="86"/>
      <c r="D199" s="96"/>
      <c r="E199" s="97"/>
      <c r="F199" s="198"/>
      <c r="G199" s="198"/>
      <c r="H199" s="198"/>
      <c r="I199" s="198"/>
      <c r="J199" s="198"/>
      <c r="K199" s="48">
        <f t="shared" si="6"/>
        <v>56484482</v>
      </c>
      <c r="L199" s="96"/>
    </row>
    <row r="200" spans="2:12" ht="15.95" customHeight="1" x14ac:dyDescent="0.25">
      <c r="B200" s="98">
        <v>196</v>
      </c>
      <c r="C200" s="99"/>
      <c r="D200" s="100"/>
      <c r="E200" s="101"/>
      <c r="F200" s="197"/>
      <c r="G200" s="197"/>
      <c r="H200" s="197"/>
      <c r="I200" s="197"/>
      <c r="J200" s="197"/>
      <c r="K200" s="50">
        <f t="shared" si="6"/>
        <v>56484482</v>
      </c>
      <c r="L200" s="100"/>
    </row>
    <row r="201" spans="2:12" ht="15.95" customHeight="1" x14ac:dyDescent="0.25">
      <c r="B201" s="95">
        <v>197</v>
      </c>
      <c r="C201" s="86"/>
      <c r="D201" s="96"/>
      <c r="E201" s="97"/>
      <c r="F201" s="198"/>
      <c r="G201" s="198"/>
      <c r="H201" s="198"/>
      <c r="I201" s="198"/>
      <c r="J201" s="198"/>
      <c r="K201" s="48">
        <f t="shared" si="6"/>
        <v>56484482</v>
      </c>
      <c r="L201" s="96"/>
    </row>
    <row r="202" spans="2:12" ht="15.95" customHeight="1" x14ac:dyDescent="0.25">
      <c r="B202" s="98">
        <v>198</v>
      </c>
      <c r="C202" s="99"/>
      <c r="D202" s="100"/>
      <c r="E202" s="101"/>
      <c r="F202" s="197"/>
      <c r="G202" s="197"/>
      <c r="H202" s="197"/>
      <c r="I202" s="197"/>
      <c r="J202" s="197"/>
      <c r="K202" s="50">
        <f t="shared" si="6"/>
        <v>56484482</v>
      </c>
      <c r="L202" s="100"/>
    </row>
    <row r="203" spans="2:12" ht="15.95" customHeight="1" x14ac:dyDescent="0.25">
      <c r="B203" s="95">
        <v>199</v>
      </c>
      <c r="C203" s="86"/>
      <c r="D203" s="96"/>
      <c r="E203" s="97"/>
      <c r="F203" s="198"/>
      <c r="G203" s="198"/>
      <c r="H203" s="198"/>
      <c r="I203" s="198"/>
      <c r="J203" s="198"/>
      <c r="K203" s="48">
        <f t="shared" si="6"/>
        <v>56484482</v>
      </c>
      <c r="L203" s="96"/>
    </row>
    <row r="204" spans="2:12" ht="15.95" customHeight="1" x14ac:dyDescent="0.25">
      <c r="B204" s="98">
        <v>200</v>
      </c>
      <c r="C204" s="99"/>
      <c r="D204" s="100"/>
      <c r="E204" s="101"/>
      <c r="F204" s="197"/>
      <c r="G204" s="197"/>
      <c r="H204" s="197"/>
      <c r="I204" s="197"/>
      <c r="J204" s="197"/>
      <c r="K204" s="50">
        <f t="shared" si="6"/>
        <v>56484482</v>
      </c>
      <c r="L204" s="100"/>
    </row>
  </sheetData>
  <mergeCells count="3">
    <mergeCell ref="B2:L2"/>
    <mergeCell ref="E4:J4"/>
    <mergeCell ref="B1:L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 D'EMPLOI</vt:lpstr>
      <vt:lpstr>PARAMETRES</vt:lpstr>
      <vt:lpstr>TABLEAU DE BORD</vt:lpstr>
      <vt:lpstr>SUIVI 2026</vt:lpstr>
      <vt:lpstr>BILLETAGE</vt:lpstr>
      <vt:lpstr>CAISSIER SEC.</vt:lpstr>
      <vt:lpstr>CORRECTIONS</vt:lpstr>
      <vt:lpstr>MOUVEMENTS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joel</cp:lastModifiedBy>
  <dcterms:created xsi:type="dcterms:W3CDTF">2026-05-26T17:21:18Z</dcterms:created>
  <dcterms:modified xsi:type="dcterms:W3CDTF">2026-05-28T18:38:07Z</dcterms:modified>
</cp:coreProperties>
</file>