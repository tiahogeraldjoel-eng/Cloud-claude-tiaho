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Positions" sheetId="1" state="visible" r:id="rId1"/>
    <sheet name="📁 Historique" sheetId="2" state="visible" r:id="rId2"/>
    <sheet name="📖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#,##0 &quot;F&quot;"/>
    <numFmt numFmtId="166" formatCode="+#,##0;-#,##0;0"/>
    <numFmt numFmtId="167" formatCode="+0.00%;-0.00%;0.00%"/>
    <numFmt numFmtId="168" formatCode="+0.00%;-0.0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856404"/>
      <sz val="9"/>
    </font>
    <font>
      <name val="Calibri"/>
      <color rgb="00000000"/>
      <sz val="10"/>
    </font>
    <font>
      <name val="Calibri"/>
      <b val="1"/>
      <color rgb="00006400"/>
      <sz val="10"/>
    </font>
    <font>
      <name val="Calibri"/>
      <b val="1"/>
      <color rgb="000D47A1"/>
      <sz val="10"/>
    </font>
    <font>
      <name val="Calibri"/>
      <b val="1"/>
      <color rgb="00FF0000"/>
      <sz val="10"/>
    </font>
    <font>
      <name val="Calibri"/>
      <b val="1"/>
      <color rgb="00FFFFFF"/>
      <sz val="13"/>
    </font>
    <font>
      <name val="Calibri"/>
      <b val="1"/>
      <color rgb="00FFD700"/>
      <sz val="11"/>
    </font>
    <font>
      <name val="Calibri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CCFFCC"/>
      </patternFill>
    </fill>
    <fill>
      <patternFill patternType="solid">
        <fgColor rgb="00B3E5FC"/>
      </patternFill>
    </fill>
    <fill>
      <patternFill patternType="solid">
        <fgColor rgb="00FFCC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9" fillId="9" borderId="1" applyAlignment="1" pivotButton="0" quotePrefix="0" xfId="0">
      <alignment vertical="center"/>
    </xf>
    <xf numFmtId="0" fontId="10" fillId="10" borderId="1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168" fontId="4" fillId="6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right" vertical="center"/>
    </xf>
    <xf numFmtId="166" fontId="12" fillId="11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name val="Calibri"/>
        <b val="1"/>
        <color rgb="00FF0000"/>
        <sz val="10"/>
      </font>
      <fill>
        <patternFill patternType="solid">
          <fgColor rgb="00FFCCCC"/>
        </patternFill>
      </fill>
    </dxf>
    <dxf>
      <font>
        <name val="Calibri"/>
        <b val="1"/>
        <color rgb="00006400"/>
        <sz val="10"/>
      </font>
      <fill>
        <patternFill patternType="solid">
          <fgColor rgb="00CCFFCC"/>
        </patternFill>
      </fill>
    </dxf>
    <dxf>
      <font>
        <name val="Calibri"/>
        <b val="1"/>
        <color rgb="000D47A1"/>
        <sz val="10"/>
      </font>
      <fill>
        <patternFill patternType="solid">
          <fgColor rgb="00B3E5FC"/>
        </patternFill>
      </fill>
    </dxf>
    <dxf>
      <fill>
        <patternFill patternType="solid">
          <fgColor rgb="00FFCCCC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FFA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9" customWidth="1" min="4" max="4"/>
    <col width="9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8" customWidth="1" min="13" max="13"/>
    <col width="16" customWidth="1" min="14" max="14"/>
    <col width="20" customWidth="1" min="15" max="15"/>
  </cols>
  <sheetData>
    <row r="1" ht="30" customHeight="1">
      <c r="A1" s="1" t="inlineStr">
        <is>
          <t>BRVM — Suivi des Positions Ouvertes</t>
        </is>
      </c>
    </row>
    <row r="2">
      <c r="A2" s="2" t="inlineStr">
        <is>
          <t>Mise à jour : saisir les prix actuels manuellement — ou configurer Power Query (onglet Cours_Live)</t>
        </is>
      </c>
    </row>
    <row r="3" ht="32" customHeight="1">
      <c r="A3" s="3" t="inlineStr">
        <is>
          <t>Date
entrée</t>
        </is>
      </c>
      <c r="B3" s="3" t="inlineStr">
        <is>
          <t>Ticker</t>
        </is>
      </c>
      <c r="C3" s="3" t="inlineStr">
        <is>
          <t>Nom société</t>
        </is>
      </c>
      <c r="D3" s="3" t="inlineStr">
        <is>
          <t>Signal
(H/M/L)</t>
        </is>
      </c>
      <c r="E3" s="3" t="inlineStr">
        <is>
          <t>Qtité
achetée</t>
        </is>
      </c>
      <c r="F3" s="3" t="inlineStr">
        <is>
          <t>Prix
entrée</t>
        </is>
      </c>
      <c r="G3" s="3" t="inlineStr">
        <is>
          <t>Coût
total</t>
        </is>
      </c>
      <c r="H3" s="3" t="inlineStr">
        <is>
          <t>Stop-loss
−3%</t>
        </is>
      </c>
      <c r="I3" s="3" t="inlineStr">
        <is>
          <t>Objectif
+4%</t>
        </is>
      </c>
      <c r="J3" s="3" t="inlineStr">
        <is>
          <t>Max BRVM
+7.5%</t>
        </is>
      </c>
      <c r="K3" s="3" t="inlineStr">
        <is>
          <t>Prix
actuel</t>
        </is>
      </c>
      <c r="L3" s="3" t="inlineStr">
        <is>
          <t>P&amp;L
FCFA</t>
        </is>
      </c>
      <c r="M3" s="3" t="inlineStr">
        <is>
          <t>P&amp;L
%</t>
        </is>
      </c>
      <c r="N3" s="3" t="inlineStr">
        <is>
          <t>Statut</t>
        </is>
      </c>
      <c r="O3" s="3" t="inlineStr">
        <is>
          <t>Notes</t>
        </is>
      </c>
    </row>
    <row r="4">
      <c r="A4" s="4" t="n"/>
      <c r="B4" s="5" t="n"/>
      <c r="C4" s="6" t="n"/>
      <c r="D4" s="7" t="n"/>
      <c r="E4" s="8" t="n"/>
      <c r="F4" s="9" t="n"/>
      <c r="G4" s="10">
        <f>IF(E4*F4=0,"",E4*F4)</f>
        <v/>
      </c>
      <c r="H4" s="11">
        <f>IF(F4=0,"",ROUND(F4*0.97,0))</f>
        <v/>
      </c>
      <c r="I4" s="11">
        <f>IF(F4=0,"",ROUND(F4*1.04,0))</f>
        <v/>
      </c>
      <c r="J4" s="11">
        <f>IF(F4=0,"",ROUND(F4*1.075,0))</f>
        <v/>
      </c>
      <c r="K4" s="12" t="n"/>
      <c r="L4" s="13">
        <f>IF(OR(E4=0,F4=0,K4=0),"",(K4-F4)*E4)</f>
        <v/>
      </c>
      <c r="M4" s="14">
        <f>IF(OR(F4=0,K4=0),"",(K4-F4)/F4)</f>
        <v/>
      </c>
      <c r="N4" s="7">
        <f>IF(F4=0,"",IF(K4=0,"⏳ En attente",IF(K4&lt;=ROUND(F4*0.97,0),"🛑 STOP LOSS ATTEINT",IF(K4&gt;=ROUND(F4*1.075,0),"🚀 SORTIR (max BRVM)",IF(K4&gt;=ROUND(F4*1.04,0),"✅ SORTIR (objectif atteint)","⏳ TENIR")))))</f>
        <v/>
      </c>
      <c r="O4" s="6" t="n"/>
    </row>
    <row r="5">
      <c r="A5" s="15" t="n"/>
      <c r="B5" s="16" t="n"/>
      <c r="C5" s="17" t="n"/>
      <c r="D5" s="18" t="n"/>
      <c r="E5" s="19" t="n"/>
      <c r="F5" s="20" t="n"/>
      <c r="G5" s="21">
        <f>IF(E5*F5=0,"",E5*F5)</f>
        <v/>
      </c>
      <c r="H5" s="22">
        <f>IF(F5=0,"",ROUND(F5*0.97,0))</f>
        <v/>
      </c>
      <c r="I5" s="22">
        <f>IF(F5=0,"",ROUND(F5*1.04,0))</f>
        <v/>
      </c>
      <c r="J5" s="22">
        <f>IF(F5=0,"",ROUND(F5*1.075,0))</f>
        <v/>
      </c>
      <c r="K5" s="12" t="n"/>
      <c r="L5" s="23">
        <f>IF(OR(E5=0,F5=0,K5=0),"",(K5-F5)*E5)</f>
        <v/>
      </c>
      <c r="M5" s="24">
        <f>IF(OR(F5=0,K5=0),"",(K5-F5)/F5)</f>
        <v/>
      </c>
      <c r="N5" s="18">
        <f>IF(F5=0,"",IF(K5=0,"⏳ En attente",IF(K5&lt;=ROUND(F5*0.97,0),"🛑 STOP LOSS ATTEINT",IF(K5&gt;=ROUND(F5*1.075,0),"🚀 SORTIR (max BRVM)",IF(K5&gt;=ROUND(F5*1.04,0),"✅ SORTIR (objectif atteint)","⏳ TENIR")))))</f>
        <v/>
      </c>
      <c r="O5" s="17" t="n"/>
    </row>
    <row r="6">
      <c r="A6" s="4" t="n"/>
      <c r="B6" s="5" t="n"/>
      <c r="C6" s="6" t="n"/>
      <c r="D6" s="7" t="n"/>
      <c r="E6" s="8" t="n"/>
      <c r="F6" s="9" t="n"/>
      <c r="G6" s="10">
        <f>IF(E6*F6=0,"",E6*F6)</f>
        <v/>
      </c>
      <c r="H6" s="11">
        <f>IF(F6=0,"",ROUND(F6*0.97,0))</f>
        <v/>
      </c>
      <c r="I6" s="11">
        <f>IF(F6=0,"",ROUND(F6*1.04,0))</f>
        <v/>
      </c>
      <c r="J6" s="11">
        <f>IF(F6=0,"",ROUND(F6*1.075,0))</f>
        <v/>
      </c>
      <c r="K6" s="12" t="n"/>
      <c r="L6" s="13">
        <f>IF(OR(E6=0,F6=0,K6=0),"",(K6-F6)*E6)</f>
        <v/>
      </c>
      <c r="M6" s="14">
        <f>IF(OR(F6=0,K6=0),"",(K6-F6)/F6)</f>
        <v/>
      </c>
      <c r="N6" s="7">
        <f>IF(F6=0,"",IF(K6=0,"⏳ En attente",IF(K6&lt;=ROUND(F6*0.97,0),"🛑 STOP LOSS ATTEINT",IF(K6&gt;=ROUND(F6*1.075,0),"🚀 SORTIR (max BRVM)",IF(K6&gt;=ROUND(F6*1.04,0),"✅ SORTIR (objectif atteint)","⏳ TENIR")))))</f>
        <v/>
      </c>
      <c r="O6" s="6" t="n"/>
    </row>
    <row r="7">
      <c r="A7" s="15" t="n"/>
      <c r="B7" s="16" t="n"/>
      <c r="C7" s="17" t="n"/>
      <c r="D7" s="18" t="n"/>
      <c r="E7" s="19" t="n"/>
      <c r="F7" s="20" t="n"/>
      <c r="G7" s="21">
        <f>IF(E7*F7=0,"",E7*F7)</f>
        <v/>
      </c>
      <c r="H7" s="22">
        <f>IF(F7=0,"",ROUND(F7*0.97,0))</f>
        <v/>
      </c>
      <c r="I7" s="22">
        <f>IF(F7=0,"",ROUND(F7*1.04,0))</f>
        <v/>
      </c>
      <c r="J7" s="22">
        <f>IF(F7=0,"",ROUND(F7*1.075,0))</f>
        <v/>
      </c>
      <c r="K7" s="12" t="n"/>
      <c r="L7" s="23">
        <f>IF(OR(E7=0,F7=0,K7=0),"",(K7-F7)*E7)</f>
        <v/>
      </c>
      <c r="M7" s="24">
        <f>IF(OR(F7=0,K7=0),"",(K7-F7)/F7)</f>
        <v/>
      </c>
      <c r="N7" s="18">
        <f>IF(F7=0,"",IF(K7=0,"⏳ En attente",IF(K7&lt;=ROUND(F7*0.97,0),"🛑 STOP LOSS ATTEINT",IF(K7&gt;=ROUND(F7*1.075,0),"🚀 SORTIR (max BRVM)",IF(K7&gt;=ROUND(F7*1.04,0),"✅ SORTIR (objectif atteint)","⏳ TENIR")))))</f>
        <v/>
      </c>
      <c r="O7" s="17" t="n"/>
    </row>
    <row r="8">
      <c r="A8" s="4" t="n"/>
      <c r="B8" s="5" t="n"/>
      <c r="C8" s="6" t="n"/>
      <c r="D8" s="7" t="n"/>
      <c r="E8" s="8" t="n"/>
      <c r="F8" s="9" t="n"/>
      <c r="G8" s="10">
        <f>IF(E8*F8=0,"",E8*F8)</f>
        <v/>
      </c>
      <c r="H8" s="11">
        <f>IF(F8=0,"",ROUND(F8*0.97,0))</f>
        <v/>
      </c>
      <c r="I8" s="11">
        <f>IF(F8=0,"",ROUND(F8*1.04,0))</f>
        <v/>
      </c>
      <c r="J8" s="11">
        <f>IF(F8=0,"",ROUND(F8*1.075,0))</f>
        <v/>
      </c>
      <c r="K8" s="12" t="n"/>
      <c r="L8" s="13">
        <f>IF(OR(E8=0,F8=0,K8=0),"",(K8-F8)*E8)</f>
        <v/>
      </c>
      <c r="M8" s="14">
        <f>IF(OR(F8=0,K8=0),"",(K8-F8)/F8)</f>
        <v/>
      </c>
      <c r="N8" s="7">
        <f>IF(F8=0,"",IF(K8=0,"⏳ En attente",IF(K8&lt;=ROUND(F8*0.97,0),"🛑 STOP LOSS ATTEINT",IF(K8&gt;=ROUND(F8*1.075,0),"🚀 SORTIR (max BRVM)",IF(K8&gt;=ROUND(F8*1.04,0),"✅ SORTIR (objectif atteint)","⏳ TENIR")))))</f>
        <v/>
      </c>
      <c r="O8" s="6" t="n"/>
    </row>
    <row r="9">
      <c r="A9" s="15" t="n"/>
      <c r="B9" s="16" t="n"/>
      <c r="C9" s="17" t="n"/>
      <c r="D9" s="18" t="n"/>
      <c r="E9" s="19" t="n"/>
      <c r="F9" s="20" t="n"/>
      <c r="G9" s="21">
        <f>IF(E9*F9=0,"",E9*F9)</f>
        <v/>
      </c>
      <c r="H9" s="22">
        <f>IF(F9=0,"",ROUND(F9*0.97,0))</f>
        <v/>
      </c>
      <c r="I9" s="22">
        <f>IF(F9=0,"",ROUND(F9*1.04,0))</f>
        <v/>
      </c>
      <c r="J9" s="22">
        <f>IF(F9=0,"",ROUND(F9*1.075,0))</f>
        <v/>
      </c>
      <c r="K9" s="12" t="n"/>
      <c r="L9" s="23">
        <f>IF(OR(E9=0,F9=0,K9=0),"",(K9-F9)*E9)</f>
        <v/>
      </c>
      <c r="M9" s="24">
        <f>IF(OR(F9=0,K9=0),"",(K9-F9)/F9)</f>
        <v/>
      </c>
      <c r="N9" s="18">
        <f>IF(F9=0,"",IF(K9=0,"⏳ En attente",IF(K9&lt;=ROUND(F9*0.97,0),"🛑 STOP LOSS ATTEINT",IF(K9&gt;=ROUND(F9*1.075,0),"🚀 SORTIR (max BRVM)",IF(K9&gt;=ROUND(F9*1.04,0),"✅ SORTIR (objectif atteint)","⏳ TENIR")))))</f>
        <v/>
      </c>
      <c r="O9" s="17" t="n"/>
    </row>
    <row r="10">
      <c r="A10" s="4" t="n"/>
      <c r="B10" s="5" t="n"/>
      <c r="C10" s="6" t="n"/>
      <c r="D10" s="7" t="n"/>
      <c r="E10" s="8" t="n"/>
      <c r="F10" s="9" t="n"/>
      <c r="G10" s="10">
        <f>IF(E10*F10=0,"",E10*F10)</f>
        <v/>
      </c>
      <c r="H10" s="11">
        <f>IF(F10=0,"",ROUND(F10*0.97,0))</f>
        <v/>
      </c>
      <c r="I10" s="11">
        <f>IF(F10=0,"",ROUND(F10*1.04,0))</f>
        <v/>
      </c>
      <c r="J10" s="11">
        <f>IF(F10=0,"",ROUND(F10*1.075,0))</f>
        <v/>
      </c>
      <c r="K10" s="12" t="n"/>
      <c r="L10" s="13">
        <f>IF(OR(E10=0,F10=0,K10=0),"",(K10-F10)*E10)</f>
        <v/>
      </c>
      <c r="M10" s="14">
        <f>IF(OR(F10=0,K10=0),"",(K10-F10)/F10)</f>
        <v/>
      </c>
      <c r="N10" s="7">
        <f>IF(F10=0,"",IF(K10=0,"⏳ En attente",IF(K10&lt;=ROUND(F10*0.97,0),"🛑 STOP LOSS ATTEINT",IF(K10&gt;=ROUND(F10*1.075,0),"🚀 SORTIR (max BRVM)",IF(K10&gt;=ROUND(F10*1.04,0),"✅ SORTIR (objectif atteint)","⏳ TENIR")))))</f>
        <v/>
      </c>
      <c r="O10" s="6" t="n"/>
    </row>
    <row r="11">
      <c r="A11" s="15" t="n"/>
      <c r="B11" s="16" t="n"/>
      <c r="C11" s="17" t="n"/>
      <c r="D11" s="18" t="n"/>
      <c r="E11" s="19" t="n"/>
      <c r="F11" s="20" t="n"/>
      <c r="G11" s="21">
        <f>IF(E11*F11=0,"",E11*F11)</f>
        <v/>
      </c>
      <c r="H11" s="22">
        <f>IF(F11=0,"",ROUND(F11*0.97,0))</f>
        <v/>
      </c>
      <c r="I11" s="22">
        <f>IF(F11=0,"",ROUND(F11*1.04,0))</f>
        <v/>
      </c>
      <c r="J11" s="22">
        <f>IF(F11=0,"",ROUND(F11*1.075,0))</f>
        <v/>
      </c>
      <c r="K11" s="12" t="n"/>
      <c r="L11" s="23">
        <f>IF(OR(E11=0,F11=0,K11=0),"",(K11-F11)*E11)</f>
        <v/>
      </c>
      <c r="M11" s="24">
        <f>IF(OR(F11=0,K11=0),"",(K11-F11)/F11)</f>
        <v/>
      </c>
      <c r="N11" s="18">
        <f>IF(F11=0,"",IF(K11=0,"⏳ En attente",IF(K11&lt;=ROUND(F11*0.97,0),"🛑 STOP LOSS ATTEINT",IF(K11&gt;=ROUND(F11*1.075,0),"🚀 SORTIR (max BRVM)",IF(K11&gt;=ROUND(F11*1.04,0),"✅ SORTIR (objectif atteint)","⏳ TENIR")))))</f>
        <v/>
      </c>
      <c r="O11" s="17" t="n"/>
    </row>
    <row r="12">
      <c r="A12" s="4" t="n"/>
      <c r="B12" s="5" t="n"/>
      <c r="C12" s="6" t="n"/>
      <c r="D12" s="7" t="n"/>
      <c r="E12" s="8" t="n"/>
      <c r="F12" s="9" t="n"/>
      <c r="G12" s="10">
        <f>IF(E12*F12=0,"",E12*F12)</f>
        <v/>
      </c>
      <c r="H12" s="11">
        <f>IF(F12=0,"",ROUND(F12*0.97,0))</f>
        <v/>
      </c>
      <c r="I12" s="11">
        <f>IF(F12=0,"",ROUND(F12*1.04,0))</f>
        <v/>
      </c>
      <c r="J12" s="11">
        <f>IF(F12=0,"",ROUND(F12*1.075,0))</f>
        <v/>
      </c>
      <c r="K12" s="12" t="n"/>
      <c r="L12" s="13">
        <f>IF(OR(E12=0,F12=0,K12=0),"",(K12-F12)*E12)</f>
        <v/>
      </c>
      <c r="M12" s="14">
        <f>IF(OR(F12=0,K12=0),"",(K12-F12)/F12)</f>
        <v/>
      </c>
      <c r="N12" s="7">
        <f>IF(F12=0,"",IF(K12=0,"⏳ En attente",IF(K12&lt;=ROUND(F12*0.97,0),"🛑 STOP LOSS ATTEINT",IF(K12&gt;=ROUND(F12*1.075,0),"🚀 SORTIR (max BRVM)",IF(K12&gt;=ROUND(F12*1.04,0),"✅ SORTIR (objectif atteint)","⏳ TENIR")))))</f>
        <v/>
      </c>
      <c r="O12" s="6" t="n"/>
    </row>
    <row r="13">
      <c r="A13" s="15" t="n"/>
      <c r="B13" s="16" t="n"/>
      <c r="C13" s="17" t="n"/>
      <c r="D13" s="18" t="n"/>
      <c r="E13" s="19" t="n"/>
      <c r="F13" s="20" t="n"/>
      <c r="G13" s="21">
        <f>IF(E13*F13=0,"",E13*F13)</f>
        <v/>
      </c>
      <c r="H13" s="22">
        <f>IF(F13=0,"",ROUND(F13*0.97,0))</f>
        <v/>
      </c>
      <c r="I13" s="22">
        <f>IF(F13=0,"",ROUND(F13*1.04,0))</f>
        <v/>
      </c>
      <c r="J13" s="22">
        <f>IF(F13=0,"",ROUND(F13*1.075,0))</f>
        <v/>
      </c>
      <c r="K13" s="12" t="n"/>
      <c r="L13" s="23">
        <f>IF(OR(E13=0,F13=0,K13=0),"",(K13-F13)*E13)</f>
        <v/>
      </c>
      <c r="M13" s="24">
        <f>IF(OR(F13=0,K13=0),"",(K13-F13)/F13)</f>
        <v/>
      </c>
      <c r="N13" s="18">
        <f>IF(F13=0,"",IF(K13=0,"⏳ En attente",IF(K13&lt;=ROUND(F13*0.97,0),"🛑 STOP LOSS ATTEINT",IF(K13&gt;=ROUND(F13*1.075,0),"🚀 SORTIR (max BRVM)",IF(K13&gt;=ROUND(F13*1.04,0),"✅ SORTIR (objectif atteint)","⏳ TENIR")))))</f>
        <v/>
      </c>
      <c r="O13" s="17" t="n"/>
    </row>
    <row r="14">
      <c r="A14" s="4" t="n"/>
      <c r="B14" s="5" t="n"/>
      <c r="C14" s="6" t="n"/>
      <c r="D14" s="7" t="n"/>
      <c r="E14" s="8" t="n"/>
      <c r="F14" s="9" t="n"/>
      <c r="G14" s="10">
        <f>IF(E14*F14=0,"",E14*F14)</f>
        <v/>
      </c>
      <c r="H14" s="11">
        <f>IF(F14=0,"",ROUND(F14*0.97,0))</f>
        <v/>
      </c>
      <c r="I14" s="11">
        <f>IF(F14=0,"",ROUND(F14*1.04,0))</f>
        <v/>
      </c>
      <c r="J14" s="11">
        <f>IF(F14=0,"",ROUND(F14*1.075,0))</f>
        <v/>
      </c>
      <c r="K14" s="12" t="n"/>
      <c r="L14" s="13">
        <f>IF(OR(E14=0,F14=0,K14=0),"",(K14-F14)*E14)</f>
        <v/>
      </c>
      <c r="M14" s="14">
        <f>IF(OR(F14=0,K14=0),"",(K14-F14)/F14)</f>
        <v/>
      </c>
      <c r="N14" s="7">
        <f>IF(F14=0,"",IF(K14=0,"⏳ En attente",IF(K14&lt;=ROUND(F14*0.97,0),"🛑 STOP LOSS ATTEINT",IF(K14&gt;=ROUND(F14*1.075,0),"🚀 SORTIR (max BRVM)",IF(K14&gt;=ROUND(F14*1.04,0),"✅ SORTIR (objectif atteint)","⏳ TENIR")))))</f>
        <v/>
      </c>
      <c r="O14" s="6" t="n"/>
    </row>
    <row r="15">
      <c r="A15" s="15" t="n"/>
      <c r="B15" s="16" t="n"/>
      <c r="C15" s="17" t="n"/>
      <c r="D15" s="18" t="n"/>
      <c r="E15" s="19" t="n"/>
      <c r="F15" s="20" t="n"/>
      <c r="G15" s="21">
        <f>IF(E15*F15=0,"",E15*F15)</f>
        <v/>
      </c>
      <c r="H15" s="22">
        <f>IF(F15=0,"",ROUND(F15*0.97,0))</f>
        <v/>
      </c>
      <c r="I15" s="22">
        <f>IF(F15=0,"",ROUND(F15*1.04,0))</f>
        <v/>
      </c>
      <c r="J15" s="22">
        <f>IF(F15=0,"",ROUND(F15*1.075,0))</f>
        <v/>
      </c>
      <c r="K15" s="12" t="n"/>
      <c r="L15" s="23">
        <f>IF(OR(E15=0,F15=0,K15=0),"",(K15-F15)*E15)</f>
        <v/>
      </c>
      <c r="M15" s="24">
        <f>IF(OR(F15=0,K15=0),"",(K15-F15)/F15)</f>
        <v/>
      </c>
      <c r="N15" s="18">
        <f>IF(F15=0,"",IF(K15=0,"⏳ En attente",IF(K15&lt;=ROUND(F15*0.97,0),"🛑 STOP LOSS ATTEINT",IF(K15&gt;=ROUND(F15*1.075,0),"🚀 SORTIR (max BRVM)",IF(K15&gt;=ROUND(F15*1.04,0),"✅ SORTIR (objectif atteint)","⏳ TENIR")))))</f>
        <v/>
      </c>
      <c r="O15" s="17" t="n"/>
    </row>
    <row r="16">
      <c r="A16" s="4" t="n"/>
      <c r="B16" s="5" t="n"/>
      <c r="C16" s="6" t="n"/>
      <c r="D16" s="7" t="n"/>
      <c r="E16" s="8" t="n"/>
      <c r="F16" s="9" t="n"/>
      <c r="G16" s="10">
        <f>IF(E16*F16=0,"",E16*F16)</f>
        <v/>
      </c>
      <c r="H16" s="11">
        <f>IF(F16=0,"",ROUND(F16*0.97,0))</f>
        <v/>
      </c>
      <c r="I16" s="11">
        <f>IF(F16=0,"",ROUND(F16*1.04,0))</f>
        <v/>
      </c>
      <c r="J16" s="11">
        <f>IF(F16=0,"",ROUND(F16*1.075,0))</f>
        <v/>
      </c>
      <c r="K16" s="12" t="n"/>
      <c r="L16" s="13">
        <f>IF(OR(E16=0,F16=0,K16=0),"",(K16-F16)*E16)</f>
        <v/>
      </c>
      <c r="M16" s="14">
        <f>IF(OR(F16=0,K16=0),"",(K16-F16)/F16)</f>
        <v/>
      </c>
      <c r="N16" s="7">
        <f>IF(F16=0,"",IF(K16=0,"⏳ En attente",IF(K16&lt;=ROUND(F16*0.97,0),"🛑 STOP LOSS ATTEINT",IF(K16&gt;=ROUND(F16*1.075,0),"🚀 SORTIR (max BRVM)",IF(K16&gt;=ROUND(F16*1.04,0),"✅ SORTIR (objectif atteint)","⏳ TENIR")))))</f>
        <v/>
      </c>
      <c r="O16" s="6" t="n"/>
    </row>
    <row r="17">
      <c r="A17" s="15" t="n"/>
      <c r="B17" s="16" t="n"/>
      <c r="C17" s="17" t="n"/>
      <c r="D17" s="18" t="n"/>
      <c r="E17" s="19" t="n"/>
      <c r="F17" s="20" t="n"/>
      <c r="G17" s="21">
        <f>IF(E17*F17=0,"",E17*F17)</f>
        <v/>
      </c>
      <c r="H17" s="22">
        <f>IF(F17=0,"",ROUND(F17*0.97,0))</f>
        <v/>
      </c>
      <c r="I17" s="22">
        <f>IF(F17=0,"",ROUND(F17*1.04,0))</f>
        <v/>
      </c>
      <c r="J17" s="22">
        <f>IF(F17=0,"",ROUND(F17*1.075,0))</f>
        <v/>
      </c>
      <c r="K17" s="12" t="n"/>
      <c r="L17" s="23">
        <f>IF(OR(E17=0,F17=0,K17=0),"",(K17-F17)*E17)</f>
        <v/>
      </c>
      <c r="M17" s="24">
        <f>IF(OR(F17=0,K17=0),"",(K17-F17)/F17)</f>
        <v/>
      </c>
      <c r="N17" s="18">
        <f>IF(F17=0,"",IF(K17=0,"⏳ En attente",IF(K17&lt;=ROUND(F17*0.97,0),"🛑 STOP LOSS ATTEINT",IF(K17&gt;=ROUND(F17*1.075,0),"🚀 SORTIR (max BRVM)",IF(K17&gt;=ROUND(F17*1.04,0),"✅ SORTIR (objectif atteint)","⏳ TENIR")))))</f>
        <v/>
      </c>
      <c r="O17" s="17" t="n"/>
    </row>
    <row r="18">
      <c r="A18" s="4" t="n"/>
      <c r="B18" s="5" t="n"/>
      <c r="C18" s="6" t="n"/>
      <c r="D18" s="7" t="n"/>
      <c r="E18" s="8" t="n"/>
      <c r="F18" s="9" t="n"/>
      <c r="G18" s="10">
        <f>IF(E18*F18=0,"",E18*F18)</f>
        <v/>
      </c>
      <c r="H18" s="11">
        <f>IF(F18=0,"",ROUND(F18*0.97,0))</f>
        <v/>
      </c>
      <c r="I18" s="11">
        <f>IF(F18=0,"",ROUND(F18*1.04,0))</f>
        <v/>
      </c>
      <c r="J18" s="11">
        <f>IF(F18=0,"",ROUND(F18*1.075,0))</f>
        <v/>
      </c>
      <c r="K18" s="12" t="n"/>
      <c r="L18" s="13">
        <f>IF(OR(E18=0,F18=0,K18=0),"",(K18-F18)*E18)</f>
        <v/>
      </c>
      <c r="M18" s="14">
        <f>IF(OR(F18=0,K18=0),"",(K18-F18)/F18)</f>
        <v/>
      </c>
      <c r="N18" s="7">
        <f>IF(F18=0,"",IF(K18=0,"⏳ En attente",IF(K18&lt;=ROUND(F18*0.97,0),"🛑 STOP LOSS ATTEINT",IF(K18&gt;=ROUND(F18*1.075,0),"🚀 SORTIR (max BRVM)",IF(K18&gt;=ROUND(F18*1.04,0),"✅ SORTIR (objectif atteint)","⏳ TENIR")))))</f>
        <v/>
      </c>
      <c r="O18" s="6" t="n"/>
    </row>
    <row r="20" ht="28" customHeight="1">
      <c r="A20" s="25" t="inlineStr">
        <is>
          <t>MODE D'EMPLOI : 1) Remplis A-F quand tu passes un ordre après une alerte Telegram  2) Mets à jour K (Prix actuel) pendant la journée  3) Suis le Statut en col N  4) Transfère vers Historique quand tu clôtures</t>
        </is>
      </c>
    </row>
    <row r="22">
      <c r="A22" s="26" t="inlineStr">
        <is>
          <t>Légende statuts :</t>
        </is>
      </c>
    </row>
    <row r="23">
      <c r="A23" s="27" t="inlineStr">
        <is>
          <t>⏳ TENIR</t>
        </is>
      </c>
    </row>
    <row r="24">
      <c r="A24" s="28" t="inlineStr">
        <is>
          <t>✅ SORTIR (objectif atteint)</t>
        </is>
      </c>
    </row>
    <row r="25">
      <c r="A25" s="29" t="inlineStr">
        <is>
          <t>🚀 SORTIR (max BRVM)</t>
        </is>
      </c>
    </row>
    <row r="26">
      <c r="A26" s="30" t="inlineStr">
        <is>
          <t>🛑 STOP LOSS ATTEINT → VENDRE IMMÉDIATEMENT</t>
        </is>
      </c>
    </row>
  </sheetData>
  <mergeCells count="8">
    <mergeCell ref="A20:O20"/>
    <mergeCell ref="A2:O2"/>
    <mergeCell ref="A24:E24"/>
    <mergeCell ref="A26:E26"/>
    <mergeCell ref="A25:E25"/>
    <mergeCell ref="A1:O1"/>
    <mergeCell ref="A23:E23"/>
    <mergeCell ref="A22:E22"/>
  </mergeCells>
  <conditionalFormatting sqref="N4:N18">
    <cfRule type="expression" priority="1" dxfId="0">
      <formula>ISNUMBER(SEARCH("STOP",N4))</formula>
    </cfRule>
    <cfRule type="expression" priority="2" dxfId="1">
      <formula>ISNUMBER(SEARCH("objectif",N4))</formula>
    </cfRule>
    <cfRule type="expression" priority="3" dxfId="2">
      <formula>ISNUMBER(SEARCH("max BRVM",N4))</formula>
    </cfRule>
  </conditionalFormatting>
  <conditionalFormatting sqref="L4:L18">
    <cfRule type="expression" priority="4" dxfId="1">
      <formula>L4&gt;0</formula>
    </cfRule>
    <cfRule type="expression" priority="5" dxfId="0">
      <formula>L4&lt;0</formula>
    </cfRule>
  </conditionalFormatting>
  <conditionalFormatting sqref="D4:D18">
    <cfRule type="expression" priority="6" dxfId="3">
      <formula>D4="H"</formula>
    </cfRule>
    <cfRule type="expression" priority="7" dxfId="4">
      <formula>D4="M"</formula>
    </cfRule>
    <cfRule type="expression" priority="8" dxfId="5">
      <formula>D4="L"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2" customWidth="1" min="4" max="4"/>
    <col width="9" customWidth="1" min="5" max="5"/>
    <col width="8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8" customWidth="1" min="12" max="12"/>
    <col width="18" customWidth="1" min="13" max="13"/>
  </cols>
  <sheetData>
    <row r="1" ht="28" customHeight="1">
      <c r="A1" s="31" t="inlineStr">
        <is>
          <t>BRVM — Historique des Trades Clôturés</t>
        </is>
      </c>
    </row>
    <row r="2" ht="30" customHeight="1">
      <c r="A2" s="32" t="inlineStr">
        <is>
          <t>Date
entrée</t>
        </is>
      </c>
      <c r="B2" s="32" t="inlineStr">
        <is>
          <t>Date
sortie</t>
        </is>
      </c>
      <c r="C2" s="32" t="inlineStr">
        <is>
          <t>Ticker</t>
        </is>
      </c>
      <c r="D2" s="32" t="inlineStr">
        <is>
          <t>Nom</t>
        </is>
      </c>
      <c r="E2" s="32" t="inlineStr">
        <is>
          <t>Signal</t>
        </is>
      </c>
      <c r="F2" s="32" t="inlineStr">
        <is>
          <t>Qtité</t>
        </is>
      </c>
      <c r="G2" s="32" t="inlineStr">
        <is>
          <t>Prix
entrée</t>
        </is>
      </c>
      <c r="H2" s="32" t="inlineStr">
        <is>
          <t>Prix
sortie</t>
        </is>
      </c>
      <c r="I2" s="32" t="inlineStr">
        <is>
          <t>Coût</t>
        </is>
      </c>
      <c r="J2" s="32" t="inlineStr">
        <is>
          <t>Produit
vente</t>
        </is>
      </c>
      <c r="K2" s="32" t="inlineStr">
        <is>
          <t>P&amp;L
FCFA</t>
        </is>
      </c>
      <c r="L2" s="32" t="inlineStr">
        <is>
          <t>P&amp;L
%</t>
        </is>
      </c>
      <c r="M2" s="32" t="inlineStr">
        <is>
          <t>Raison sortie</t>
        </is>
      </c>
    </row>
    <row r="3">
      <c r="A3" s="15" t="n"/>
      <c r="B3" s="15" t="n"/>
      <c r="C3" s="18" t="n"/>
      <c r="D3" s="18" t="n"/>
      <c r="E3" s="18" t="n"/>
      <c r="F3" s="20" t="n"/>
      <c r="G3" s="20" t="n"/>
      <c r="H3" s="20" t="n"/>
      <c r="I3" s="20" t="n"/>
      <c r="J3" s="20">
        <f>IF(OR(H3=0,F3=0),"",H3*F3)</f>
        <v/>
      </c>
      <c r="K3" s="23">
        <f>IF(OR(G3=0,H3=0,F3=0),"",(H3-G3)*F3)</f>
        <v/>
      </c>
      <c r="L3" s="33">
        <f>IF(OR(G3=0,H3=0),"",(H3-G3)/G3)</f>
        <v/>
      </c>
      <c r="M3" s="18" t="n"/>
    </row>
    <row r="4">
      <c r="A4" s="4" t="n"/>
      <c r="B4" s="4" t="n"/>
      <c r="C4" s="7" t="n"/>
      <c r="D4" s="7" t="n"/>
      <c r="E4" s="7" t="n"/>
      <c r="F4" s="9" t="n"/>
      <c r="G4" s="9" t="n"/>
      <c r="H4" s="9" t="n"/>
      <c r="I4" s="9" t="n"/>
      <c r="J4" s="9">
        <f>IF(OR(H4=0,F4=0),"",H4*F4)</f>
        <v/>
      </c>
      <c r="K4" s="13">
        <f>IF(OR(G4=0,H4=0,F4=0),"",(H4-G4)*F4)</f>
        <v/>
      </c>
      <c r="L4" s="34">
        <f>IF(OR(G4=0,H4=0),"",(H4-G4)/G4)</f>
        <v/>
      </c>
      <c r="M4" s="7" t="n"/>
    </row>
    <row r="5">
      <c r="A5" s="15" t="n"/>
      <c r="B5" s="15" t="n"/>
      <c r="C5" s="18" t="n"/>
      <c r="D5" s="18" t="n"/>
      <c r="E5" s="18" t="n"/>
      <c r="F5" s="20" t="n"/>
      <c r="G5" s="20" t="n"/>
      <c r="H5" s="20" t="n"/>
      <c r="I5" s="20" t="n"/>
      <c r="J5" s="20">
        <f>IF(OR(H5=0,F5=0),"",H5*F5)</f>
        <v/>
      </c>
      <c r="K5" s="23">
        <f>IF(OR(G5=0,H5=0,F5=0),"",(H5-G5)*F5)</f>
        <v/>
      </c>
      <c r="L5" s="33">
        <f>IF(OR(G5=0,H5=0),"",(H5-G5)/G5)</f>
        <v/>
      </c>
      <c r="M5" s="18" t="n"/>
    </row>
    <row r="6">
      <c r="A6" s="4" t="n"/>
      <c r="B6" s="4" t="n"/>
      <c r="C6" s="7" t="n"/>
      <c r="D6" s="7" t="n"/>
      <c r="E6" s="7" t="n"/>
      <c r="F6" s="9" t="n"/>
      <c r="G6" s="9" t="n"/>
      <c r="H6" s="9" t="n"/>
      <c r="I6" s="9" t="n"/>
      <c r="J6" s="9">
        <f>IF(OR(H6=0,F6=0),"",H6*F6)</f>
        <v/>
      </c>
      <c r="K6" s="13">
        <f>IF(OR(G6=0,H6=0,F6=0),"",(H6-G6)*F6)</f>
        <v/>
      </c>
      <c r="L6" s="34">
        <f>IF(OR(G6=0,H6=0),"",(H6-G6)/G6)</f>
        <v/>
      </c>
      <c r="M6" s="7" t="n"/>
    </row>
    <row r="7">
      <c r="A7" s="15" t="n"/>
      <c r="B7" s="15" t="n"/>
      <c r="C7" s="18" t="n"/>
      <c r="D7" s="18" t="n"/>
      <c r="E7" s="18" t="n"/>
      <c r="F7" s="20" t="n"/>
      <c r="G7" s="20" t="n"/>
      <c r="H7" s="20" t="n"/>
      <c r="I7" s="20" t="n"/>
      <c r="J7" s="20">
        <f>IF(OR(H7=0,F7=0),"",H7*F7)</f>
        <v/>
      </c>
      <c r="K7" s="23">
        <f>IF(OR(G7=0,H7=0,F7=0),"",(H7-G7)*F7)</f>
        <v/>
      </c>
      <c r="L7" s="33">
        <f>IF(OR(G7=0,H7=0),"",(H7-G7)/G7)</f>
        <v/>
      </c>
      <c r="M7" s="18" t="n"/>
    </row>
    <row r="8">
      <c r="A8" s="4" t="n"/>
      <c r="B8" s="4" t="n"/>
      <c r="C8" s="7" t="n"/>
      <c r="D8" s="7" t="n"/>
      <c r="E8" s="7" t="n"/>
      <c r="F8" s="9" t="n"/>
      <c r="G8" s="9" t="n"/>
      <c r="H8" s="9" t="n"/>
      <c r="I8" s="9" t="n"/>
      <c r="J8" s="9">
        <f>IF(OR(H8=0,F8=0),"",H8*F8)</f>
        <v/>
      </c>
      <c r="K8" s="13">
        <f>IF(OR(G8=0,H8=0,F8=0),"",(H8-G8)*F8)</f>
        <v/>
      </c>
      <c r="L8" s="34">
        <f>IF(OR(G8=0,H8=0),"",(H8-G8)/G8)</f>
        <v/>
      </c>
      <c r="M8" s="7" t="n"/>
    </row>
    <row r="9">
      <c r="A9" s="15" t="n"/>
      <c r="B9" s="15" t="n"/>
      <c r="C9" s="18" t="n"/>
      <c r="D9" s="18" t="n"/>
      <c r="E9" s="18" t="n"/>
      <c r="F9" s="20" t="n"/>
      <c r="G9" s="20" t="n"/>
      <c r="H9" s="20" t="n"/>
      <c r="I9" s="20" t="n"/>
      <c r="J9" s="20">
        <f>IF(OR(H9=0,F9=0),"",H9*F9)</f>
        <v/>
      </c>
      <c r="K9" s="23">
        <f>IF(OR(G9=0,H9=0,F9=0),"",(H9-G9)*F9)</f>
        <v/>
      </c>
      <c r="L9" s="33">
        <f>IF(OR(G9=0,H9=0),"",(H9-G9)/G9)</f>
        <v/>
      </c>
      <c r="M9" s="18" t="n"/>
    </row>
    <row r="10">
      <c r="A10" s="4" t="n"/>
      <c r="B10" s="4" t="n"/>
      <c r="C10" s="7" t="n"/>
      <c r="D10" s="7" t="n"/>
      <c r="E10" s="7" t="n"/>
      <c r="F10" s="9" t="n"/>
      <c r="G10" s="9" t="n"/>
      <c r="H10" s="9" t="n"/>
      <c r="I10" s="9" t="n"/>
      <c r="J10" s="9">
        <f>IF(OR(H10=0,F10=0),"",H10*F10)</f>
        <v/>
      </c>
      <c r="K10" s="13">
        <f>IF(OR(G10=0,H10=0,F10=0),"",(H10-G10)*F10)</f>
        <v/>
      </c>
      <c r="L10" s="34">
        <f>IF(OR(G10=0,H10=0),"",(H10-G10)/G10)</f>
        <v/>
      </c>
      <c r="M10" s="7" t="n"/>
    </row>
    <row r="11">
      <c r="A11" s="15" t="n"/>
      <c r="B11" s="15" t="n"/>
      <c r="C11" s="18" t="n"/>
      <c r="D11" s="18" t="n"/>
      <c r="E11" s="18" t="n"/>
      <c r="F11" s="20" t="n"/>
      <c r="G11" s="20" t="n"/>
      <c r="H11" s="20" t="n"/>
      <c r="I11" s="20" t="n"/>
      <c r="J11" s="20">
        <f>IF(OR(H11=0,F11=0),"",H11*F11)</f>
        <v/>
      </c>
      <c r="K11" s="23">
        <f>IF(OR(G11=0,H11=0,F11=0),"",(H11-G11)*F11)</f>
        <v/>
      </c>
      <c r="L11" s="33">
        <f>IF(OR(G11=0,H11=0),"",(H11-G11)/G11)</f>
        <v/>
      </c>
      <c r="M11" s="18" t="n"/>
    </row>
    <row r="12">
      <c r="A12" s="4" t="n"/>
      <c r="B12" s="4" t="n"/>
      <c r="C12" s="7" t="n"/>
      <c r="D12" s="7" t="n"/>
      <c r="E12" s="7" t="n"/>
      <c r="F12" s="9" t="n"/>
      <c r="G12" s="9" t="n"/>
      <c r="H12" s="9" t="n"/>
      <c r="I12" s="9" t="n"/>
      <c r="J12" s="9">
        <f>IF(OR(H12=0,F12=0),"",H12*F12)</f>
        <v/>
      </c>
      <c r="K12" s="13">
        <f>IF(OR(G12=0,H12=0,F12=0),"",(H12-G12)*F12)</f>
        <v/>
      </c>
      <c r="L12" s="34">
        <f>IF(OR(G12=0,H12=0),"",(H12-G12)/G12)</f>
        <v/>
      </c>
      <c r="M12" s="7" t="n"/>
    </row>
    <row r="13">
      <c r="A13" s="15" t="n"/>
      <c r="B13" s="15" t="n"/>
      <c r="C13" s="18" t="n"/>
      <c r="D13" s="18" t="n"/>
      <c r="E13" s="18" t="n"/>
      <c r="F13" s="20" t="n"/>
      <c r="G13" s="20" t="n"/>
      <c r="H13" s="20" t="n"/>
      <c r="I13" s="20" t="n"/>
      <c r="J13" s="20">
        <f>IF(OR(H13=0,F13=0),"",H13*F13)</f>
        <v/>
      </c>
      <c r="K13" s="23">
        <f>IF(OR(G13=0,H13=0,F13=0),"",(H13-G13)*F13)</f>
        <v/>
      </c>
      <c r="L13" s="33">
        <f>IF(OR(G13=0,H13=0),"",(H13-G13)/G13)</f>
        <v/>
      </c>
      <c r="M13" s="18" t="n"/>
    </row>
    <row r="14">
      <c r="A14" s="4" t="n"/>
      <c r="B14" s="4" t="n"/>
      <c r="C14" s="7" t="n"/>
      <c r="D14" s="7" t="n"/>
      <c r="E14" s="7" t="n"/>
      <c r="F14" s="9" t="n"/>
      <c r="G14" s="9" t="n"/>
      <c r="H14" s="9" t="n"/>
      <c r="I14" s="9" t="n"/>
      <c r="J14" s="9">
        <f>IF(OR(H14=0,F14=0),"",H14*F14)</f>
        <v/>
      </c>
      <c r="K14" s="13">
        <f>IF(OR(G14=0,H14=0,F14=0),"",(H14-G14)*F14)</f>
        <v/>
      </c>
      <c r="L14" s="34">
        <f>IF(OR(G14=0,H14=0),"",(H14-G14)/G14)</f>
        <v/>
      </c>
      <c r="M14" s="7" t="n"/>
    </row>
    <row r="15">
      <c r="A15" s="15" t="n"/>
      <c r="B15" s="15" t="n"/>
      <c r="C15" s="18" t="n"/>
      <c r="D15" s="18" t="n"/>
      <c r="E15" s="18" t="n"/>
      <c r="F15" s="20" t="n"/>
      <c r="G15" s="20" t="n"/>
      <c r="H15" s="20" t="n"/>
      <c r="I15" s="20" t="n"/>
      <c r="J15" s="20">
        <f>IF(OR(H15=0,F15=0),"",H15*F15)</f>
        <v/>
      </c>
      <c r="K15" s="23">
        <f>IF(OR(G15=0,H15=0,F15=0),"",(H15-G15)*F15)</f>
        <v/>
      </c>
      <c r="L15" s="33">
        <f>IF(OR(G15=0,H15=0),"",(H15-G15)/G15)</f>
        <v/>
      </c>
      <c r="M15" s="18" t="n"/>
    </row>
    <row r="16">
      <c r="A16" s="4" t="n"/>
      <c r="B16" s="4" t="n"/>
      <c r="C16" s="7" t="n"/>
      <c r="D16" s="7" t="n"/>
      <c r="E16" s="7" t="n"/>
      <c r="F16" s="9" t="n"/>
      <c r="G16" s="9" t="n"/>
      <c r="H16" s="9" t="n"/>
      <c r="I16" s="9" t="n"/>
      <c r="J16" s="9">
        <f>IF(OR(H16=0,F16=0),"",H16*F16)</f>
        <v/>
      </c>
      <c r="K16" s="13">
        <f>IF(OR(G16=0,H16=0,F16=0),"",(H16-G16)*F16)</f>
        <v/>
      </c>
      <c r="L16" s="34">
        <f>IF(OR(G16=0,H16=0),"",(H16-G16)/G16)</f>
        <v/>
      </c>
      <c r="M16" s="7" t="n"/>
    </row>
    <row r="17">
      <c r="A17" s="15" t="n"/>
      <c r="B17" s="15" t="n"/>
      <c r="C17" s="18" t="n"/>
      <c r="D17" s="18" t="n"/>
      <c r="E17" s="18" t="n"/>
      <c r="F17" s="20" t="n"/>
      <c r="G17" s="20" t="n"/>
      <c r="H17" s="20" t="n"/>
      <c r="I17" s="20" t="n"/>
      <c r="J17" s="20">
        <f>IF(OR(H17=0,F17=0),"",H17*F17)</f>
        <v/>
      </c>
      <c r="K17" s="23">
        <f>IF(OR(G17=0,H17=0,F17=0),"",(H17-G17)*F17)</f>
        <v/>
      </c>
      <c r="L17" s="33">
        <f>IF(OR(G17=0,H17=0),"",(H17-G17)/G17)</f>
        <v/>
      </c>
      <c r="M17" s="18" t="n"/>
    </row>
    <row r="18">
      <c r="A18" s="4" t="n"/>
      <c r="B18" s="4" t="n"/>
      <c r="C18" s="7" t="n"/>
      <c r="D18" s="7" t="n"/>
      <c r="E18" s="7" t="n"/>
      <c r="F18" s="9" t="n"/>
      <c r="G18" s="9" t="n"/>
      <c r="H18" s="9" t="n"/>
      <c r="I18" s="9" t="n"/>
      <c r="J18" s="9">
        <f>IF(OR(H18=0,F18=0),"",H18*F18)</f>
        <v/>
      </c>
      <c r="K18" s="13">
        <f>IF(OR(G18=0,H18=0,F18=0),"",(H18-G18)*F18)</f>
        <v/>
      </c>
      <c r="L18" s="34">
        <f>IF(OR(G18=0,H18=0),"",(H18-G18)/G18)</f>
        <v/>
      </c>
      <c r="M18" s="7" t="n"/>
    </row>
    <row r="19">
      <c r="A19" s="15" t="n"/>
      <c r="B19" s="15" t="n"/>
      <c r="C19" s="18" t="n"/>
      <c r="D19" s="18" t="n"/>
      <c r="E19" s="18" t="n"/>
      <c r="F19" s="20" t="n"/>
      <c r="G19" s="20" t="n"/>
      <c r="H19" s="20" t="n"/>
      <c r="I19" s="20" t="n"/>
      <c r="J19" s="20">
        <f>IF(OR(H19=0,F19=0),"",H19*F19)</f>
        <v/>
      </c>
      <c r="K19" s="23">
        <f>IF(OR(G19=0,H19=0,F19=0),"",(H19-G19)*F19)</f>
        <v/>
      </c>
      <c r="L19" s="33">
        <f>IF(OR(G19=0,H19=0),"",(H19-G19)/G19)</f>
        <v/>
      </c>
      <c r="M19" s="18" t="n"/>
    </row>
    <row r="20">
      <c r="A20" s="4" t="n"/>
      <c r="B20" s="4" t="n"/>
      <c r="C20" s="7" t="n"/>
      <c r="D20" s="7" t="n"/>
      <c r="E20" s="7" t="n"/>
      <c r="F20" s="9" t="n"/>
      <c r="G20" s="9" t="n"/>
      <c r="H20" s="9" t="n"/>
      <c r="I20" s="9" t="n"/>
      <c r="J20" s="9">
        <f>IF(OR(H20=0,F20=0),"",H20*F20)</f>
        <v/>
      </c>
      <c r="K20" s="13">
        <f>IF(OR(G20=0,H20=0,F20=0),"",(H20-G20)*F20)</f>
        <v/>
      </c>
      <c r="L20" s="34">
        <f>IF(OR(G20=0,H20=0),"",(H20-G20)/G20)</f>
        <v/>
      </c>
      <c r="M20" s="7" t="n"/>
    </row>
    <row r="21">
      <c r="A21" s="15" t="n"/>
      <c r="B21" s="15" t="n"/>
      <c r="C21" s="18" t="n"/>
      <c r="D21" s="18" t="n"/>
      <c r="E21" s="18" t="n"/>
      <c r="F21" s="20" t="n"/>
      <c r="G21" s="20" t="n"/>
      <c r="H21" s="20" t="n"/>
      <c r="I21" s="20" t="n"/>
      <c r="J21" s="20">
        <f>IF(OR(H21=0,F21=0),"",H21*F21)</f>
        <v/>
      </c>
      <c r="K21" s="23">
        <f>IF(OR(G21=0,H21=0,F21=0),"",(H21-G21)*F21)</f>
        <v/>
      </c>
      <c r="L21" s="33">
        <f>IF(OR(G21=0,H21=0),"",(H21-G21)/G21)</f>
        <v/>
      </c>
      <c r="M21" s="18" t="n"/>
    </row>
    <row r="22">
      <c r="A22" s="4" t="n"/>
      <c r="B22" s="4" t="n"/>
      <c r="C22" s="7" t="n"/>
      <c r="D22" s="7" t="n"/>
      <c r="E22" s="7" t="n"/>
      <c r="F22" s="9" t="n"/>
      <c r="G22" s="9" t="n"/>
      <c r="H22" s="9" t="n"/>
      <c r="I22" s="9" t="n"/>
      <c r="J22" s="9">
        <f>IF(OR(H22=0,F22=0),"",H22*F22)</f>
        <v/>
      </c>
      <c r="K22" s="13">
        <f>IF(OR(G22=0,H22=0,F22=0),"",(H22-G22)*F22)</f>
        <v/>
      </c>
      <c r="L22" s="34">
        <f>IF(OR(G22=0,H22=0),"",(H22-G22)/G22)</f>
        <v/>
      </c>
      <c r="M22" s="7" t="n"/>
    </row>
    <row r="23">
      <c r="A23" s="15" t="n"/>
      <c r="B23" s="15" t="n"/>
      <c r="C23" s="18" t="n"/>
      <c r="D23" s="18" t="n"/>
      <c r="E23" s="18" t="n"/>
      <c r="F23" s="20" t="n"/>
      <c r="G23" s="20" t="n"/>
      <c r="H23" s="20" t="n"/>
      <c r="I23" s="20" t="n"/>
      <c r="J23" s="20">
        <f>IF(OR(H23=0,F23=0),"",H23*F23)</f>
        <v/>
      </c>
      <c r="K23" s="23">
        <f>IF(OR(G23=0,H23=0,F23=0),"",(H23-G23)*F23)</f>
        <v/>
      </c>
      <c r="L23" s="33">
        <f>IF(OR(G23=0,H23=0),"",(H23-G23)/G23)</f>
        <v/>
      </c>
      <c r="M23" s="18" t="n"/>
    </row>
    <row r="24">
      <c r="A24" s="4" t="n"/>
      <c r="B24" s="4" t="n"/>
      <c r="C24" s="7" t="n"/>
      <c r="D24" s="7" t="n"/>
      <c r="E24" s="7" t="n"/>
      <c r="F24" s="9" t="n"/>
      <c r="G24" s="9" t="n"/>
      <c r="H24" s="9" t="n"/>
      <c r="I24" s="9" t="n"/>
      <c r="J24" s="9">
        <f>IF(OR(H24=0,F24=0),"",H24*F24)</f>
        <v/>
      </c>
      <c r="K24" s="13">
        <f>IF(OR(G24=0,H24=0,F24=0),"",(H24-G24)*F24)</f>
        <v/>
      </c>
      <c r="L24" s="34">
        <f>IF(OR(G24=0,H24=0),"",(H24-G24)/G24)</f>
        <v/>
      </c>
      <c r="M24" s="7" t="n"/>
    </row>
    <row r="25">
      <c r="A25" s="15" t="n"/>
      <c r="B25" s="15" t="n"/>
      <c r="C25" s="18" t="n"/>
      <c r="D25" s="18" t="n"/>
      <c r="E25" s="18" t="n"/>
      <c r="F25" s="20" t="n"/>
      <c r="G25" s="20" t="n"/>
      <c r="H25" s="20" t="n"/>
      <c r="I25" s="20" t="n"/>
      <c r="J25" s="20">
        <f>IF(OR(H25=0,F25=0),"",H25*F25)</f>
        <v/>
      </c>
      <c r="K25" s="23">
        <f>IF(OR(G25=0,H25=0,F25=0),"",(H25-G25)*F25)</f>
        <v/>
      </c>
      <c r="L25" s="33">
        <f>IF(OR(G25=0,H25=0),"",(H25-G25)/G25)</f>
        <v/>
      </c>
      <c r="M25" s="18" t="n"/>
    </row>
    <row r="26">
      <c r="A26" s="4" t="n"/>
      <c r="B26" s="4" t="n"/>
      <c r="C26" s="7" t="n"/>
      <c r="D26" s="7" t="n"/>
      <c r="E26" s="7" t="n"/>
      <c r="F26" s="9" t="n"/>
      <c r="G26" s="9" t="n"/>
      <c r="H26" s="9" t="n"/>
      <c r="I26" s="9" t="n"/>
      <c r="J26" s="9">
        <f>IF(OR(H26=0,F26=0),"",H26*F26)</f>
        <v/>
      </c>
      <c r="K26" s="13">
        <f>IF(OR(G26=0,H26=0,F26=0),"",(H26-G26)*F26)</f>
        <v/>
      </c>
      <c r="L26" s="34">
        <f>IF(OR(G26=0,H26=0),"",(H26-G26)/G26)</f>
        <v/>
      </c>
      <c r="M26" s="7" t="n"/>
    </row>
    <row r="27">
      <c r="A27" s="15" t="n"/>
      <c r="B27" s="15" t="n"/>
      <c r="C27" s="18" t="n"/>
      <c r="D27" s="18" t="n"/>
      <c r="E27" s="18" t="n"/>
      <c r="F27" s="20" t="n"/>
      <c r="G27" s="20" t="n"/>
      <c r="H27" s="20" t="n"/>
      <c r="I27" s="20" t="n"/>
      <c r="J27" s="20">
        <f>IF(OR(H27=0,F27=0),"",H27*F27)</f>
        <v/>
      </c>
      <c r="K27" s="23">
        <f>IF(OR(G27=0,H27=0,F27=0),"",(H27-G27)*F27)</f>
        <v/>
      </c>
      <c r="L27" s="33">
        <f>IF(OR(G27=0,H27=0),"",(H27-G27)/G27)</f>
        <v/>
      </c>
      <c r="M27" s="18" t="n"/>
    </row>
    <row r="28">
      <c r="A28" s="4" t="n"/>
      <c r="B28" s="4" t="n"/>
      <c r="C28" s="7" t="n"/>
      <c r="D28" s="7" t="n"/>
      <c r="E28" s="7" t="n"/>
      <c r="F28" s="9" t="n"/>
      <c r="G28" s="9" t="n"/>
      <c r="H28" s="9" t="n"/>
      <c r="I28" s="9" t="n"/>
      <c r="J28" s="9">
        <f>IF(OR(H28=0,F28=0),"",H28*F28)</f>
        <v/>
      </c>
      <c r="K28" s="13">
        <f>IF(OR(G28=0,H28=0,F28=0),"",(H28-G28)*F28)</f>
        <v/>
      </c>
      <c r="L28" s="34">
        <f>IF(OR(G28=0,H28=0),"",(H28-G28)/G28)</f>
        <v/>
      </c>
      <c r="M28" s="7" t="n"/>
    </row>
    <row r="29">
      <c r="A29" s="15" t="n"/>
      <c r="B29" s="15" t="n"/>
      <c r="C29" s="18" t="n"/>
      <c r="D29" s="18" t="n"/>
      <c r="E29" s="18" t="n"/>
      <c r="F29" s="20" t="n"/>
      <c r="G29" s="20" t="n"/>
      <c r="H29" s="20" t="n"/>
      <c r="I29" s="20" t="n"/>
      <c r="J29" s="20">
        <f>IF(OR(H29=0,F29=0),"",H29*F29)</f>
        <v/>
      </c>
      <c r="K29" s="23">
        <f>IF(OR(G29=0,H29=0,F29=0),"",(H29-G29)*F29)</f>
        <v/>
      </c>
      <c r="L29" s="33">
        <f>IF(OR(G29=0,H29=0),"",(H29-G29)/G29)</f>
        <v/>
      </c>
      <c r="M29" s="18" t="n"/>
    </row>
    <row r="31">
      <c r="A31" s="35" t="inlineStr">
        <is>
          <t>TOTAL P&amp;L</t>
        </is>
      </c>
      <c r="K31" s="36">
        <f>SUM(K3:K30)</f>
        <v/>
      </c>
    </row>
  </sheetData>
  <mergeCells count="2">
    <mergeCell ref="A31:J31"/>
    <mergeCell ref="A1:M1"/>
  </mergeCells>
  <conditionalFormatting sqref="K3:K30">
    <cfRule type="expression" priority="1" dxfId="1">
      <formula>K3&gt;0</formula>
    </cfRule>
    <cfRule type="expression" priority="2" dxfId="0">
      <formula>K3&lt;0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</cols>
  <sheetData>
    <row r="1" ht="28" customHeight="1">
      <c r="A1" s="37" t="inlineStr">
        <is>
          <t>Guide d'utilisation — BRVM Suivi de Portefeuille</t>
        </is>
      </c>
    </row>
    <row r="3" ht="18" customHeight="1">
      <c r="A3" s="38" t="inlineStr">
        <is>
          <t>WORKFLOW QUOTIDIEN</t>
        </is>
      </c>
    </row>
    <row r="4" ht="18" customHeight="1">
      <c r="A4" s="39" t="inlineStr">
        <is>
          <t>Étape 1</t>
        </is>
      </c>
      <c r="B4" s="40" t="inlineStr">
        <is>
          <t>10h15 GMT</t>
        </is>
      </c>
      <c r="C4" s="41" t="inlineStr">
        <is>
          <t>Reçois l'alerte Telegram (signal MPR/OBI ou top 3 diagnostic)</t>
        </is>
      </c>
    </row>
    <row r="5" ht="18" customHeight="1">
      <c r="A5" s="42" t="inlineStr">
        <is>
          <t>Étape 2</t>
        </is>
      </c>
      <c r="B5" s="43" t="inlineStr">
        <is>
          <t>Si signal MEDIUM ou HIGH</t>
        </is>
      </c>
      <c r="C5" s="44" t="inlineStr">
        <is>
          <t>Va dans onglet 📊 Positions → remplis colonnes A à F</t>
        </is>
      </c>
    </row>
    <row r="6" ht="18" customHeight="1">
      <c r="A6" s="39" t="inlineStr">
        <is>
          <t>Étape 3</t>
        </is>
      </c>
      <c r="B6" s="40" t="inlineStr">
        <is>
          <t>Pendant la session</t>
        </is>
      </c>
      <c r="C6" s="41" t="inlineStr">
        <is>
          <t>Mets à jour col K (Prix actuel) → le Statut se met à jour auto</t>
        </is>
      </c>
    </row>
    <row r="7" ht="18" customHeight="1">
      <c r="A7" s="42" t="inlineStr">
        <is>
          <t>Étape 4</t>
        </is>
      </c>
      <c r="B7" s="43" t="inlineStr">
        <is>
          <t>Si ✅ Objectif atteint</t>
        </is>
      </c>
      <c r="C7" s="44" t="inlineStr">
        <is>
          <t>Vends le titre → note prix sortie dans Historique</t>
        </is>
      </c>
    </row>
    <row r="8" ht="18" customHeight="1">
      <c r="A8" s="39" t="inlineStr">
        <is>
          <t>Étape 5</t>
        </is>
      </c>
      <c r="B8" s="40" t="inlineStr">
        <is>
          <t>Si 🛑 STOP LOSS</t>
        </is>
      </c>
      <c r="C8" s="41" t="inlineStr">
        <is>
          <t>Vends IMMÉDIATEMENT → perte limitée à 3% du capital investi</t>
        </is>
      </c>
    </row>
    <row r="9" ht="18" customHeight="1">
      <c r="A9" t="inlineStr"/>
    </row>
    <row r="10" ht="18" customHeight="1">
      <c r="A10" s="38" t="inlineStr">
        <is>
          <t>COLONNES À REMPLIR MANUELLEMENT</t>
        </is>
      </c>
    </row>
    <row r="11" ht="18" customHeight="1">
      <c r="A11" s="42" t="inlineStr">
        <is>
          <t>Col A</t>
        </is>
      </c>
      <c r="B11" s="43" t="inlineStr">
        <is>
          <t>Date entrée</t>
        </is>
      </c>
      <c r="C11" s="44" t="inlineStr">
        <is>
          <t>Date à laquelle tu as passé l'ordre d'achat</t>
        </is>
      </c>
    </row>
    <row r="12" ht="18" customHeight="1">
      <c r="A12" s="39" t="inlineStr">
        <is>
          <t>Col B</t>
        </is>
      </c>
      <c r="B12" s="40" t="inlineStr">
        <is>
          <t>Ticker</t>
        </is>
      </c>
      <c r="C12" s="41" t="inlineStr">
        <is>
          <t>Symbole BRVM (ex : SGBC, ORAC, SNTS)</t>
        </is>
      </c>
    </row>
    <row r="13" ht="18" customHeight="1">
      <c r="A13" s="42" t="inlineStr">
        <is>
          <t>Col C</t>
        </is>
      </c>
      <c r="B13" s="43" t="inlineStr">
        <is>
          <t>Nom société</t>
        </is>
      </c>
      <c r="C13" s="44" t="inlineStr">
        <is>
          <t>Nom (copier depuis l'alerte Telegram)</t>
        </is>
      </c>
    </row>
    <row r="14" ht="18" customHeight="1">
      <c r="A14" s="39" t="inlineStr">
        <is>
          <t>Col D</t>
        </is>
      </c>
      <c r="B14" s="40" t="inlineStr">
        <is>
          <t>Signal</t>
        </is>
      </c>
      <c r="C14" s="41" t="inlineStr">
        <is>
          <t>H = HIGH (🔴), M = MEDIUM (🟠), L = LOW (🟡)</t>
        </is>
      </c>
    </row>
    <row r="15" ht="18" customHeight="1">
      <c r="A15" s="42" t="inlineStr">
        <is>
          <t>Col E</t>
        </is>
      </c>
      <c r="B15" s="43" t="inlineStr">
        <is>
          <t>Qtité achetée</t>
        </is>
      </c>
      <c r="C15" s="44" t="inlineStr">
        <is>
          <t>Nombre de titres réellement achetés</t>
        </is>
      </c>
    </row>
    <row r="16" ht="18" customHeight="1">
      <c r="A16" s="39" t="inlineStr">
        <is>
          <t>Col F</t>
        </is>
      </c>
      <c r="B16" s="40" t="inlineStr">
        <is>
          <t>Prix entrée</t>
        </is>
      </c>
      <c r="C16" s="41" t="inlineStr">
        <is>
          <t>Prix auquel tu as acheté (cours fixing confirmé)</t>
        </is>
      </c>
    </row>
    <row r="17" ht="18" customHeight="1">
      <c r="A17" s="42" t="inlineStr">
        <is>
          <t>Col K</t>
        </is>
      </c>
      <c r="B17" s="43" t="inlineStr">
        <is>
          <t>Prix actuel</t>
        </is>
      </c>
      <c r="C17" s="44" t="inlineStr">
        <is>
          <t>⚡ À mettre à jour manuellement ou via Power Query</t>
        </is>
      </c>
    </row>
    <row r="18" ht="18" customHeight="1">
      <c r="A18" t="inlineStr"/>
    </row>
    <row r="19" ht="18" customHeight="1">
      <c r="A19" s="38" t="inlineStr">
        <is>
          <t>FORMULES AUTOMATIQUES</t>
        </is>
      </c>
    </row>
    <row r="20" ht="18" customHeight="1">
      <c r="A20" s="39" t="inlineStr">
        <is>
          <t>Col G</t>
        </is>
      </c>
      <c r="B20" s="40" t="inlineStr">
        <is>
          <t>Coût total</t>
        </is>
      </c>
      <c r="C20" s="41">
        <f> Qtité × Prix entrée</f>
        <v/>
      </c>
    </row>
    <row r="21" ht="18" customHeight="1">
      <c r="A21" s="42" t="inlineStr">
        <is>
          <t>Col H</t>
        </is>
      </c>
      <c r="B21" s="43" t="inlineStr">
        <is>
          <t>Stop-loss</t>
        </is>
      </c>
      <c r="C21" s="44">
        <f> Prix entrée × 0.97 (−3%)  → NE PAS DÉPASSER</f>
        <v/>
      </c>
    </row>
    <row r="22" ht="18" customHeight="1">
      <c r="A22" s="39" t="inlineStr">
        <is>
          <t>Col I</t>
        </is>
      </c>
      <c r="B22" s="40" t="inlineStr">
        <is>
          <t>Objectif</t>
        </is>
      </c>
      <c r="C22" s="41">
        <f> Prix entrée × 1.04 (+4%)</f>
        <v/>
      </c>
    </row>
    <row r="23" ht="18" customHeight="1">
      <c r="A23" s="42" t="inlineStr">
        <is>
          <t>Col J</t>
        </is>
      </c>
      <c r="B23" s="43" t="inlineStr">
        <is>
          <t>Max BRVM</t>
        </is>
      </c>
      <c r="C23" s="44">
        <f> Prix entrée × 1.075 (+7.5% = limite journalière BRVM)</f>
        <v/>
      </c>
    </row>
    <row r="24" ht="18" customHeight="1">
      <c r="A24" s="39" t="inlineStr">
        <is>
          <t>Col L</t>
        </is>
      </c>
      <c r="B24" s="40" t="inlineStr">
        <is>
          <t>P&amp;L FCFA</t>
        </is>
      </c>
      <c r="C24" s="41">
        <f> (Prix actuel − Prix entrée) × Qtité</f>
        <v/>
      </c>
    </row>
    <row r="25" ht="18" customHeight="1">
      <c r="A25" s="42" t="inlineStr">
        <is>
          <t>Col M</t>
        </is>
      </c>
      <c r="B25" s="43" t="inlineStr">
        <is>
          <t>P&amp;L %</t>
        </is>
      </c>
      <c r="C25" s="44">
        <f> (Prix actuel − Prix entrée) / Prix entrée</f>
        <v/>
      </c>
    </row>
    <row r="26" ht="18" customHeight="1">
      <c r="A26" s="39" t="inlineStr">
        <is>
          <t>Col N</t>
        </is>
      </c>
      <c r="B26" s="40" t="inlineStr">
        <is>
          <t>Statut</t>
        </is>
      </c>
      <c r="C26" s="41" t="inlineStr">
        <is>
          <t>Calculé automatiquement — guide ton action</t>
        </is>
      </c>
    </row>
    <row r="27" ht="18" customHeight="1">
      <c r="A27" t="inlineStr"/>
    </row>
    <row r="28" ht="18" customHeight="1">
      <c r="A28" s="38" t="inlineStr">
        <is>
          <t>RÈGLES DE GESTION</t>
        </is>
      </c>
    </row>
    <row r="29" ht="18" customHeight="1">
      <c r="A29" s="42" t="inlineStr">
        <is>
          <t>Budget</t>
        </is>
      </c>
      <c r="B29" s="43" t="inlineStr">
        <is>
          <t>75 000 FCFA</t>
        </is>
      </c>
      <c r="C29" s="44" t="inlineStr">
        <is>
          <t>80% max investi par signal (20% toujours en réserve)</t>
        </is>
      </c>
    </row>
    <row r="30" ht="18" customHeight="1">
      <c r="A30" s="39" t="inlineStr">
        <is>
          <t>Stop-loss</t>
        </is>
      </c>
      <c r="B30" s="40" t="inlineStr">
        <is>
          <t>−3%</t>
        </is>
      </c>
      <c r="C30" s="41" t="inlineStr">
        <is>
          <t>Règle absolue : vendre si Statut = 🛑 STOP LOSS</t>
        </is>
      </c>
    </row>
    <row r="31" ht="18" customHeight="1">
      <c r="A31" s="42" t="inlineStr">
        <is>
          <t>Objectif</t>
        </is>
      </c>
      <c r="B31" s="43" t="inlineStr">
        <is>
          <t>+4%</t>
        </is>
      </c>
      <c r="C31" s="44" t="inlineStr">
        <is>
          <t>Cible normale dans la session de fixing</t>
        </is>
      </c>
    </row>
    <row r="32" ht="18" customHeight="1">
      <c r="A32" s="39" t="inlineStr">
        <is>
          <t>Max journalier</t>
        </is>
      </c>
      <c r="B32" s="40" t="inlineStr">
        <is>
          <t>+7.5%</t>
        </is>
      </c>
      <c r="C32" s="41" t="inlineStr">
        <is>
          <t>Limite BRVM — cours bloqué au-delà ce jour</t>
        </is>
      </c>
    </row>
    <row r="33" ht="18" customHeight="1">
      <c r="A33" s="42" t="inlineStr">
        <is>
          <t>Signaux LOW</t>
        </is>
      </c>
      <c r="B33" s="43" t="inlineStr">
        <is>
          <t>Surveiller</t>
        </is>
      </c>
      <c r="C33" s="44" t="inlineStr">
        <is>
          <t>1 signal = observer seulement, ne pas acheter seul</t>
        </is>
      </c>
    </row>
    <row r="34" ht="18" customHeight="1">
      <c r="A34" t="inlineStr"/>
    </row>
    <row r="35" ht="18" customHeight="1">
      <c r="A35" s="38" t="inlineStr">
        <is>
          <t>ARCHIVAGE</t>
        </is>
      </c>
    </row>
    <row r="36" ht="18" customHeight="1">
      <c r="A36" s="39" t="inlineStr">
        <is>
          <t>Clôturer un trade</t>
        </is>
      </c>
      <c r="B36" s="40" t="inlineStr">
        <is>
          <t>→ Historique</t>
        </is>
      </c>
      <c r="C36" s="41" t="inlineStr">
        <is>
          <t>Copie la ligne de Positions vers 📁 Historique (valeurs, pas formules)</t>
        </is>
      </c>
    </row>
    <row r="37" ht="18" customHeight="1">
      <c r="A37" s="42" t="inlineStr">
        <is>
          <t>Effacer la ligne</t>
        </is>
      </c>
      <c r="B37" s="43" t="inlineStr">
        <is>
          <t>après copie</t>
        </is>
      </c>
      <c r="C37" s="44" t="inlineStr">
        <is>
          <t>Efface la ligne dans Positions pour libérer la place</t>
        </is>
      </c>
    </row>
  </sheetData>
  <mergeCells count="10">
    <mergeCell ref="A10:C10"/>
    <mergeCell ref="A28:C28"/>
    <mergeCell ref="A19:C19"/>
    <mergeCell ref="A1:C1"/>
    <mergeCell ref="A9:C9"/>
    <mergeCell ref="A18:C18"/>
    <mergeCell ref="A27:C27"/>
    <mergeCell ref="A3:C3"/>
    <mergeCell ref="A34:C34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2026-06-09T18:24:30Z</dcterms:created>
  <dcterms:modified xsi:type="dcterms:W3CDTF">2026-06-09T18:24:30Z</dcterms:modified>
</cp:coreProperties>
</file>